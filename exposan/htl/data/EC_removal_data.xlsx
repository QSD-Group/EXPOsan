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anfeng/Desktop/UIUC_PhD/PhD_CEE/NSF_PFAS/HTL_landscape/analyses/"/>
    </mc:Choice>
  </mc:AlternateContent>
  <xr:revisionPtr revIDLastSave="0" documentId="13_ncr:1_{ADE022F4-199A-B442-834F-41ADE6A00AB9}" xr6:coauthVersionLast="47" xr6:coauthVersionMax="47" xr10:uidLastSave="{00000000-0000-0000-0000-000000000000}"/>
  <bookViews>
    <workbookView xWindow="10000" yWindow="840" windowWidth="25340" windowHeight="28180" activeTab="4" xr2:uid="{021CC5AD-68C1-D147-8F6E-17F66EE4FCC3}"/>
  </bookViews>
  <sheets>
    <sheet name="MPs" sheetId="1" r:id="rId1"/>
    <sheet name="MPs_summary" sheetId="4" r:id="rId2"/>
    <sheet name="PhACs" sheetId="2" r:id="rId3"/>
    <sheet name="PhACs_summary" sheetId="5" r:id="rId4"/>
    <sheet name="ARGs" sheetId="3" r:id="rId5"/>
    <sheet name="ARGs_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2" i="6"/>
  <c r="D3" i="3"/>
  <c r="D2" i="3"/>
  <c r="C298" i="5"/>
  <c r="C218" i="5"/>
  <c r="D298" i="2"/>
  <c r="D218" i="2"/>
</calcChain>
</file>

<file path=xl/sharedStrings.xml><?xml version="1.0" encoding="utf-8"?>
<sst xmlns="http://schemas.openxmlformats.org/spreadsheetml/2006/main" count="535" uniqueCount="68">
  <si>
    <t>year</t>
  </si>
  <si>
    <t>author</t>
  </si>
  <si>
    <t>title</t>
  </si>
  <si>
    <t>particle number reduction</t>
  </si>
  <si>
    <t>mass reduction</t>
  </si>
  <si>
    <t>Chand et al.</t>
  </si>
  <si>
    <t>Microplastics degradation through hydrothermal liquefaction of wastewater treatment sludge</t>
  </si>
  <si>
    <t>media</t>
  </si>
  <si>
    <t>sludge</t>
  </si>
  <si>
    <t>temperature [°C]</t>
  </si>
  <si>
    <t>The fate of microplastics when making sludge into crude oil – the impact of a hydrothermal liquefaction process on microplastics in wastewater treatment plant sludge</t>
  </si>
  <si>
    <t>process</t>
  </si>
  <si>
    <t>HTL</t>
  </si>
  <si>
    <t>Ni et al.</t>
  </si>
  <si>
    <t>pyrolysis</t>
  </si>
  <si>
    <t>Microplastics Mitigation in Sewage Sludge through Pyrolysis: The Role of Pyrolysis Temperature</t>
  </si>
  <si>
    <t>Enhanced in situ biodegradation of microplastics in sewage sludge using hyperthermophilic composting technology</t>
  </si>
  <si>
    <t>Chen et al.</t>
  </si>
  <si>
    <t>composting</t>
  </si>
  <si>
    <t>hyperthermophilic composting</t>
  </si>
  <si>
    <t>hydrothermal pretreatment</t>
  </si>
  <si>
    <t>Hydrothermal pretreatment reduced microplastics in sewage sludge as revealed by the combined micro-Fourier transform infrared (FTIR) and Raman imaging analysis</t>
  </si>
  <si>
    <t>Jiang et al.</t>
  </si>
  <si>
    <t>Jose et al.</t>
  </si>
  <si>
    <t>hydrothermal carbonization</t>
  </si>
  <si>
    <t>Hydrothermal carbonization as a promising approach towards the removal of polyethylene microplastics and trace organic contaminants from wastewater sludge</t>
  </si>
  <si>
    <t>digestate</t>
  </si>
  <si>
    <t>Exploring the Potential of Hydrothermal Treatment for Microplastics Removal in Digestate</t>
  </si>
  <si>
    <t>Akaniro et al.</t>
  </si>
  <si>
    <t>thermal hydrolysis</t>
  </si>
  <si>
    <t>Wang et al.</t>
  </si>
  <si>
    <t>Migration and transformation modes of microplastics in reclaimed wastewater treatment plant and sludge treatment center with thermal hydrolysis and anaerobic digestion</t>
  </si>
  <si>
    <t>Xu and Bai</t>
  </si>
  <si>
    <t>Microplastic Degradation in Sewage Sludge by Hydrothermal Carbonization: Efficiency and Mechanisms</t>
  </si>
  <si>
    <t>Liao et al.</t>
  </si>
  <si>
    <t>reduction</t>
  </si>
  <si>
    <t>Hyperthermophilic Composting Accelerates the Removal of Antibiotic Resistance Genes and Mobile Genetic Elements in Sewage Sludge</t>
  </si>
  <si>
    <t>aerobic digestion</t>
  </si>
  <si>
    <t>Varjuova et al.</t>
  </si>
  <si>
    <t>Thermal methods of sludge processing—are they suitable for pharmaceuticals and illicit drugs removal from sewage sludge?</t>
  </si>
  <si>
    <t>drying</t>
  </si>
  <si>
    <t>Zhou et al.</t>
  </si>
  <si>
    <t>Removal of typical pharmaceutically active compounds in sewage sludge using mesophilic and thermophilic anaerobic digestion processes</t>
  </si>
  <si>
    <t>anaerobic digestion</t>
  </si>
  <si>
    <t>Thomsen et al.</t>
  </si>
  <si>
    <t>Hydrothermal liquefaction of sewage sludge; energy considerations and fate of micropollutants during pilot scale processing</t>
  </si>
  <si>
    <t>Nang et al.</t>
  </si>
  <si>
    <t>torrefaction</t>
  </si>
  <si>
    <t>Torrefaction of sewage sludge: An approach to nutrient recycling and contaminant reduction in agriculture</t>
  </si>
  <si>
    <t>The fate of pharmaceuticals and personal care products during composting of sewage sludge</t>
  </si>
  <si>
    <t>Hanc et al.</t>
  </si>
  <si>
    <t>Carballa et al.</t>
  </si>
  <si>
    <t>Fate of pharmaceutical and personal care products (PPCPs) during anaerobic digestion of sewage sludge</t>
  </si>
  <si>
    <t>HTC</t>
  </si>
  <si>
    <t>Miserli et al.</t>
  </si>
  <si>
    <t>Removal of organic pollutants (pharmaceuticals and pesticides) from sewage sludge by hydrothermal carbonization using response surface methodology (RSM)</t>
  </si>
  <si>
    <t>Buss</t>
  </si>
  <si>
    <t>Pyrolysis Solves the Issue of Organic Contaminants in Sewage Sludge while Retaining Carbon—Making the Case for Sewage Sludge Treatment via Pyrolysis</t>
  </si>
  <si>
    <t>vom Eyser et al.</t>
  </si>
  <si>
    <t>Pharmaceutical load in sewage sludge and biochar produced by hydrothermal carbonization</t>
  </si>
  <si>
    <t>temperature</t>
  </si>
  <si>
    <t>wet_T</t>
  </si>
  <si>
    <t>dry_T</t>
  </si>
  <si>
    <t>C</t>
  </si>
  <si>
    <t>Effect of pyrolysis on the removal of antibiotic resistance genes and class I integrons from municipal wastewater biosolids</t>
  </si>
  <si>
    <t>Kimbell et al.</t>
  </si>
  <si>
    <t>lime stabilization</t>
  </si>
  <si>
    <t>pasteurization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</si>
</sst>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Aptos Narrow"/>
      <family val="2"/>
      <scheme val="minor"/>
    </font>
    <font>
      <sz val="12"/>
      <color rgb="FF222222"/>
      <name val="Helvetica Neue"/>
      <family val="2"/>
    </font>
    <font>
      <b/>
      <sz val="12"/>
      <color rgb="FF222222"/>
      <name val="Helvetica Neue"/>
      <family val="2"/>
    </font>
    <font>
      <sz val="16"/>
      <color rgb="FF000000"/>
      <name val="Arial"/>
      <family val="2"/>
    </font>
    <font>
      <sz val="16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1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MPs!$F$2:$F$35</c:f>
              <c:numCache>
                <c:formatCode>General</c:formatCode>
                <c:ptCount val="34"/>
                <c:pt idx="0">
                  <c:v>400</c:v>
                </c:pt>
                <c:pt idx="1">
                  <c:v>400</c:v>
                </c:pt>
                <c:pt idx="2">
                  <c:v>150</c:v>
                </c:pt>
                <c:pt idx="3">
                  <c:v>150</c:v>
                </c:pt>
                <c:pt idx="4">
                  <c:v>250</c:v>
                </c:pt>
                <c:pt idx="5">
                  <c:v>250</c:v>
                </c:pt>
                <c:pt idx="6">
                  <c:v>350</c:v>
                </c:pt>
                <c:pt idx="7">
                  <c:v>350</c:v>
                </c:pt>
                <c:pt idx="8">
                  <c:v>450</c:v>
                </c:pt>
                <c:pt idx="9">
                  <c:v>450</c:v>
                </c:pt>
                <c:pt idx="10">
                  <c:v>500</c:v>
                </c:pt>
                <c:pt idx="11">
                  <c:v>500</c:v>
                </c:pt>
                <c:pt idx="12">
                  <c:v>40</c:v>
                </c:pt>
                <c:pt idx="13">
                  <c:v>70</c:v>
                </c:pt>
                <c:pt idx="14">
                  <c:v>170</c:v>
                </c:pt>
                <c:pt idx="15">
                  <c:v>220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180</c:v>
                </c:pt>
                <c:pt idx="29">
                  <c:v>200</c:v>
                </c:pt>
                <c:pt idx="30">
                  <c:v>165</c:v>
                </c:pt>
                <c:pt idx="31">
                  <c:v>180</c:v>
                </c:pt>
                <c:pt idx="32">
                  <c:v>220</c:v>
                </c:pt>
                <c:pt idx="33">
                  <c:v>260</c:v>
                </c:pt>
              </c:numCache>
            </c:numRef>
          </c:xVal>
          <c:yVal>
            <c:numRef>
              <c:f>MPs!$D$2:$D$35</c:f>
              <c:numCache>
                <c:formatCode>General</c:formatCode>
                <c:ptCount val="34"/>
                <c:pt idx="0">
                  <c:v>0.76</c:v>
                </c:pt>
                <c:pt idx="1">
                  <c:v>0.99650000000000005</c:v>
                </c:pt>
                <c:pt idx="2">
                  <c:v>0.86113989637305699</c:v>
                </c:pt>
                <c:pt idx="3">
                  <c:v>0.93490054249547916</c:v>
                </c:pt>
                <c:pt idx="4">
                  <c:v>0.96476683937823837</c:v>
                </c:pt>
                <c:pt idx="5">
                  <c:v>0.97468354430379744</c:v>
                </c:pt>
                <c:pt idx="6">
                  <c:v>0.99108808290155437</c:v>
                </c:pt>
                <c:pt idx="7">
                  <c:v>0.99204339963833643</c:v>
                </c:pt>
                <c:pt idx="8">
                  <c:v>0.99419689119170984</c:v>
                </c:pt>
                <c:pt idx="9">
                  <c:v>0.99656419529837259</c:v>
                </c:pt>
                <c:pt idx="10">
                  <c:v>0.99761658031088085</c:v>
                </c:pt>
                <c:pt idx="11">
                  <c:v>0.99674502712477409</c:v>
                </c:pt>
                <c:pt idx="12">
                  <c:v>4.4999999999999998E-2</c:v>
                </c:pt>
                <c:pt idx="13">
                  <c:v>0.437</c:v>
                </c:pt>
                <c:pt idx="14">
                  <c:v>0.115</c:v>
                </c:pt>
                <c:pt idx="15">
                  <c:v>0.85009999999999997</c:v>
                </c:pt>
                <c:pt idx="28">
                  <c:v>0.81</c:v>
                </c:pt>
                <c:pt idx="29" formatCode="0.00">
                  <c:v>0.9</c:v>
                </c:pt>
                <c:pt idx="30" formatCode="0.00">
                  <c:v>0.35</c:v>
                </c:pt>
                <c:pt idx="31" formatCode="0.000">
                  <c:v>0.32363636363636361</c:v>
                </c:pt>
                <c:pt idx="32" formatCode="0.000">
                  <c:v>0.62909090909090903</c:v>
                </c:pt>
                <c:pt idx="33" formatCode="0.000">
                  <c:v>0.80363636363636359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5-A245-91E8-E2F35C92D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2511"/>
        <c:axId val="74214783"/>
      </c:scatterChart>
      <c:valAx>
        <c:axId val="7387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14783"/>
        <c:crosses val="autoZero"/>
        <c:crossBetween val="midCat"/>
      </c:valAx>
      <c:valAx>
        <c:axId val="7421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PhACs!$E$1</c:f>
              <c:strCache>
                <c:ptCount val="1"/>
                <c:pt idx="0">
                  <c:v>temperature [°C]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PhACs!$E$2:$E$306</c:f>
              <c:numCache>
                <c:formatCode>General</c:formatCode>
                <c:ptCount val="305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105</c:v>
                </c:pt>
                <c:pt idx="33">
                  <c:v>105</c:v>
                </c:pt>
                <c:pt idx="34">
                  <c:v>105</c:v>
                </c:pt>
                <c:pt idx="35">
                  <c:v>105</c:v>
                </c:pt>
                <c:pt idx="36">
                  <c:v>105</c:v>
                </c:pt>
                <c:pt idx="37">
                  <c:v>105</c:v>
                </c:pt>
                <c:pt idx="38">
                  <c:v>105</c:v>
                </c:pt>
                <c:pt idx="39">
                  <c:v>105</c:v>
                </c:pt>
                <c:pt idx="40">
                  <c:v>105</c:v>
                </c:pt>
                <c:pt idx="41">
                  <c:v>105</c:v>
                </c:pt>
                <c:pt idx="42">
                  <c:v>105</c:v>
                </c:pt>
                <c:pt idx="43">
                  <c:v>105</c:v>
                </c:pt>
                <c:pt idx="44">
                  <c:v>105</c:v>
                </c:pt>
                <c:pt idx="45">
                  <c:v>105</c:v>
                </c:pt>
                <c:pt idx="46">
                  <c:v>105</c:v>
                </c:pt>
                <c:pt idx="47">
                  <c:v>105</c:v>
                </c:pt>
                <c:pt idx="48">
                  <c:v>105</c:v>
                </c:pt>
                <c:pt idx="49">
                  <c:v>105</c:v>
                </c:pt>
                <c:pt idx="50">
                  <c:v>105</c:v>
                </c:pt>
                <c:pt idx="51">
                  <c:v>105</c:v>
                </c:pt>
                <c:pt idx="52">
                  <c:v>105</c:v>
                </c:pt>
                <c:pt idx="53">
                  <c:v>105</c:v>
                </c:pt>
                <c:pt idx="54">
                  <c:v>105</c:v>
                </c:pt>
                <c:pt idx="55">
                  <c:v>105</c:v>
                </c:pt>
                <c:pt idx="56">
                  <c:v>105</c:v>
                </c:pt>
                <c:pt idx="57">
                  <c:v>105</c:v>
                </c:pt>
                <c:pt idx="58">
                  <c:v>105</c:v>
                </c:pt>
                <c:pt idx="59">
                  <c:v>105</c:v>
                </c:pt>
                <c:pt idx="60">
                  <c:v>105</c:v>
                </c:pt>
                <c:pt idx="61">
                  <c:v>105</c:v>
                </c:pt>
                <c:pt idx="62">
                  <c:v>105</c:v>
                </c:pt>
                <c:pt idx="63">
                  <c:v>105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550</c:v>
                </c:pt>
                <c:pt idx="97">
                  <c:v>550</c:v>
                </c:pt>
                <c:pt idx="98">
                  <c:v>550</c:v>
                </c:pt>
                <c:pt idx="99">
                  <c:v>550</c:v>
                </c:pt>
                <c:pt idx="100">
                  <c:v>550</c:v>
                </c:pt>
                <c:pt idx="101">
                  <c:v>550</c:v>
                </c:pt>
                <c:pt idx="102">
                  <c:v>550</c:v>
                </c:pt>
                <c:pt idx="103">
                  <c:v>550</c:v>
                </c:pt>
                <c:pt idx="104">
                  <c:v>550</c:v>
                </c:pt>
                <c:pt idx="105">
                  <c:v>550</c:v>
                </c:pt>
                <c:pt idx="106">
                  <c:v>550</c:v>
                </c:pt>
                <c:pt idx="107">
                  <c:v>550</c:v>
                </c:pt>
                <c:pt idx="108">
                  <c:v>550</c:v>
                </c:pt>
                <c:pt idx="109">
                  <c:v>550</c:v>
                </c:pt>
                <c:pt idx="110">
                  <c:v>550</c:v>
                </c:pt>
                <c:pt idx="111">
                  <c:v>550</c:v>
                </c:pt>
                <c:pt idx="112">
                  <c:v>550</c:v>
                </c:pt>
                <c:pt idx="113">
                  <c:v>550</c:v>
                </c:pt>
                <c:pt idx="114">
                  <c:v>550</c:v>
                </c:pt>
                <c:pt idx="115">
                  <c:v>550</c:v>
                </c:pt>
                <c:pt idx="116">
                  <c:v>550</c:v>
                </c:pt>
                <c:pt idx="117">
                  <c:v>550</c:v>
                </c:pt>
                <c:pt idx="118">
                  <c:v>550</c:v>
                </c:pt>
                <c:pt idx="119">
                  <c:v>550</c:v>
                </c:pt>
                <c:pt idx="120">
                  <c:v>550</c:v>
                </c:pt>
                <c:pt idx="121">
                  <c:v>550</c:v>
                </c:pt>
                <c:pt idx="122">
                  <c:v>550</c:v>
                </c:pt>
                <c:pt idx="123">
                  <c:v>550</c:v>
                </c:pt>
                <c:pt idx="124">
                  <c:v>550</c:v>
                </c:pt>
                <c:pt idx="125">
                  <c:v>550</c:v>
                </c:pt>
                <c:pt idx="126">
                  <c:v>550</c:v>
                </c:pt>
                <c:pt idx="127">
                  <c:v>550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37</c:v>
                </c:pt>
                <c:pt idx="132">
                  <c:v>37</c:v>
                </c:pt>
                <c:pt idx="133">
                  <c:v>37</c:v>
                </c:pt>
                <c:pt idx="134">
                  <c:v>37</c:v>
                </c:pt>
                <c:pt idx="135">
                  <c:v>37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37</c:v>
                </c:pt>
                <c:pt idx="140">
                  <c:v>55</c:v>
                </c:pt>
                <c:pt idx="141">
                  <c:v>55</c:v>
                </c:pt>
                <c:pt idx="142">
                  <c:v>55</c:v>
                </c:pt>
                <c:pt idx="143">
                  <c:v>55</c:v>
                </c:pt>
                <c:pt idx="144">
                  <c:v>55</c:v>
                </c:pt>
                <c:pt idx="145">
                  <c:v>55</c:v>
                </c:pt>
                <c:pt idx="146">
                  <c:v>55</c:v>
                </c:pt>
                <c:pt idx="147">
                  <c:v>55</c:v>
                </c:pt>
                <c:pt idx="148">
                  <c:v>55</c:v>
                </c:pt>
                <c:pt idx="149">
                  <c:v>55</c:v>
                </c:pt>
                <c:pt idx="150">
                  <c:v>55</c:v>
                </c:pt>
                <c:pt idx="151">
                  <c:v>55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325</c:v>
                </c:pt>
                <c:pt idx="161">
                  <c:v>325</c:v>
                </c:pt>
                <c:pt idx="162">
                  <c:v>325</c:v>
                </c:pt>
                <c:pt idx="163">
                  <c:v>325</c:v>
                </c:pt>
                <c:pt idx="164">
                  <c:v>325</c:v>
                </c:pt>
                <c:pt idx="165">
                  <c:v>325</c:v>
                </c:pt>
                <c:pt idx="166">
                  <c:v>325</c:v>
                </c:pt>
                <c:pt idx="167">
                  <c:v>325</c:v>
                </c:pt>
                <c:pt idx="168">
                  <c:v>350</c:v>
                </c:pt>
                <c:pt idx="169">
                  <c:v>350</c:v>
                </c:pt>
                <c:pt idx="170">
                  <c:v>350</c:v>
                </c:pt>
                <c:pt idx="171">
                  <c:v>350</c:v>
                </c:pt>
                <c:pt idx="172">
                  <c:v>350</c:v>
                </c:pt>
                <c:pt idx="173">
                  <c:v>350</c:v>
                </c:pt>
                <c:pt idx="174">
                  <c:v>350</c:v>
                </c:pt>
                <c:pt idx="175">
                  <c:v>350</c:v>
                </c:pt>
                <c:pt idx="176">
                  <c:v>320</c:v>
                </c:pt>
                <c:pt idx="177">
                  <c:v>320</c:v>
                </c:pt>
                <c:pt idx="178">
                  <c:v>320</c:v>
                </c:pt>
                <c:pt idx="179">
                  <c:v>320</c:v>
                </c:pt>
                <c:pt idx="180">
                  <c:v>320</c:v>
                </c:pt>
                <c:pt idx="181">
                  <c:v>320</c:v>
                </c:pt>
                <c:pt idx="182">
                  <c:v>320</c:v>
                </c:pt>
                <c:pt idx="183">
                  <c:v>320</c:v>
                </c:pt>
                <c:pt idx="184">
                  <c:v>320</c:v>
                </c:pt>
                <c:pt idx="185">
                  <c:v>320</c:v>
                </c:pt>
                <c:pt idx="186">
                  <c:v>320</c:v>
                </c:pt>
                <c:pt idx="187">
                  <c:v>320</c:v>
                </c:pt>
                <c:pt idx="188">
                  <c:v>320</c:v>
                </c:pt>
                <c:pt idx="189">
                  <c:v>320</c:v>
                </c:pt>
                <c:pt idx="190">
                  <c:v>320</c:v>
                </c:pt>
                <c:pt idx="191">
                  <c:v>320</c:v>
                </c:pt>
                <c:pt idx="192">
                  <c:v>320</c:v>
                </c:pt>
                <c:pt idx="193">
                  <c:v>320</c:v>
                </c:pt>
                <c:pt idx="194">
                  <c:v>320</c:v>
                </c:pt>
                <c:pt idx="195">
                  <c:v>320</c:v>
                </c:pt>
                <c:pt idx="196">
                  <c:v>320</c:v>
                </c:pt>
                <c:pt idx="197">
                  <c:v>320</c:v>
                </c:pt>
                <c:pt idx="198">
                  <c:v>320</c:v>
                </c:pt>
                <c:pt idx="199">
                  <c:v>320</c:v>
                </c:pt>
                <c:pt idx="200">
                  <c:v>320</c:v>
                </c:pt>
                <c:pt idx="201">
                  <c:v>320</c:v>
                </c:pt>
                <c:pt idx="202">
                  <c:v>320</c:v>
                </c:pt>
                <c:pt idx="203">
                  <c:v>320</c:v>
                </c:pt>
                <c:pt idx="204">
                  <c:v>320</c:v>
                </c:pt>
                <c:pt idx="205">
                  <c:v>320</c:v>
                </c:pt>
                <c:pt idx="206">
                  <c:v>320</c:v>
                </c:pt>
                <c:pt idx="207">
                  <c:v>320</c:v>
                </c:pt>
                <c:pt idx="208">
                  <c:v>320</c:v>
                </c:pt>
                <c:pt idx="209">
                  <c:v>320</c:v>
                </c:pt>
                <c:pt idx="210">
                  <c:v>320</c:v>
                </c:pt>
                <c:pt idx="211">
                  <c:v>320</c:v>
                </c:pt>
                <c:pt idx="212">
                  <c:v>320</c:v>
                </c:pt>
                <c:pt idx="213">
                  <c:v>320</c:v>
                </c:pt>
                <c:pt idx="214">
                  <c:v>320</c:v>
                </c:pt>
                <c:pt idx="215">
                  <c:v>320</c:v>
                </c:pt>
                <c:pt idx="216">
                  <c:v>320</c:v>
                </c:pt>
                <c:pt idx="217">
                  <c:v>320</c:v>
                </c:pt>
                <c:pt idx="218">
                  <c:v>320</c:v>
                </c:pt>
                <c:pt idx="219">
                  <c:v>320</c:v>
                </c:pt>
                <c:pt idx="220">
                  <c:v>320</c:v>
                </c:pt>
                <c:pt idx="221">
                  <c:v>320</c:v>
                </c:pt>
                <c:pt idx="222">
                  <c:v>320</c:v>
                </c:pt>
                <c:pt idx="223">
                  <c:v>29.6</c:v>
                </c:pt>
                <c:pt idx="224">
                  <c:v>29.6</c:v>
                </c:pt>
                <c:pt idx="225">
                  <c:v>29.6</c:v>
                </c:pt>
                <c:pt idx="226">
                  <c:v>29.6</c:v>
                </c:pt>
                <c:pt idx="227">
                  <c:v>29.6</c:v>
                </c:pt>
                <c:pt idx="228">
                  <c:v>29.6</c:v>
                </c:pt>
                <c:pt idx="229">
                  <c:v>29.6</c:v>
                </c:pt>
                <c:pt idx="230">
                  <c:v>29.6</c:v>
                </c:pt>
                <c:pt idx="231">
                  <c:v>29.6</c:v>
                </c:pt>
                <c:pt idx="232">
                  <c:v>29.6</c:v>
                </c:pt>
                <c:pt idx="233">
                  <c:v>29.6</c:v>
                </c:pt>
                <c:pt idx="234">
                  <c:v>37.6</c:v>
                </c:pt>
                <c:pt idx="235">
                  <c:v>37.6</c:v>
                </c:pt>
                <c:pt idx="236">
                  <c:v>37.6</c:v>
                </c:pt>
                <c:pt idx="237">
                  <c:v>37.6</c:v>
                </c:pt>
                <c:pt idx="238">
                  <c:v>37.6</c:v>
                </c:pt>
                <c:pt idx="239">
                  <c:v>37.6</c:v>
                </c:pt>
                <c:pt idx="240">
                  <c:v>37.6</c:v>
                </c:pt>
                <c:pt idx="241">
                  <c:v>37.6</c:v>
                </c:pt>
                <c:pt idx="242">
                  <c:v>37.6</c:v>
                </c:pt>
                <c:pt idx="243">
                  <c:v>37.6</c:v>
                </c:pt>
                <c:pt idx="244">
                  <c:v>37.6</c:v>
                </c:pt>
                <c:pt idx="245">
                  <c:v>57.4</c:v>
                </c:pt>
                <c:pt idx="246">
                  <c:v>57.4</c:v>
                </c:pt>
                <c:pt idx="247">
                  <c:v>57.4</c:v>
                </c:pt>
                <c:pt idx="248">
                  <c:v>57.4</c:v>
                </c:pt>
                <c:pt idx="249">
                  <c:v>57.4</c:v>
                </c:pt>
                <c:pt idx="250">
                  <c:v>57.4</c:v>
                </c:pt>
                <c:pt idx="251">
                  <c:v>57.4</c:v>
                </c:pt>
                <c:pt idx="252">
                  <c:v>57.4</c:v>
                </c:pt>
                <c:pt idx="253">
                  <c:v>57.4</c:v>
                </c:pt>
                <c:pt idx="254">
                  <c:v>57.4</c:v>
                </c:pt>
                <c:pt idx="255">
                  <c:v>57.4</c:v>
                </c:pt>
                <c:pt idx="256">
                  <c:v>65.5</c:v>
                </c:pt>
                <c:pt idx="257">
                  <c:v>65.5</c:v>
                </c:pt>
                <c:pt idx="258">
                  <c:v>65.5</c:v>
                </c:pt>
                <c:pt idx="259">
                  <c:v>65.5</c:v>
                </c:pt>
                <c:pt idx="260">
                  <c:v>65.5</c:v>
                </c:pt>
                <c:pt idx="261">
                  <c:v>65.5</c:v>
                </c:pt>
                <c:pt idx="262">
                  <c:v>65.5</c:v>
                </c:pt>
                <c:pt idx="263">
                  <c:v>65.5</c:v>
                </c:pt>
                <c:pt idx="264">
                  <c:v>65.5</c:v>
                </c:pt>
                <c:pt idx="265">
                  <c:v>65.5</c:v>
                </c:pt>
                <c:pt idx="266">
                  <c:v>65.5</c:v>
                </c:pt>
                <c:pt idx="267">
                  <c:v>55</c:v>
                </c:pt>
                <c:pt idx="268">
                  <c:v>55</c:v>
                </c:pt>
                <c:pt idx="269">
                  <c:v>55</c:v>
                </c:pt>
                <c:pt idx="270">
                  <c:v>55</c:v>
                </c:pt>
                <c:pt idx="271">
                  <c:v>55</c:v>
                </c:pt>
                <c:pt idx="272">
                  <c:v>55</c:v>
                </c:pt>
                <c:pt idx="273">
                  <c:v>55</c:v>
                </c:pt>
                <c:pt idx="274">
                  <c:v>195</c:v>
                </c:pt>
                <c:pt idx="275">
                  <c:v>210</c:v>
                </c:pt>
                <c:pt idx="276">
                  <c:v>195</c:v>
                </c:pt>
                <c:pt idx="277">
                  <c:v>180</c:v>
                </c:pt>
                <c:pt idx="278">
                  <c:v>195</c:v>
                </c:pt>
                <c:pt idx="279">
                  <c:v>220.23</c:v>
                </c:pt>
                <c:pt idx="280">
                  <c:v>195</c:v>
                </c:pt>
                <c:pt idx="281">
                  <c:v>195</c:v>
                </c:pt>
                <c:pt idx="282">
                  <c:v>210</c:v>
                </c:pt>
                <c:pt idx="283">
                  <c:v>169.77</c:v>
                </c:pt>
                <c:pt idx="284">
                  <c:v>210</c:v>
                </c:pt>
                <c:pt idx="285">
                  <c:v>180</c:v>
                </c:pt>
                <c:pt idx="286">
                  <c:v>180</c:v>
                </c:pt>
                <c:pt idx="287">
                  <c:v>195</c:v>
                </c:pt>
                <c:pt idx="288">
                  <c:v>210</c:v>
                </c:pt>
                <c:pt idx="289">
                  <c:v>195</c:v>
                </c:pt>
                <c:pt idx="290">
                  <c:v>180</c:v>
                </c:pt>
                <c:pt idx="291">
                  <c:v>420</c:v>
                </c:pt>
                <c:pt idx="292">
                  <c:v>500</c:v>
                </c:pt>
                <c:pt idx="293">
                  <c:v>400</c:v>
                </c:pt>
                <c:pt idx="294">
                  <c:v>600</c:v>
                </c:pt>
                <c:pt idx="295">
                  <c:v>210</c:v>
                </c:pt>
                <c:pt idx="296">
                  <c:v>210</c:v>
                </c:pt>
                <c:pt idx="297">
                  <c:v>210</c:v>
                </c:pt>
                <c:pt idx="298">
                  <c:v>210</c:v>
                </c:pt>
                <c:pt idx="299">
                  <c:v>210</c:v>
                </c:pt>
                <c:pt idx="300">
                  <c:v>210</c:v>
                </c:pt>
                <c:pt idx="301">
                  <c:v>210</c:v>
                </c:pt>
                <c:pt idx="302">
                  <c:v>210</c:v>
                </c:pt>
                <c:pt idx="303">
                  <c:v>210</c:v>
                </c:pt>
                <c:pt idx="304">
                  <c:v>210</c:v>
                </c:pt>
              </c:numCache>
            </c:numRef>
          </c:xVal>
          <c:yVal>
            <c:numRef>
              <c:f>PhACs!$D$2:$D$306</c:f>
              <c:numCache>
                <c:formatCode>General</c:formatCode>
                <c:ptCount val="305"/>
                <c:pt idx="0">
                  <c:v>0.76400000000000001</c:v>
                </c:pt>
                <c:pt idx="1">
                  <c:v>0.80555555555555558</c:v>
                </c:pt>
                <c:pt idx="2">
                  <c:v>0.7857142857142857</c:v>
                </c:pt>
                <c:pt idx="3">
                  <c:v>0.85428571428571431</c:v>
                </c:pt>
                <c:pt idx="4">
                  <c:v>0.82222222222222219</c:v>
                </c:pt>
                <c:pt idx="5">
                  <c:v>0.76896551724137929</c:v>
                </c:pt>
                <c:pt idx="6">
                  <c:v>0.83589743589743593</c:v>
                </c:pt>
                <c:pt idx="7">
                  <c:v>0.81739130434782614</c:v>
                </c:pt>
                <c:pt idx="8">
                  <c:v>0.76923076923076927</c:v>
                </c:pt>
                <c:pt idx="9">
                  <c:v>0.7533333333333333</c:v>
                </c:pt>
                <c:pt idx="10">
                  <c:v>0.7407407407407407</c:v>
                </c:pt>
                <c:pt idx="11">
                  <c:v>0.87323943661971826</c:v>
                </c:pt>
                <c:pt idx="12">
                  <c:v>0.89833333333333332</c:v>
                </c:pt>
                <c:pt idx="13">
                  <c:v>0.89696969696969697</c:v>
                </c:pt>
                <c:pt idx="14">
                  <c:v>0.86153846153846159</c:v>
                </c:pt>
                <c:pt idx="15">
                  <c:v>0.84375</c:v>
                </c:pt>
                <c:pt idx="16">
                  <c:v>0.94142857142857139</c:v>
                </c:pt>
                <c:pt idx="17">
                  <c:v>0.93166666666666664</c:v>
                </c:pt>
                <c:pt idx="18">
                  <c:v>0.89230769230769236</c:v>
                </c:pt>
                <c:pt idx="19">
                  <c:v>0.91666666666666663</c:v>
                </c:pt>
                <c:pt idx="20">
                  <c:v>0.93333333333333335</c:v>
                </c:pt>
                <c:pt idx="21">
                  <c:v>0.96437499999999998</c:v>
                </c:pt>
                <c:pt idx="22">
                  <c:v>0.95157894736842108</c:v>
                </c:pt>
                <c:pt idx="23">
                  <c:v>0.93153846153846154</c:v>
                </c:pt>
                <c:pt idx="24">
                  <c:v>0.63461538461538458</c:v>
                </c:pt>
                <c:pt idx="25">
                  <c:v>0.40625</c:v>
                </c:pt>
                <c:pt idx="26">
                  <c:v>0.41379310344827586</c:v>
                </c:pt>
                <c:pt idx="27">
                  <c:v>0.73</c:v>
                </c:pt>
                <c:pt idx="28">
                  <c:v>0.4576271186440678</c:v>
                </c:pt>
                <c:pt idx="29">
                  <c:v>0.15384615384615385</c:v>
                </c:pt>
                <c:pt idx="30">
                  <c:v>0.4098360655737705</c:v>
                </c:pt>
                <c:pt idx="31">
                  <c:v>0.3783783783783784</c:v>
                </c:pt>
                <c:pt idx="32">
                  <c:v>0.84799999999999998</c:v>
                </c:pt>
                <c:pt idx="33">
                  <c:v>0.83333333333333337</c:v>
                </c:pt>
                <c:pt idx="34">
                  <c:v>0.80476190476190479</c:v>
                </c:pt>
                <c:pt idx="35">
                  <c:v>0.88</c:v>
                </c:pt>
                <c:pt idx="36">
                  <c:v>0.8037037037037037</c:v>
                </c:pt>
                <c:pt idx="37">
                  <c:v>0.90689655172413797</c:v>
                </c:pt>
                <c:pt idx="38">
                  <c:v>0.88717948717948714</c:v>
                </c:pt>
                <c:pt idx="39">
                  <c:v>0.86521739130434783</c:v>
                </c:pt>
                <c:pt idx="40">
                  <c:v>0.8634615384615385</c:v>
                </c:pt>
                <c:pt idx="41">
                  <c:v>0.76666666666666672</c:v>
                </c:pt>
                <c:pt idx="42">
                  <c:v>0.79629629629629628</c:v>
                </c:pt>
                <c:pt idx="43">
                  <c:v>0.89295774647887327</c:v>
                </c:pt>
                <c:pt idx="44">
                  <c:v>0.89500000000000002</c:v>
                </c:pt>
                <c:pt idx="45">
                  <c:v>0.9242424242424242</c:v>
                </c:pt>
                <c:pt idx="46">
                  <c:v>0.9</c:v>
                </c:pt>
                <c:pt idx="47">
                  <c:v>0.87187499999999996</c:v>
                </c:pt>
                <c:pt idx="48">
                  <c:v>0.91428571428571426</c:v>
                </c:pt>
                <c:pt idx="49">
                  <c:v>0.94416666666666671</c:v>
                </c:pt>
                <c:pt idx="50">
                  <c:v>0.89230769230769236</c:v>
                </c:pt>
                <c:pt idx="51">
                  <c:v>0.91666666666666663</c:v>
                </c:pt>
                <c:pt idx="52">
                  <c:v>0.93733333333333335</c:v>
                </c:pt>
                <c:pt idx="53">
                  <c:v>0.97250000000000003</c:v>
                </c:pt>
                <c:pt idx="54">
                  <c:v>0.96263157894736839</c:v>
                </c:pt>
                <c:pt idx="55">
                  <c:v>0.94923076923076921</c:v>
                </c:pt>
                <c:pt idx="56">
                  <c:v>0.65384615384615385</c:v>
                </c:pt>
                <c:pt idx="57">
                  <c:v>0.5</c:v>
                </c:pt>
                <c:pt idx="58">
                  <c:v>0.44827586206896552</c:v>
                </c:pt>
                <c:pt idx="59">
                  <c:v>0.8</c:v>
                </c:pt>
                <c:pt idx="60">
                  <c:v>0.3728813559322034</c:v>
                </c:pt>
                <c:pt idx="61">
                  <c:v>0.7384615384615385</c:v>
                </c:pt>
                <c:pt idx="62">
                  <c:v>0.60655737704918034</c:v>
                </c:pt>
                <c:pt idx="63">
                  <c:v>0.56756756756756754</c:v>
                </c:pt>
                <c:pt idx="64">
                  <c:v>0.99883999999999995</c:v>
                </c:pt>
                <c:pt idx="65">
                  <c:v>0.99855555555555564</c:v>
                </c:pt>
                <c:pt idx="66">
                  <c:v>0.99671428571428566</c:v>
                </c:pt>
                <c:pt idx="67">
                  <c:v>0.9971714285714286</c:v>
                </c:pt>
                <c:pt idx="68">
                  <c:v>0.99940740740740741</c:v>
                </c:pt>
                <c:pt idx="69">
                  <c:v>0.99775862068965515</c:v>
                </c:pt>
                <c:pt idx="70">
                  <c:v>0.99917948717948724</c:v>
                </c:pt>
                <c:pt idx="71">
                  <c:v>0.99913043478260866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0.99792857142857139</c:v>
                </c:pt>
                <c:pt idx="81">
                  <c:v>0.99783333333333346</c:v>
                </c:pt>
                <c:pt idx="82">
                  <c:v>0.9954615384615384</c:v>
                </c:pt>
                <c:pt idx="83">
                  <c:v>0.99449999999999994</c:v>
                </c:pt>
                <c:pt idx="84">
                  <c:v>0.99893333333333334</c:v>
                </c:pt>
                <c:pt idx="85">
                  <c:v>0.99593750000000003</c:v>
                </c:pt>
                <c:pt idx="86">
                  <c:v>0.99831578947368416</c:v>
                </c:pt>
                <c:pt idx="87">
                  <c:v>0.99846153846153851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0.56999999999999995</c:v>
                </c:pt>
                <c:pt idx="129">
                  <c:v>0.61</c:v>
                </c:pt>
                <c:pt idx="130">
                  <c:v>0.63</c:v>
                </c:pt>
                <c:pt idx="131">
                  <c:v>0.44</c:v>
                </c:pt>
                <c:pt idx="132">
                  <c:v>0.5</c:v>
                </c:pt>
                <c:pt idx="133">
                  <c:v>0.74</c:v>
                </c:pt>
                <c:pt idx="134">
                  <c:v>0.5</c:v>
                </c:pt>
                <c:pt idx="135">
                  <c:v>0.54</c:v>
                </c:pt>
                <c:pt idx="136">
                  <c:v>0.59</c:v>
                </c:pt>
                <c:pt idx="137">
                  <c:v>0.59</c:v>
                </c:pt>
                <c:pt idx="138">
                  <c:v>0.67</c:v>
                </c:pt>
                <c:pt idx="139">
                  <c:v>0.71</c:v>
                </c:pt>
                <c:pt idx="140">
                  <c:v>0.56999999999999995</c:v>
                </c:pt>
                <c:pt idx="141">
                  <c:v>0.64</c:v>
                </c:pt>
                <c:pt idx="142">
                  <c:v>0.65</c:v>
                </c:pt>
                <c:pt idx="143">
                  <c:v>0.52</c:v>
                </c:pt>
                <c:pt idx="144">
                  <c:v>0.74</c:v>
                </c:pt>
                <c:pt idx="145">
                  <c:v>0.74</c:v>
                </c:pt>
                <c:pt idx="146">
                  <c:v>0.48</c:v>
                </c:pt>
                <c:pt idx="147">
                  <c:v>0.56000000000000005</c:v>
                </c:pt>
                <c:pt idx="148">
                  <c:v>0.61</c:v>
                </c:pt>
                <c:pt idx="149">
                  <c:v>0.52</c:v>
                </c:pt>
                <c:pt idx="150">
                  <c:v>0.6</c:v>
                </c:pt>
                <c:pt idx="151">
                  <c:v>0.63</c:v>
                </c:pt>
                <c:pt idx="152">
                  <c:v>0.998</c:v>
                </c:pt>
                <c:pt idx="153">
                  <c:v>0.84299999999999997</c:v>
                </c:pt>
                <c:pt idx="154">
                  <c:v>0.98799999999999999</c:v>
                </c:pt>
                <c:pt idx="155">
                  <c:v>0.86699999999999999</c:v>
                </c:pt>
                <c:pt idx="156">
                  <c:v>0.98699999999999999</c:v>
                </c:pt>
                <c:pt idx="157">
                  <c:v>0.98399999999999999</c:v>
                </c:pt>
                <c:pt idx="158">
                  <c:v>0.999</c:v>
                </c:pt>
                <c:pt idx="159">
                  <c:v>0.998</c:v>
                </c:pt>
                <c:pt idx="160">
                  <c:v>0.998</c:v>
                </c:pt>
                <c:pt idx="161">
                  <c:v>0.85399999999999998</c:v>
                </c:pt>
                <c:pt idx="162">
                  <c:v>0.98899999999999999</c:v>
                </c:pt>
                <c:pt idx="163">
                  <c:v>0.999</c:v>
                </c:pt>
                <c:pt idx="164">
                  <c:v>0.98799999999999999</c:v>
                </c:pt>
                <c:pt idx="165">
                  <c:v>0.98499999999999999</c:v>
                </c:pt>
                <c:pt idx="166">
                  <c:v>0.999</c:v>
                </c:pt>
                <c:pt idx="167">
                  <c:v>0.998</c:v>
                </c:pt>
                <c:pt idx="168">
                  <c:v>0.998</c:v>
                </c:pt>
                <c:pt idx="169">
                  <c:v>0.85299999999999998</c:v>
                </c:pt>
                <c:pt idx="170">
                  <c:v>0.98899999999999999</c:v>
                </c:pt>
                <c:pt idx="171">
                  <c:v>0.999</c:v>
                </c:pt>
                <c:pt idx="172">
                  <c:v>0.98799999999999999</c:v>
                </c:pt>
                <c:pt idx="173">
                  <c:v>0.98499999999999999</c:v>
                </c:pt>
                <c:pt idx="174">
                  <c:v>0.999</c:v>
                </c:pt>
                <c:pt idx="175">
                  <c:v>0.998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0.99719270102265889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-0.04</c:v>
                </c:pt>
                <c:pt idx="224">
                  <c:v>0.46</c:v>
                </c:pt>
                <c:pt idx="225">
                  <c:v>-0.28000000000000003</c:v>
                </c:pt>
                <c:pt idx="226">
                  <c:v>0</c:v>
                </c:pt>
                <c:pt idx="227">
                  <c:v>0.16</c:v>
                </c:pt>
                <c:pt idx="228">
                  <c:v>0.1</c:v>
                </c:pt>
                <c:pt idx="229">
                  <c:v>-1.84</c:v>
                </c:pt>
                <c:pt idx="230">
                  <c:v>7.0000000000000007E-2</c:v>
                </c:pt>
                <c:pt idx="231">
                  <c:v>-0.96</c:v>
                </c:pt>
                <c:pt idx="232">
                  <c:v>-0.38</c:v>
                </c:pt>
                <c:pt idx="233">
                  <c:v>0.06</c:v>
                </c:pt>
                <c:pt idx="234">
                  <c:v>-0.16</c:v>
                </c:pt>
                <c:pt idx="235">
                  <c:v>0.4</c:v>
                </c:pt>
                <c:pt idx="236">
                  <c:v>-0.52</c:v>
                </c:pt>
                <c:pt idx="237">
                  <c:v>-0.13</c:v>
                </c:pt>
                <c:pt idx="238">
                  <c:v>0.02</c:v>
                </c:pt>
                <c:pt idx="239">
                  <c:v>0.18</c:v>
                </c:pt>
                <c:pt idx="240">
                  <c:v>-0.83</c:v>
                </c:pt>
                <c:pt idx="241">
                  <c:v>-0.04</c:v>
                </c:pt>
                <c:pt idx="242">
                  <c:v>-0.27</c:v>
                </c:pt>
                <c:pt idx="243">
                  <c:v>-0.5</c:v>
                </c:pt>
                <c:pt idx="244">
                  <c:v>-0.05</c:v>
                </c:pt>
                <c:pt idx="245">
                  <c:v>-0.08</c:v>
                </c:pt>
                <c:pt idx="246">
                  <c:v>0.27</c:v>
                </c:pt>
                <c:pt idx="247">
                  <c:v>-0.53</c:v>
                </c:pt>
                <c:pt idx="248">
                  <c:v>-0.06</c:v>
                </c:pt>
                <c:pt idx="249">
                  <c:v>0.2</c:v>
                </c:pt>
                <c:pt idx="250">
                  <c:v>0.33</c:v>
                </c:pt>
                <c:pt idx="251">
                  <c:v>-1.5</c:v>
                </c:pt>
                <c:pt idx="252">
                  <c:v>0.16</c:v>
                </c:pt>
                <c:pt idx="253">
                  <c:v>0.1</c:v>
                </c:pt>
                <c:pt idx="254">
                  <c:v>-0.63</c:v>
                </c:pt>
                <c:pt idx="255">
                  <c:v>0.09</c:v>
                </c:pt>
                <c:pt idx="256">
                  <c:v>-0.4</c:v>
                </c:pt>
                <c:pt idx="257">
                  <c:v>0.21</c:v>
                </c:pt>
                <c:pt idx="258">
                  <c:v>-0.72</c:v>
                </c:pt>
                <c:pt idx="259">
                  <c:v>0.03</c:v>
                </c:pt>
                <c:pt idx="260">
                  <c:v>0.19</c:v>
                </c:pt>
                <c:pt idx="261">
                  <c:v>0.47</c:v>
                </c:pt>
                <c:pt idx="262">
                  <c:v>-0.89</c:v>
                </c:pt>
                <c:pt idx="263">
                  <c:v>0.32</c:v>
                </c:pt>
                <c:pt idx="264">
                  <c:v>0.22</c:v>
                </c:pt>
                <c:pt idx="265">
                  <c:v>-0.72</c:v>
                </c:pt>
                <c:pt idx="266">
                  <c:v>0.13</c:v>
                </c:pt>
                <c:pt idx="267">
                  <c:v>0.88</c:v>
                </c:pt>
                <c:pt idx="268">
                  <c:v>0.99</c:v>
                </c:pt>
                <c:pt idx="269">
                  <c:v>0.94</c:v>
                </c:pt>
                <c:pt idx="270">
                  <c:v>0.69</c:v>
                </c:pt>
                <c:pt idx="271">
                  <c:v>0.5</c:v>
                </c:pt>
                <c:pt idx="272">
                  <c:v>0.41</c:v>
                </c:pt>
                <c:pt idx="273">
                  <c:v>0</c:v>
                </c:pt>
                <c:pt idx="274">
                  <c:v>0.74959999999999993</c:v>
                </c:pt>
                <c:pt idx="275">
                  <c:v>0.79099999999999993</c:v>
                </c:pt>
                <c:pt idx="276">
                  <c:v>0.83109999999999995</c:v>
                </c:pt>
                <c:pt idx="277">
                  <c:v>0.64790000000000003</c:v>
                </c:pt>
                <c:pt idx="278">
                  <c:v>0.71479999999999999</c:v>
                </c:pt>
                <c:pt idx="279">
                  <c:v>0.88629999999999998</c:v>
                </c:pt>
                <c:pt idx="280">
                  <c:v>0.75890000000000002</c:v>
                </c:pt>
                <c:pt idx="281">
                  <c:v>0.72459999999999991</c:v>
                </c:pt>
                <c:pt idx="282">
                  <c:v>0.77739999999999998</c:v>
                </c:pt>
                <c:pt idx="283">
                  <c:v>0.66010000000000002</c:v>
                </c:pt>
                <c:pt idx="284">
                  <c:v>0.79510000000000003</c:v>
                </c:pt>
                <c:pt idx="285">
                  <c:v>0.78749999999999998</c:v>
                </c:pt>
                <c:pt idx="286">
                  <c:v>0.55789999999999995</c:v>
                </c:pt>
                <c:pt idx="287">
                  <c:v>0.69889999999999997</c:v>
                </c:pt>
                <c:pt idx="288">
                  <c:v>0.7762</c:v>
                </c:pt>
                <c:pt idx="289">
                  <c:v>0.74159999999999993</c:v>
                </c:pt>
                <c:pt idx="290">
                  <c:v>0.71609999999999996</c:v>
                </c:pt>
                <c:pt idx="291">
                  <c:v>0.99</c:v>
                </c:pt>
                <c:pt idx="292">
                  <c:v>0.99</c:v>
                </c:pt>
                <c:pt idx="293">
                  <c:v>1</c:v>
                </c:pt>
                <c:pt idx="294">
                  <c:v>0.99</c:v>
                </c:pt>
                <c:pt idx="295">
                  <c:v>0.63</c:v>
                </c:pt>
                <c:pt idx="296">
                  <c:v>-9.5238095238095233E-2</c:v>
                </c:pt>
                <c:pt idx="297">
                  <c:v>0.98</c:v>
                </c:pt>
                <c:pt idx="298">
                  <c:v>0.89</c:v>
                </c:pt>
                <c:pt idx="299">
                  <c:v>0.97</c:v>
                </c:pt>
                <c:pt idx="300">
                  <c:v>0.39</c:v>
                </c:pt>
                <c:pt idx="301">
                  <c:v>0.81</c:v>
                </c:pt>
                <c:pt idx="302">
                  <c:v>0.95</c:v>
                </c:pt>
                <c:pt idx="303">
                  <c:v>0.97</c:v>
                </c:pt>
                <c:pt idx="304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9-3244-937C-CB49CDAFE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03552"/>
        <c:axId val="54957760"/>
      </c:scatterChart>
      <c:valAx>
        <c:axId val="5750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57760"/>
        <c:crosses val="autoZero"/>
        <c:crossBetween val="midCat"/>
      </c:valAx>
      <c:valAx>
        <c:axId val="549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ARGs!$E$1</c:f>
              <c:strCache>
                <c:ptCount val="1"/>
                <c:pt idx="0">
                  <c:v>temperature [°C]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ARGs!$E$2:$E$102</c:f>
              <c:numCache>
                <c:formatCode>General</c:formatCode>
                <c:ptCount val="101"/>
                <c:pt idx="0">
                  <c:v>90</c:v>
                </c:pt>
                <c:pt idx="1">
                  <c:v>60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22</c:v>
                </c:pt>
                <c:pt idx="9">
                  <c:v>22</c:v>
                </c:pt>
                <c:pt idx="10">
                  <c:v>37</c:v>
                </c:pt>
                <c:pt idx="11">
                  <c:v>37</c:v>
                </c:pt>
                <c:pt idx="12">
                  <c:v>46</c:v>
                </c:pt>
                <c:pt idx="13">
                  <c:v>46</c:v>
                </c:pt>
                <c:pt idx="14">
                  <c:v>55</c:v>
                </c:pt>
                <c:pt idx="15">
                  <c:v>55</c:v>
                </c:pt>
                <c:pt idx="16">
                  <c:v>17</c:v>
                </c:pt>
                <c:pt idx="17">
                  <c:v>17</c:v>
                </c:pt>
                <c:pt idx="18">
                  <c:v>55</c:v>
                </c:pt>
                <c:pt idx="19">
                  <c:v>55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22</c:v>
                </c:pt>
                <c:pt idx="24">
                  <c:v>22</c:v>
                </c:pt>
                <c:pt idx="25">
                  <c:v>37</c:v>
                </c:pt>
                <c:pt idx="26">
                  <c:v>37</c:v>
                </c:pt>
                <c:pt idx="27">
                  <c:v>46</c:v>
                </c:pt>
                <c:pt idx="28">
                  <c:v>46</c:v>
                </c:pt>
                <c:pt idx="29">
                  <c:v>55</c:v>
                </c:pt>
                <c:pt idx="30">
                  <c:v>55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47</c:v>
                </c:pt>
                <c:pt idx="35">
                  <c:v>47</c:v>
                </c:pt>
                <c:pt idx="36">
                  <c:v>47</c:v>
                </c:pt>
                <c:pt idx="37">
                  <c:v>52</c:v>
                </c:pt>
                <c:pt idx="38">
                  <c:v>52</c:v>
                </c:pt>
                <c:pt idx="39">
                  <c:v>52</c:v>
                </c:pt>
                <c:pt idx="40">
                  <c:v>59</c:v>
                </c:pt>
                <c:pt idx="41">
                  <c:v>59</c:v>
                </c:pt>
                <c:pt idx="42">
                  <c:v>59</c:v>
                </c:pt>
                <c:pt idx="43">
                  <c:v>38</c:v>
                </c:pt>
                <c:pt idx="44">
                  <c:v>38</c:v>
                </c:pt>
                <c:pt idx="45">
                  <c:v>55</c:v>
                </c:pt>
                <c:pt idx="46">
                  <c:v>55</c:v>
                </c:pt>
                <c:pt idx="47">
                  <c:v>63</c:v>
                </c:pt>
                <c:pt idx="48">
                  <c:v>63</c:v>
                </c:pt>
                <c:pt idx="49">
                  <c:v>69</c:v>
                </c:pt>
                <c:pt idx="50">
                  <c:v>69</c:v>
                </c:pt>
                <c:pt idx="51">
                  <c:v>55</c:v>
                </c:pt>
                <c:pt idx="52">
                  <c:v>55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20</c:v>
                </c:pt>
                <c:pt idx="69">
                  <c:v>20</c:v>
                </c:pt>
                <c:pt idx="70">
                  <c:v>70</c:v>
                </c:pt>
                <c:pt idx="71">
                  <c:v>70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700</c:v>
                </c:pt>
                <c:pt idx="85">
                  <c:v>700</c:v>
                </c:pt>
                <c:pt idx="86">
                  <c:v>700</c:v>
                </c:pt>
                <c:pt idx="87">
                  <c:v>700</c:v>
                </c:pt>
              </c:numCache>
            </c:numRef>
          </c:xVal>
          <c:yVal>
            <c:numRef>
              <c:f>ARGs!$D$2:$D$102</c:f>
              <c:numCache>
                <c:formatCode>General</c:formatCode>
                <c:ptCount val="101"/>
                <c:pt idx="0">
                  <c:v>1.0457574905606752</c:v>
                </c:pt>
                <c:pt idx="1">
                  <c:v>0.21467016498923297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2.6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-0.1</c:v>
                </c:pt>
                <c:pt idx="10">
                  <c:v>0.1</c:v>
                </c:pt>
                <c:pt idx="11">
                  <c:v>-0.1</c:v>
                </c:pt>
                <c:pt idx="12">
                  <c:v>-0.25</c:v>
                </c:pt>
                <c:pt idx="13">
                  <c:v>0</c:v>
                </c:pt>
                <c:pt idx="14">
                  <c:v>0.1</c:v>
                </c:pt>
                <c:pt idx="15">
                  <c:v>0.5</c:v>
                </c:pt>
                <c:pt idx="16">
                  <c:v>-0.4</c:v>
                </c:pt>
                <c:pt idx="17">
                  <c:v>0.8</c:v>
                </c:pt>
                <c:pt idx="18">
                  <c:v>1.22</c:v>
                </c:pt>
                <c:pt idx="19">
                  <c:v>0.1</c:v>
                </c:pt>
                <c:pt idx="20">
                  <c:v>0.4</c:v>
                </c:pt>
                <c:pt idx="21">
                  <c:v>0.5</c:v>
                </c:pt>
                <c:pt idx="22">
                  <c:v>1.8</c:v>
                </c:pt>
                <c:pt idx="23">
                  <c:v>0</c:v>
                </c:pt>
                <c:pt idx="24">
                  <c:v>0</c:v>
                </c:pt>
                <c:pt idx="25">
                  <c:v>0.5</c:v>
                </c:pt>
                <c:pt idx="26">
                  <c:v>0.5</c:v>
                </c:pt>
                <c:pt idx="27">
                  <c:v>0.25</c:v>
                </c:pt>
                <c:pt idx="28">
                  <c:v>0</c:v>
                </c:pt>
                <c:pt idx="29">
                  <c:v>0.5</c:v>
                </c:pt>
                <c:pt idx="30">
                  <c:v>0.25</c:v>
                </c:pt>
                <c:pt idx="31">
                  <c:v>1.3</c:v>
                </c:pt>
                <c:pt idx="32">
                  <c:v>-0.5</c:v>
                </c:pt>
                <c:pt idx="33">
                  <c:v>0.4</c:v>
                </c:pt>
                <c:pt idx="34">
                  <c:v>1.1000000000000001</c:v>
                </c:pt>
                <c:pt idx="35">
                  <c:v>1</c:v>
                </c:pt>
                <c:pt idx="36">
                  <c:v>0.25</c:v>
                </c:pt>
                <c:pt idx="37">
                  <c:v>1.1000000000000001</c:v>
                </c:pt>
                <c:pt idx="38">
                  <c:v>0.9</c:v>
                </c:pt>
                <c:pt idx="39">
                  <c:v>0.75</c:v>
                </c:pt>
                <c:pt idx="40">
                  <c:v>1.1000000000000001</c:v>
                </c:pt>
                <c:pt idx="41">
                  <c:v>0.8</c:v>
                </c:pt>
                <c:pt idx="42">
                  <c:v>0.7</c:v>
                </c:pt>
                <c:pt idx="43">
                  <c:v>0.6</c:v>
                </c:pt>
                <c:pt idx="44">
                  <c:v>0.8</c:v>
                </c:pt>
                <c:pt idx="45">
                  <c:v>1.1000000000000001</c:v>
                </c:pt>
                <c:pt idx="46">
                  <c:v>1.5</c:v>
                </c:pt>
                <c:pt idx="47">
                  <c:v>1</c:v>
                </c:pt>
                <c:pt idx="48">
                  <c:v>1.2</c:v>
                </c:pt>
                <c:pt idx="49">
                  <c:v>1.4</c:v>
                </c:pt>
                <c:pt idx="50">
                  <c:v>0.9</c:v>
                </c:pt>
                <c:pt idx="51">
                  <c:v>0.3</c:v>
                </c:pt>
                <c:pt idx="52">
                  <c:v>0.7</c:v>
                </c:pt>
                <c:pt idx="53">
                  <c:v>-0.5</c:v>
                </c:pt>
                <c:pt idx="54">
                  <c:v>-1</c:v>
                </c:pt>
                <c:pt idx="55">
                  <c:v>-0.2</c:v>
                </c:pt>
                <c:pt idx="56">
                  <c:v>2.1</c:v>
                </c:pt>
                <c:pt idx="57">
                  <c:v>-0.5</c:v>
                </c:pt>
                <c:pt idx="58">
                  <c:v>1.2</c:v>
                </c:pt>
                <c:pt idx="59">
                  <c:v>-0.61</c:v>
                </c:pt>
                <c:pt idx="60">
                  <c:v>0.87</c:v>
                </c:pt>
                <c:pt idx="61">
                  <c:v>-0.33</c:v>
                </c:pt>
                <c:pt idx="62">
                  <c:v>1.55</c:v>
                </c:pt>
                <c:pt idx="63">
                  <c:v>-0.66</c:v>
                </c:pt>
                <c:pt idx="64">
                  <c:v>0.88</c:v>
                </c:pt>
                <c:pt idx="65">
                  <c:v>2.2000000000000002</c:v>
                </c:pt>
                <c:pt idx="66">
                  <c:v>1.5</c:v>
                </c:pt>
                <c:pt idx="67">
                  <c:v>2.1</c:v>
                </c:pt>
                <c:pt idx="68">
                  <c:v>-1.1000000000000001</c:v>
                </c:pt>
                <c:pt idx="69">
                  <c:v>-1.4</c:v>
                </c:pt>
                <c:pt idx="70">
                  <c:v>-1.6</c:v>
                </c:pt>
                <c:pt idx="71">
                  <c:v>-1.3</c:v>
                </c:pt>
                <c:pt idx="72">
                  <c:v>-0.19</c:v>
                </c:pt>
                <c:pt idx="73">
                  <c:v>0.36</c:v>
                </c:pt>
                <c:pt idx="74">
                  <c:v>0.42</c:v>
                </c:pt>
                <c:pt idx="75">
                  <c:v>0.59</c:v>
                </c:pt>
                <c:pt idx="76">
                  <c:v>3.53</c:v>
                </c:pt>
                <c:pt idx="77">
                  <c:v>3.11</c:v>
                </c:pt>
                <c:pt idx="78">
                  <c:v>3.37</c:v>
                </c:pt>
                <c:pt idx="79">
                  <c:v>1.53</c:v>
                </c:pt>
                <c:pt idx="80">
                  <c:v>4.2</c:v>
                </c:pt>
                <c:pt idx="81">
                  <c:v>3.79</c:v>
                </c:pt>
                <c:pt idx="82">
                  <c:v>4.04</c:v>
                </c:pt>
                <c:pt idx="83">
                  <c:v>2.2000000000000002</c:v>
                </c:pt>
                <c:pt idx="84">
                  <c:v>4.0199999999999996</c:v>
                </c:pt>
                <c:pt idx="85">
                  <c:v>3.61</c:v>
                </c:pt>
                <c:pt idx="86">
                  <c:v>3.86</c:v>
                </c:pt>
                <c:pt idx="87">
                  <c:v>2.02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8-7E43-B4F2-ACC17EEBC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053951"/>
        <c:axId val="822085375"/>
      </c:scatterChart>
      <c:valAx>
        <c:axId val="79205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85375"/>
        <c:crosses val="autoZero"/>
        <c:crossBetween val="midCat"/>
      </c:valAx>
      <c:valAx>
        <c:axId val="82208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5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241300</xdr:colOff>
      <xdr:row>37</xdr:row>
      <xdr:rowOff>139700</xdr:rowOff>
    </xdr:from>
    <xdr:to>
      <xdr:col>15</xdr:col>
      <xdr:colOff>393700</xdr:colOff>
      <xdr:row>70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53D365-1B75-28E9-A3EF-3FD836897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336550</xdr:colOff>
      <xdr:row>7</xdr:row>
      <xdr:rowOff>12700</xdr:rowOff>
    </xdr:from>
    <xdr:to>
      <xdr:col>19</xdr:col>
      <xdr:colOff>508000</xdr:colOff>
      <xdr:row>39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9B35B8-D24B-998B-E2BE-EB5F190B7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177800</xdr:colOff>
      <xdr:row>16</xdr:row>
      <xdr:rowOff>50800</xdr:rowOff>
    </xdr:from>
    <xdr:to>
      <xdr:col>15</xdr:col>
      <xdr:colOff>469900</xdr:colOff>
      <xdr:row>37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84386-64F4-C467-F094-274FA1F3D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FFF0-F118-784B-BAD1-E8B801BE457A}">
  <dimension ref="A1:H35"/>
  <sheetViews>
    <sheetView workbookViewId="0">
      <selection activeCell="D70" sqref="D70"/>
    </sheetView>
  </sheetViews>
  <sheetFormatPr baseColWidth="10" defaultRowHeight="16" x14ac:dyDescent="0.2"/>
  <cols>
    <col min="1" max="1" width="11.5" bestFit="1" customWidth="1"/>
    <col min="3" max="3" width="26" bestFit="1" customWidth="1"/>
    <col min="4" max="4" width="22.5" bestFit="1" customWidth="1"/>
    <col min="5" max="5" width="13.5" bestFit="1" customWidth="1"/>
    <col min="6" max="6" width="14.5" bestFit="1" customWidth="1"/>
  </cols>
  <sheetData>
    <row r="1" spans="1:8" x14ac:dyDescent="0.2">
      <c r="A1" t="s">
        <v>1</v>
      </c>
      <c r="B1" t="s">
        <v>0</v>
      </c>
      <c r="C1" t="s">
        <v>11</v>
      </c>
      <c r="D1" t="s">
        <v>3</v>
      </c>
      <c r="E1" t="s">
        <v>4</v>
      </c>
      <c r="F1" t="s">
        <v>9</v>
      </c>
      <c r="G1" t="s">
        <v>7</v>
      </c>
      <c r="H1" t="s">
        <v>2</v>
      </c>
    </row>
    <row r="2" spans="1:8" x14ac:dyDescent="0.2">
      <c r="A2" t="s">
        <v>5</v>
      </c>
      <c r="B2">
        <v>2022</v>
      </c>
      <c r="C2" s="3" t="s">
        <v>12</v>
      </c>
      <c r="D2">
        <v>0.76</v>
      </c>
      <c r="E2">
        <v>0.97</v>
      </c>
      <c r="F2">
        <v>400</v>
      </c>
      <c r="G2" t="s">
        <v>8</v>
      </c>
      <c r="H2" t="s">
        <v>6</v>
      </c>
    </row>
    <row r="3" spans="1:8" x14ac:dyDescent="0.2">
      <c r="A3" t="s">
        <v>5</v>
      </c>
      <c r="B3">
        <v>2020</v>
      </c>
      <c r="C3" s="3" t="s">
        <v>12</v>
      </c>
      <c r="D3">
        <v>0.99650000000000005</v>
      </c>
      <c r="E3">
        <v>0.99990000000000001</v>
      </c>
      <c r="F3">
        <v>400</v>
      </c>
      <c r="G3" t="s">
        <v>8</v>
      </c>
      <c r="H3" t="s">
        <v>10</v>
      </c>
    </row>
    <row r="4" spans="1:8" x14ac:dyDescent="0.2">
      <c r="A4" t="s">
        <v>13</v>
      </c>
      <c r="B4">
        <v>2020</v>
      </c>
      <c r="C4" s="3" t="s">
        <v>14</v>
      </c>
      <c r="D4">
        <v>0.86113989637305699</v>
      </c>
      <c r="F4">
        <v>150</v>
      </c>
      <c r="G4" t="s">
        <v>8</v>
      </c>
      <c r="H4" t="s">
        <v>15</v>
      </c>
    </row>
    <row r="5" spans="1:8" x14ac:dyDescent="0.2">
      <c r="D5">
        <v>0.93490054249547916</v>
      </c>
      <c r="F5">
        <v>150</v>
      </c>
    </row>
    <row r="6" spans="1:8" x14ac:dyDescent="0.2">
      <c r="D6">
        <v>0.96476683937823837</v>
      </c>
      <c r="F6">
        <v>250</v>
      </c>
    </row>
    <row r="7" spans="1:8" x14ac:dyDescent="0.2">
      <c r="D7">
        <v>0.97468354430379744</v>
      </c>
      <c r="F7">
        <v>250</v>
      </c>
    </row>
    <row r="8" spans="1:8" x14ac:dyDescent="0.2">
      <c r="D8">
        <v>0.99108808290155437</v>
      </c>
      <c r="F8">
        <v>350</v>
      </c>
    </row>
    <row r="9" spans="1:8" x14ac:dyDescent="0.2">
      <c r="D9">
        <v>0.99204339963833643</v>
      </c>
      <c r="F9">
        <v>350</v>
      </c>
    </row>
    <row r="10" spans="1:8" x14ac:dyDescent="0.2">
      <c r="D10">
        <v>0.99419689119170984</v>
      </c>
      <c r="F10">
        <v>450</v>
      </c>
    </row>
    <row r="11" spans="1:8" x14ac:dyDescent="0.2">
      <c r="D11">
        <v>0.99656419529837259</v>
      </c>
      <c r="F11">
        <v>450</v>
      </c>
    </row>
    <row r="12" spans="1:8" x14ac:dyDescent="0.2">
      <c r="D12">
        <v>0.99761658031088085</v>
      </c>
      <c r="F12">
        <v>500</v>
      </c>
    </row>
    <row r="13" spans="1:8" x14ac:dyDescent="0.2">
      <c r="D13">
        <v>0.99674502712477409</v>
      </c>
      <c r="F13">
        <v>500</v>
      </c>
    </row>
    <row r="14" spans="1:8" x14ac:dyDescent="0.2">
      <c r="A14" t="s">
        <v>17</v>
      </c>
      <c r="B14">
        <v>2020</v>
      </c>
      <c r="C14" s="3" t="s">
        <v>18</v>
      </c>
      <c r="D14">
        <v>4.4999999999999998E-2</v>
      </c>
      <c r="F14">
        <v>40</v>
      </c>
      <c r="G14" t="s">
        <v>8</v>
      </c>
      <c r="H14" t="s">
        <v>16</v>
      </c>
    </row>
    <row r="15" spans="1:8" x14ac:dyDescent="0.2">
      <c r="C15" s="3" t="s">
        <v>19</v>
      </c>
      <c r="D15">
        <v>0.437</v>
      </c>
      <c r="F15">
        <v>70</v>
      </c>
      <c r="G15" t="s">
        <v>8</v>
      </c>
    </row>
    <row r="16" spans="1:8" x14ac:dyDescent="0.2">
      <c r="A16" t="s">
        <v>22</v>
      </c>
      <c r="B16">
        <v>2022</v>
      </c>
      <c r="C16" s="3" t="s">
        <v>20</v>
      </c>
      <c r="D16">
        <v>0.115</v>
      </c>
      <c r="F16">
        <v>170</v>
      </c>
      <c r="G16" t="s">
        <v>8</v>
      </c>
      <c r="H16" t="s">
        <v>21</v>
      </c>
    </row>
    <row r="17" spans="1:8" x14ac:dyDescent="0.2">
      <c r="D17">
        <v>0.85009999999999997</v>
      </c>
      <c r="F17">
        <v>220</v>
      </c>
    </row>
    <row r="18" spans="1:8" x14ac:dyDescent="0.2">
      <c r="A18" t="s">
        <v>23</v>
      </c>
      <c r="B18">
        <v>2025</v>
      </c>
      <c r="C18" t="s">
        <v>24</v>
      </c>
      <c r="E18">
        <v>0.48</v>
      </c>
      <c r="F18">
        <v>180</v>
      </c>
      <c r="G18" t="s">
        <v>8</v>
      </c>
      <c r="H18" t="s">
        <v>25</v>
      </c>
    </row>
    <row r="19" spans="1:8" x14ac:dyDescent="0.2">
      <c r="E19">
        <v>0.36</v>
      </c>
      <c r="F19">
        <v>180</v>
      </c>
    </row>
    <row r="20" spans="1:8" x14ac:dyDescent="0.2">
      <c r="E20">
        <v>0.56000000000000005</v>
      </c>
      <c r="F20">
        <v>180</v>
      </c>
    </row>
    <row r="21" spans="1:8" x14ac:dyDescent="0.2">
      <c r="E21">
        <v>0.49</v>
      </c>
      <c r="F21">
        <v>180</v>
      </c>
    </row>
    <row r="22" spans="1:8" x14ac:dyDescent="0.2">
      <c r="E22">
        <v>0.7</v>
      </c>
      <c r="F22">
        <v>220</v>
      </c>
    </row>
    <row r="23" spans="1:8" x14ac:dyDescent="0.2">
      <c r="E23">
        <v>0.72</v>
      </c>
      <c r="F23">
        <v>220</v>
      </c>
    </row>
    <row r="24" spans="1:8" x14ac:dyDescent="0.2">
      <c r="E24">
        <v>0.64</v>
      </c>
      <c r="F24">
        <v>220</v>
      </c>
    </row>
    <row r="25" spans="1:8" x14ac:dyDescent="0.2">
      <c r="E25">
        <v>0.64</v>
      </c>
      <c r="F25">
        <v>220</v>
      </c>
    </row>
    <row r="26" spans="1:8" x14ac:dyDescent="0.2">
      <c r="E26">
        <v>0.7</v>
      </c>
      <c r="F26">
        <v>220</v>
      </c>
    </row>
    <row r="27" spans="1:8" x14ac:dyDescent="0.2">
      <c r="E27">
        <v>0.56999999999999995</v>
      </c>
      <c r="F27">
        <v>220</v>
      </c>
    </row>
    <row r="28" spans="1:8" x14ac:dyDescent="0.2">
      <c r="E28">
        <v>0.56999999999999995</v>
      </c>
      <c r="F28">
        <v>220</v>
      </c>
    </row>
    <row r="29" spans="1:8" x14ac:dyDescent="0.2">
      <c r="E29">
        <v>0.72</v>
      </c>
      <c r="F29">
        <v>220</v>
      </c>
    </row>
    <row r="30" spans="1:8" x14ac:dyDescent="0.2">
      <c r="A30" t="s">
        <v>28</v>
      </c>
      <c r="B30">
        <v>2024</v>
      </c>
      <c r="C30" t="s">
        <v>24</v>
      </c>
      <c r="D30">
        <v>0.81</v>
      </c>
      <c r="E30">
        <v>0.69</v>
      </c>
      <c r="F30">
        <v>180</v>
      </c>
      <c r="G30" t="s">
        <v>26</v>
      </c>
      <c r="H30" t="s">
        <v>27</v>
      </c>
    </row>
    <row r="31" spans="1:8" x14ac:dyDescent="0.2">
      <c r="C31" s="1"/>
      <c r="D31" s="2">
        <v>0.9</v>
      </c>
      <c r="E31">
        <v>0.78</v>
      </c>
      <c r="F31">
        <v>200</v>
      </c>
    </row>
    <row r="32" spans="1:8" x14ac:dyDescent="0.2">
      <c r="A32" t="s">
        <v>30</v>
      </c>
      <c r="B32">
        <v>2024</v>
      </c>
      <c r="C32" s="4" t="s">
        <v>29</v>
      </c>
      <c r="D32" s="2">
        <v>0.35</v>
      </c>
      <c r="F32">
        <v>165</v>
      </c>
      <c r="G32" t="s">
        <v>8</v>
      </c>
      <c r="H32" t="s">
        <v>31</v>
      </c>
    </row>
    <row r="33" spans="1:8" x14ac:dyDescent="0.2">
      <c r="A33" t="s">
        <v>32</v>
      </c>
      <c r="B33">
        <v>2022</v>
      </c>
      <c r="C33" s="4" t="s">
        <v>24</v>
      </c>
      <c r="D33" s="1">
        <v>0.32363636363636361</v>
      </c>
      <c r="F33">
        <v>180</v>
      </c>
      <c r="G33" t="s">
        <v>8</v>
      </c>
      <c r="H33" t="s">
        <v>33</v>
      </c>
    </row>
    <row r="34" spans="1:8" x14ac:dyDescent="0.2">
      <c r="C34" s="1"/>
      <c r="D34" s="1">
        <v>0.62909090909090903</v>
      </c>
      <c r="F34">
        <v>220</v>
      </c>
    </row>
    <row r="35" spans="1:8" x14ac:dyDescent="0.2">
      <c r="C35" s="1"/>
      <c r="D35" s="1">
        <v>0.80363636363636359</v>
      </c>
      <c r="F35">
        <v>260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251D-799E-0F4C-923B-6BB0409A55D1}">
  <dimension ref="A1:C21"/>
  <sheetViews>
    <sheetView workbookViewId="0">
      <selection activeCell="G7" sqref="G7"/>
    </sheetView>
  </sheetViews>
  <sheetFormatPr baseColWidth="10" defaultRowHeight="16" x14ac:dyDescent="0.2"/>
  <cols>
    <col min="1" max="1" width="10.83203125" customWidth="1"/>
  </cols>
  <sheetData>
    <row r="1" spans="1:3" x14ac:dyDescent="0.2">
      <c r="A1" t="s">
        <v>11</v>
      </c>
      <c r="B1" t="s">
        <v>60</v>
      </c>
      <c r="C1" t="s">
        <v>35</v>
      </c>
    </row>
    <row r="2" spans="1:3" x14ac:dyDescent="0.2">
      <c r="A2" t="s">
        <v>61</v>
      </c>
      <c r="B2">
        <v>400</v>
      </c>
      <c r="C2">
        <v>0.76</v>
      </c>
    </row>
    <row r="3" spans="1:3" x14ac:dyDescent="0.2">
      <c r="A3" t="s">
        <v>61</v>
      </c>
      <c r="B3">
        <v>400</v>
      </c>
      <c r="C3">
        <v>0.99650000000000005</v>
      </c>
    </row>
    <row r="4" spans="1:3" x14ac:dyDescent="0.2">
      <c r="A4" t="s">
        <v>62</v>
      </c>
      <c r="B4">
        <v>150</v>
      </c>
      <c r="C4">
        <v>0.86113989637305699</v>
      </c>
    </row>
    <row r="5" spans="1:3" x14ac:dyDescent="0.2">
      <c r="A5" t="s">
        <v>62</v>
      </c>
      <c r="B5">
        <v>150</v>
      </c>
      <c r="C5">
        <v>0.93490054249547916</v>
      </c>
    </row>
    <row r="6" spans="1:3" x14ac:dyDescent="0.2">
      <c r="A6" t="s">
        <v>62</v>
      </c>
      <c r="B6">
        <v>250</v>
      </c>
      <c r="C6">
        <v>0.96476683937823837</v>
      </c>
    </row>
    <row r="7" spans="1:3" x14ac:dyDescent="0.2">
      <c r="A7" t="s">
        <v>62</v>
      </c>
      <c r="B7">
        <v>250</v>
      </c>
      <c r="C7">
        <v>0.97468354430379744</v>
      </c>
    </row>
    <row r="8" spans="1:3" x14ac:dyDescent="0.2">
      <c r="A8" t="s">
        <v>62</v>
      </c>
      <c r="B8">
        <v>350</v>
      </c>
      <c r="C8">
        <v>0.99108808290155437</v>
      </c>
    </row>
    <row r="9" spans="1:3" x14ac:dyDescent="0.2">
      <c r="A9" t="s">
        <v>62</v>
      </c>
      <c r="B9">
        <v>350</v>
      </c>
      <c r="C9">
        <v>0.99204339963833643</v>
      </c>
    </row>
    <row r="10" spans="1:3" x14ac:dyDescent="0.2">
      <c r="A10" t="s">
        <v>62</v>
      </c>
      <c r="B10">
        <v>450</v>
      </c>
      <c r="C10">
        <v>0.99419689119170984</v>
      </c>
    </row>
    <row r="11" spans="1:3" x14ac:dyDescent="0.2">
      <c r="A11" t="s">
        <v>62</v>
      </c>
      <c r="B11">
        <v>450</v>
      </c>
      <c r="C11">
        <v>0.99656419529837259</v>
      </c>
    </row>
    <row r="12" spans="1:3" x14ac:dyDescent="0.2">
      <c r="A12" t="s">
        <v>62</v>
      </c>
      <c r="B12">
        <v>500</v>
      </c>
      <c r="C12">
        <v>0.99761658031088085</v>
      </c>
    </row>
    <row r="13" spans="1:3" x14ac:dyDescent="0.2">
      <c r="A13" t="s">
        <v>62</v>
      </c>
      <c r="B13">
        <v>500</v>
      </c>
      <c r="C13">
        <v>0.99674502712477409</v>
      </c>
    </row>
    <row r="14" spans="1:3" x14ac:dyDescent="0.2">
      <c r="A14" t="s">
        <v>63</v>
      </c>
      <c r="B14">
        <v>40</v>
      </c>
      <c r="C14">
        <v>4.4999999999999998E-2</v>
      </c>
    </row>
    <row r="15" spans="1:3" x14ac:dyDescent="0.2">
      <c r="A15" t="s">
        <v>63</v>
      </c>
      <c r="B15">
        <v>70</v>
      </c>
      <c r="C15">
        <v>0.437</v>
      </c>
    </row>
    <row r="16" spans="1:3" x14ac:dyDescent="0.2">
      <c r="A16" t="s">
        <v>61</v>
      </c>
      <c r="B16">
        <v>170</v>
      </c>
      <c r="C16">
        <v>0.115</v>
      </c>
    </row>
    <row r="17" spans="1:3" x14ac:dyDescent="0.2">
      <c r="A17" t="s">
        <v>61</v>
      </c>
      <c r="B17">
        <v>220</v>
      </c>
      <c r="C17">
        <v>0.85009999999999997</v>
      </c>
    </row>
    <row r="18" spans="1:3" x14ac:dyDescent="0.2">
      <c r="A18" t="s">
        <v>63</v>
      </c>
      <c r="B18">
        <v>165</v>
      </c>
      <c r="C18" s="2">
        <v>0.35</v>
      </c>
    </row>
    <row r="19" spans="1:3" x14ac:dyDescent="0.2">
      <c r="A19" t="s">
        <v>61</v>
      </c>
      <c r="B19">
        <v>180</v>
      </c>
      <c r="C19" s="1">
        <v>0.32363636363636361</v>
      </c>
    </row>
    <row r="20" spans="1:3" x14ac:dyDescent="0.2">
      <c r="A20" t="s">
        <v>61</v>
      </c>
      <c r="B20">
        <v>220</v>
      </c>
      <c r="C20" s="1">
        <v>0.62909090909090903</v>
      </c>
    </row>
    <row r="21" spans="1:3" x14ac:dyDescent="0.2">
      <c r="A21" t="s">
        <v>61</v>
      </c>
      <c r="B21">
        <v>260</v>
      </c>
      <c r="C21" s="1">
        <v>0.80363636363636359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F156-B1CF-D942-AB64-5DA24A503A2A}">
  <dimension ref="A1:AA316"/>
  <sheetViews>
    <sheetView workbookViewId="0">
      <selection activeCell="J61" sqref="J61"/>
    </sheetView>
  </sheetViews>
  <sheetFormatPr baseColWidth="10" defaultRowHeight="16" x14ac:dyDescent="0.2"/>
  <cols>
    <col min="1" max="1" width="13.5" bestFit="1" customWidth="1"/>
    <col min="3" max="3" width="17.1640625" bestFit="1" customWidth="1"/>
  </cols>
  <sheetData>
    <row r="1" spans="1:27" x14ac:dyDescent="0.2">
      <c r="A1" t="s">
        <v>1</v>
      </c>
      <c r="B1" t="s">
        <v>0</v>
      </c>
      <c r="C1" t="s">
        <v>11</v>
      </c>
      <c r="D1" t="s">
        <v>35</v>
      </c>
      <c r="E1" t="s">
        <v>9</v>
      </c>
      <c r="F1" t="s">
        <v>7</v>
      </c>
      <c r="G1" t="s">
        <v>2</v>
      </c>
    </row>
    <row r="2" spans="1:27" x14ac:dyDescent="0.2">
      <c r="A2" t="s">
        <v>38</v>
      </c>
      <c r="B2">
        <v>2025</v>
      </c>
      <c r="C2" t="s">
        <v>40</v>
      </c>
      <c r="D2">
        <v>0.76400000000000001</v>
      </c>
      <c r="E2">
        <v>80</v>
      </c>
      <c r="F2" t="s">
        <v>8</v>
      </c>
      <c r="G2" t="s">
        <v>39</v>
      </c>
    </row>
    <row r="3" spans="1:27" x14ac:dyDescent="0.2">
      <c r="D3">
        <v>0.80555555555555558</v>
      </c>
      <c r="E3">
        <v>80</v>
      </c>
    </row>
    <row r="4" spans="1:27" x14ac:dyDescent="0.2">
      <c r="D4">
        <v>0.7857142857142857</v>
      </c>
      <c r="E4">
        <v>80</v>
      </c>
    </row>
    <row r="5" spans="1:27" x14ac:dyDescent="0.2">
      <c r="D5">
        <v>0.85428571428571431</v>
      </c>
      <c r="E5">
        <v>80</v>
      </c>
    </row>
    <row r="6" spans="1:27" x14ac:dyDescent="0.2">
      <c r="D6">
        <v>0.82222222222222219</v>
      </c>
      <c r="E6">
        <v>80</v>
      </c>
    </row>
    <row r="7" spans="1:27" x14ac:dyDescent="0.2">
      <c r="D7">
        <v>0.76896551724137929</v>
      </c>
      <c r="E7">
        <v>80</v>
      </c>
    </row>
    <row r="8" spans="1:27" x14ac:dyDescent="0.2">
      <c r="D8">
        <v>0.83589743589743593</v>
      </c>
      <c r="E8">
        <v>80</v>
      </c>
    </row>
    <row r="9" spans="1:27" x14ac:dyDescent="0.2">
      <c r="D9">
        <v>0.81739130434782614</v>
      </c>
      <c r="E9">
        <v>80</v>
      </c>
    </row>
    <row r="10" spans="1:27" x14ac:dyDescent="0.2">
      <c r="D10">
        <v>0.76923076923076927</v>
      </c>
      <c r="E10">
        <v>80</v>
      </c>
    </row>
    <row r="11" spans="1:27" x14ac:dyDescent="0.2">
      <c r="D11">
        <v>0.7533333333333333</v>
      </c>
      <c r="E11">
        <v>80</v>
      </c>
    </row>
    <row r="12" spans="1:27" x14ac:dyDescent="0.2">
      <c r="D12">
        <v>0.7407407407407407</v>
      </c>
      <c r="E12">
        <v>80</v>
      </c>
    </row>
    <row r="13" spans="1:27" x14ac:dyDescent="0.2">
      <c r="D13">
        <v>0.87323943661971826</v>
      </c>
      <c r="E13">
        <v>80</v>
      </c>
    </row>
    <row r="14" spans="1:27" x14ac:dyDescent="0.2">
      <c r="C14" s="5"/>
      <c r="D14">
        <v>0.89833333333333332</v>
      </c>
      <c r="E14">
        <v>80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">
      <c r="C15" s="5"/>
      <c r="D15">
        <v>0.89696969696969697</v>
      </c>
      <c r="E15">
        <v>80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2">
      <c r="C16" s="5"/>
      <c r="D16">
        <v>0.86153846153846159</v>
      </c>
      <c r="E16">
        <v>80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3:27" x14ac:dyDescent="0.2">
      <c r="C17" s="5"/>
      <c r="D17">
        <v>0.84375</v>
      </c>
      <c r="E17">
        <v>80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3:27" x14ac:dyDescent="0.2">
      <c r="C18" s="5"/>
      <c r="D18">
        <v>0.94142857142857139</v>
      </c>
      <c r="E18">
        <v>80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3:27" x14ac:dyDescent="0.2">
      <c r="D19">
        <v>0.93166666666666664</v>
      </c>
      <c r="E19">
        <v>80</v>
      </c>
      <c r="M19" s="5"/>
      <c r="U19" s="5"/>
    </row>
    <row r="20" spans="3:27" x14ac:dyDescent="0.2">
      <c r="D20">
        <v>0.89230769230769236</v>
      </c>
      <c r="E20">
        <v>80</v>
      </c>
      <c r="M20" s="5"/>
    </row>
    <row r="21" spans="3:27" x14ac:dyDescent="0.2">
      <c r="D21">
        <v>0.91666666666666663</v>
      </c>
      <c r="E21">
        <v>80</v>
      </c>
      <c r="M21" s="5"/>
    </row>
    <row r="22" spans="3:27" x14ac:dyDescent="0.2">
      <c r="D22">
        <v>0.93333333333333335</v>
      </c>
      <c r="E22">
        <v>80</v>
      </c>
    </row>
    <row r="23" spans="3:27" x14ac:dyDescent="0.2">
      <c r="D23">
        <v>0.96437499999999998</v>
      </c>
      <c r="E23">
        <v>80</v>
      </c>
    </row>
    <row r="24" spans="3:27" x14ac:dyDescent="0.2">
      <c r="D24">
        <v>0.95157894736842108</v>
      </c>
      <c r="E24">
        <v>80</v>
      </c>
    </row>
    <row r="25" spans="3:27" x14ac:dyDescent="0.2">
      <c r="D25">
        <v>0.93153846153846154</v>
      </c>
      <c r="E25">
        <v>80</v>
      </c>
    </row>
    <row r="26" spans="3:27" x14ac:dyDescent="0.2">
      <c r="D26">
        <v>0.63461538461538458</v>
      </c>
      <c r="E26">
        <v>80</v>
      </c>
    </row>
    <row r="27" spans="3:27" x14ac:dyDescent="0.2">
      <c r="D27">
        <v>0.40625</v>
      </c>
      <c r="E27">
        <v>80</v>
      </c>
    </row>
    <row r="28" spans="3:27" x14ac:dyDescent="0.2">
      <c r="D28">
        <v>0.41379310344827586</v>
      </c>
      <c r="E28">
        <v>80</v>
      </c>
    </row>
    <row r="29" spans="3:27" x14ac:dyDescent="0.2">
      <c r="D29">
        <v>0.73</v>
      </c>
      <c r="E29">
        <v>80</v>
      </c>
    </row>
    <row r="30" spans="3:27" x14ac:dyDescent="0.2">
      <c r="D30">
        <v>0.4576271186440678</v>
      </c>
      <c r="E30">
        <v>80</v>
      </c>
    </row>
    <row r="31" spans="3:27" x14ac:dyDescent="0.2">
      <c r="D31">
        <v>0.15384615384615385</v>
      </c>
      <c r="E31">
        <v>80</v>
      </c>
    </row>
    <row r="32" spans="3:27" x14ac:dyDescent="0.2">
      <c r="D32">
        <v>0.4098360655737705</v>
      </c>
      <c r="E32">
        <v>80</v>
      </c>
    </row>
    <row r="33" spans="4:9" x14ac:dyDescent="0.2">
      <c r="D33">
        <v>0.3783783783783784</v>
      </c>
      <c r="E33">
        <v>80</v>
      </c>
    </row>
    <row r="34" spans="4:9" x14ac:dyDescent="0.2">
      <c r="D34">
        <v>0.84799999999999998</v>
      </c>
      <c r="E34">
        <v>105</v>
      </c>
    </row>
    <row r="35" spans="4:9" x14ac:dyDescent="0.2">
      <c r="D35">
        <v>0.83333333333333337</v>
      </c>
      <c r="E35">
        <v>105</v>
      </c>
    </row>
    <row r="36" spans="4:9" x14ac:dyDescent="0.2">
      <c r="D36">
        <v>0.80476190476190479</v>
      </c>
      <c r="E36">
        <v>105</v>
      </c>
    </row>
    <row r="37" spans="4:9" x14ac:dyDescent="0.2">
      <c r="D37">
        <v>0.88</v>
      </c>
      <c r="E37">
        <v>105</v>
      </c>
    </row>
    <row r="38" spans="4:9" x14ac:dyDescent="0.2">
      <c r="D38">
        <v>0.8037037037037037</v>
      </c>
      <c r="E38">
        <v>105</v>
      </c>
    </row>
    <row r="39" spans="4:9" x14ac:dyDescent="0.2">
      <c r="D39">
        <v>0.90689655172413797</v>
      </c>
      <c r="E39">
        <v>105</v>
      </c>
    </row>
    <row r="40" spans="4:9" x14ac:dyDescent="0.2">
      <c r="D40">
        <v>0.88717948717948714</v>
      </c>
      <c r="E40">
        <v>105</v>
      </c>
    </row>
    <row r="41" spans="4:9" x14ac:dyDescent="0.2">
      <c r="D41">
        <v>0.86521739130434783</v>
      </c>
      <c r="E41">
        <v>105</v>
      </c>
    </row>
    <row r="42" spans="4:9" x14ac:dyDescent="0.2">
      <c r="D42">
        <v>0.8634615384615385</v>
      </c>
      <c r="E42">
        <v>105</v>
      </c>
    </row>
    <row r="43" spans="4:9" x14ac:dyDescent="0.2">
      <c r="D43">
        <v>0.76666666666666672</v>
      </c>
      <c r="E43">
        <v>105</v>
      </c>
    </row>
    <row r="44" spans="4:9" x14ac:dyDescent="0.2">
      <c r="D44">
        <v>0.79629629629629628</v>
      </c>
      <c r="E44">
        <v>105</v>
      </c>
    </row>
    <row r="45" spans="4:9" x14ac:dyDescent="0.2">
      <c r="D45">
        <v>0.89295774647887327</v>
      </c>
      <c r="E45">
        <v>105</v>
      </c>
    </row>
    <row r="46" spans="4:9" x14ac:dyDescent="0.2">
      <c r="D46">
        <v>0.89500000000000002</v>
      </c>
      <c r="E46">
        <v>105</v>
      </c>
    </row>
    <row r="47" spans="4:9" x14ac:dyDescent="0.2">
      <c r="D47">
        <v>0.9242424242424242</v>
      </c>
      <c r="E47">
        <v>105</v>
      </c>
    </row>
    <row r="48" spans="4:9" x14ac:dyDescent="0.2">
      <c r="D48">
        <v>0.9</v>
      </c>
      <c r="E48">
        <v>105</v>
      </c>
      <c r="H48" s="6"/>
      <c r="I48" s="6"/>
    </row>
    <row r="49" spans="4:16" x14ac:dyDescent="0.2">
      <c r="D49">
        <v>0.87187499999999996</v>
      </c>
      <c r="E49">
        <v>105</v>
      </c>
      <c r="H49" s="6"/>
      <c r="I49" s="6"/>
      <c r="J49" s="6"/>
      <c r="K49" s="6"/>
      <c r="L49" s="6"/>
      <c r="M49" s="6"/>
      <c r="N49" s="6"/>
      <c r="O49" s="6"/>
    </row>
    <row r="50" spans="4:16" x14ac:dyDescent="0.2">
      <c r="D50">
        <v>0.91428571428571426</v>
      </c>
      <c r="E50">
        <v>105</v>
      </c>
      <c r="H50" s="6"/>
    </row>
    <row r="51" spans="4:16" x14ac:dyDescent="0.2">
      <c r="D51">
        <v>0.94416666666666671</v>
      </c>
      <c r="E51">
        <v>105</v>
      </c>
      <c r="H51" s="5"/>
      <c r="I51" s="5"/>
      <c r="J51" s="5"/>
      <c r="K51" s="5"/>
      <c r="L51" s="5"/>
      <c r="M51" s="5"/>
      <c r="N51" s="5"/>
      <c r="O51" s="5"/>
      <c r="P51" s="5"/>
    </row>
    <row r="52" spans="4:16" x14ac:dyDescent="0.2">
      <c r="D52">
        <v>0.89230769230769236</v>
      </c>
      <c r="E52">
        <v>105</v>
      </c>
      <c r="H52" s="5"/>
      <c r="I52" s="5"/>
      <c r="J52" s="5"/>
      <c r="K52" s="5"/>
      <c r="L52" s="5"/>
      <c r="M52" s="5"/>
      <c r="N52" s="5"/>
      <c r="O52" s="5"/>
      <c r="P52" s="5"/>
    </row>
    <row r="53" spans="4:16" x14ac:dyDescent="0.2">
      <c r="D53">
        <v>0.91666666666666663</v>
      </c>
      <c r="E53">
        <v>105</v>
      </c>
      <c r="H53" s="5"/>
      <c r="I53" s="5"/>
      <c r="J53" s="5"/>
      <c r="K53" s="5"/>
      <c r="L53" s="5"/>
      <c r="M53" s="5"/>
      <c r="N53" s="5"/>
      <c r="O53" s="5"/>
      <c r="P53" s="5"/>
    </row>
    <row r="54" spans="4:16" x14ac:dyDescent="0.2">
      <c r="D54">
        <v>0.93733333333333335</v>
      </c>
      <c r="E54">
        <v>105</v>
      </c>
      <c r="H54" s="5"/>
      <c r="I54" s="5"/>
      <c r="J54" s="5"/>
      <c r="K54" s="5"/>
      <c r="L54" s="5"/>
      <c r="M54" s="5"/>
      <c r="N54" s="5"/>
      <c r="O54" s="5"/>
      <c r="P54" s="5"/>
    </row>
    <row r="55" spans="4:16" x14ac:dyDescent="0.2">
      <c r="D55">
        <v>0.97250000000000003</v>
      </c>
      <c r="E55">
        <v>105</v>
      </c>
      <c r="H55" s="5"/>
      <c r="I55" s="5"/>
      <c r="J55" s="5"/>
      <c r="K55" s="5"/>
      <c r="L55" s="5"/>
      <c r="M55" s="5"/>
      <c r="N55" s="5"/>
      <c r="O55" s="5"/>
      <c r="P55" s="5"/>
    </row>
    <row r="56" spans="4:16" x14ac:dyDescent="0.2">
      <c r="D56">
        <v>0.96263157894736839</v>
      </c>
      <c r="E56">
        <v>105</v>
      </c>
    </row>
    <row r="57" spans="4:16" x14ac:dyDescent="0.2">
      <c r="D57">
        <v>0.94923076923076921</v>
      </c>
      <c r="E57">
        <v>105</v>
      </c>
    </row>
    <row r="58" spans="4:16" x14ac:dyDescent="0.2">
      <c r="D58">
        <v>0.65384615384615385</v>
      </c>
      <c r="E58">
        <v>105</v>
      </c>
    </row>
    <row r="59" spans="4:16" x14ac:dyDescent="0.2">
      <c r="D59">
        <v>0.5</v>
      </c>
      <c r="E59">
        <v>105</v>
      </c>
    </row>
    <row r="60" spans="4:16" x14ac:dyDescent="0.2">
      <c r="D60">
        <v>0.44827586206896552</v>
      </c>
      <c r="E60">
        <v>105</v>
      </c>
    </row>
    <row r="61" spans="4:16" x14ac:dyDescent="0.2">
      <c r="D61">
        <v>0.8</v>
      </c>
      <c r="E61">
        <v>105</v>
      </c>
    </row>
    <row r="62" spans="4:16" x14ac:dyDescent="0.2">
      <c r="D62">
        <v>0.3728813559322034</v>
      </c>
      <c r="E62">
        <v>105</v>
      </c>
    </row>
    <row r="63" spans="4:16" x14ac:dyDescent="0.2">
      <c r="D63">
        <v>0.7384615384615385</v>
      </c>
      <c r="E63">
        <v>105</v>
      </c>
    </row>
    <row r="64" spans="4:16" x14ac:dyDescent="0.2">
      <c r="D64">
        <v>0.60655737704918034</v>
      </c>
      <c r="E64">
        <v>105</v>
      </c>
    </row>
    <row r="65" spans="4:5" x14ac:dyDescent="0.2">
      <c r="D65">
        <v>0.56756756756756754</v>
      </c>
      <c r="E65">
        <v>105</v>
      </c>
    </row>
    <row r="66" spans="4:5" x14ac:dyDescent="0.2">
      <c r="D66">
        <v>0.99883999999999995</v>
      </c>
      <c r="E66">
        <v>250</v>
      </c>
    </row>
    <row r="67" spans="4:5" x14ac:dyDescent="0.2">
      <c r="D67">
        <v>0.99855555555555564</v>
      </c>
      <c r="E67">
        <v>250</v>
      </c>
    </row>
    <row r="68" spans="4:5" x14ac:dyDescent="0.2">
      <c r="D68">
        <v>0.99671428571428566</v>
      </c>
      <c r="E68">
        <v>250</v>
      </c>
    </row>
    <row r="69" spans="4:5" x14ac:dyDescent="0.2">
      <c r="D69">
        <v>0.9971714285714286</v>
      </c>
      <c r="E69">
        <v>250</v>
      </c>
    </row>
    <row r="70" spans="4:5" x14ac:dyDescent="0.2">
      <c r="D70">
        <v>0.99940740740740741</v>
      </c>
      <c r="E70">
        <v>250</v>
      </c>
    </row>
    <row r="71" spans="4:5" x14ac:dyDescent="0.2">
      <c r="D71">
        <v>0.99775862068965515</v>
      </c>
      <c r="E71">
        <v>250</v>
      </c>
    </row>
    <row r="72" spans="4:5" x14ac:dyDescent="0.2">
      <c r="D72">
        <v>0.99917948717948724</v>
      </c>
      <c r="E72">
        <v>250</v>
      </c>
    </row>
    <row r="73" spans="4:5" x14ac:dyDescent="0.2">
      <c r="D73">
        <v>0.99913043478260866</v>
      </c>
      <c r="E73">
        <v>250</v>
      </c>
    </row>
    <row r="74" spans="4:5" x14ac:dyDescent="0.2">
      <c r="D74">
        <v>1</v>
      </c>
      <c r="E74">
        <v>250</v>
      </c>
    </row>
    <row r="75" spans="4:5" x14ac:dyDescent="0.2">
      <c r="D75">
        <v>1</v>
      </c>
      <c r="E75">
        <v>250</v>
      </c>
    </row>
    <row r="76" spans="4:5" x14ac:dyDescent="0.2">
      <c r="D76">
        <v>1</v>
      </c>
      <c r="E76">
        <v>250</v>
      </c>
    </row>
    <row r="77" spans="4:5" x14ac:dyDescent="0.2">
      <c r="D77">
        <v>1</v>
      </c>
      <c r="E77">
        <v>250</v>
      </c>
    </row>
    <row r="78" spans="4:5" x14ac:dyDescent="0.2">
      <c r="D78">
        <v>1</v>
      </c>
      <c r="E78">
        <v>250</v>
      </c>
    </row>
    <row r="79" spans="4:5" x14ac:dyDescent="0.2">
      <c r="D79">
        <v>1</v>
      </c>
      <c r="E79">
        <v>250</v>
      </c>
    </row>
    <row r="80" spans="4:5" x14ac:dyDescent="0.2">
      <c r="D80">
        <v>1</v>
      </c>
      <c r="E80">
        <v>250</v>
      </c>
    </row>
    <row r="81" spans="4:5" x14ac:dyDescent="0.2">
      <c r="D81">
        <v>1</v>
      </c>
      <c r="E81">
        <v>250</v>
      </c>
    </row>
    <row r="82" spans="4:5" x14ac:dyDescent="0.2">
      <c r="D82">
        <v>0.99792857142857139</v>
      </c>
      <c r="E82">
        <v>250</v>
      </c>
    </row>
    <row r="83" spans="4:5" x14ac:dyDescent="0.2">
      <c r="D83">
        <v>0.99783333333333346</v>
      </c>
      <c r="E83">
        <v>250</v>
      </c>
    </row>
    <row r="84" spans="4:5" x14ac:dyDescent="0.2">
      <c r="D84">
        <v>0.9954615384615384</v>
      </c>
      <c r="E84">
        <v>250</v>
      </c>
    </row>
    <row r="85" spans="4:5" x14ac:dyDescent="0.2">
      <c r="D85">
        <v>0.99449999999999994</v>
      </c>
      <c r="E85">
        <v>250</v>
      </c>
    </row>
    <row r="86" spans="4:5" x14ac:dyDescent="0.2">
      <c r="D86">
        <v>0.99893333333333334</v>
      </c>
      <c r="E86">
        <v>250</v>
      </c>
    </row>
    <row r="87" spans="4:5" x14ac:dyDescent="0.2">
      <c r="D87">
        <v>0.99593750000000003</v>
      </c>
      <c r="E87">
        <v>250</v>
      </c>
    </row>
    <row r="88" spans="4:5" x14ac:dyDescent="0.2">
      <c r="D88">
        <v>0.99831578947368416</v>
      </c>
      <c r="E88">
        <v>250</v>
      </c>
    </row>
    <row r="89" spans="4:5" x14ac:dyDescent="0.2">
      <c r="D89">
        <v>0.99846153846153851</v>
      </c>
      <c r="E89">
        <v>250</v>
      </c>
    </row>
    <row r="90" spans="4:5" x14ac:dyDescent="0.2">
      <c r="D90">
        <v>1</v>
      </c>
      <c r="E90">
        <v>250</v>
      </c>
    </row>
    <row r="91" spans="4:5" x14ac:dyDescent="0.2">
      <c r="D91">
        <v>1</v>
      </c>
      <c r="E91">
        <v>250</v>
      </c>
    </row>
    <row r="92" spans="4:5" x14ac:dyDescent="0.2">
      <c r="D92">
        <v>1</v>
      </c>
      <c r="E92">
        <v>250</v>
      </c>
    </row>
    <row r="93" spans="4:5" x14ac:dyDescent="0.2">
      <c r="D93">
        <v>1</v>
      </c>
      <c r="E93">
        <v>250</v>
      </c>
    </row>
    <row r="94" spans="4:5" x14ac:dyDescent="0.2">
      <c r="D94">
        <v>1</v>
      </c>
      <c r="E94">
        <v>250</v>
      </c>
    </row>
    <row r="95" spans="4:5" x14ac:dyDescent="0.2">
      <c r="D95">
        <v>1</v>
      </c>
      <c r="E95">
        <v>250</v>
      </c>
    </row>
    <row r="96" spans="4:5" x14ac:dyDescent="0.2">
      <c r="D96">
        <v>1</v>
      </c>
      <c r="E96">
        <v>250</v>
      </c>
    </row>
    <row r="97" spans="4:5" x14ac:dyDescent="0.2">
      <c r="D97">
        <v>1</v>
      </c>
      <c r="E97">
        <v>250</v>
      </c>
    </row>
    <row r="98" spans="4:5" x14ac:dyDescent="0.2">
      <c r="D98">
        <v>1</v>
      </c>
      <c r="E98">
        <v>550</v>
      </c>
    </row>
    <row r="99" spans="4:5" x14ac:dyDescent="0.2">
      <c r="D99">
        <v>1</v>
      </c>
      <c r="E99">
        <v>550</v>
      </c>
    </row>
    <row r="100" spans="4:5" x14ac:dyDescent="0.2">
      <c r="D100">
        <v>1</v>
      </c>
      <c r="E100">
        <v>550</v>
      </c>
    </row>
    <row r="101" spans="4:5" x14ac:dyDescent="0.2">
      <c r="D101">
        <v>1</v>
      </c>
      <c r="E101">
        <v>550</v>
      </c>
    </row>
    <row r="102" spans="4:5" x14ac:dyDescent="0.2">
      <c r="D102">
        <v>1</v>
      </c>
      <c r="E102">
        <v>550</v>
      </c>
    </row>
    <row r="103" spans="4:5" x14ac:dyDescent="0.2">
      <c r="D103">
        <v>1</v>
      </c>
      <c r="E103">
        <v>550</v>
      </c>
    </row>
    <row r="104" spans="4:5" x14ac:dyDescent="0.2">
      <c r="D104">
        <v>1</v>
      </c>
      <c r="E104">
        <v>550</v>
      </c>
    </row>
    <row r="105" spans="4:5" x14ac:dyDescent="0.2">
      <c r="D105">
        <v>1</v>
      </c>
      <c r="E105">
        <v>550</v>
      </c>
    </row>
    <row r="106" spans="4:5" x14ac:dyDescent="0.2">
      <c r="D106">
        <v>1</v>
      </c>
      <c r="E106">
        <v>550</v>
      </c>
    </row>
    <row r="107" spans="4:5" x14ac:dyDescent="0.2">
      <c r="D107">
        <v>1</v>
      </c>
      <c r="E107">
        <v>550</v>
      </c>
    </row>
    <row r="108" spans="4:5" x14ac:dyDescent="0.2">
      <c r="D108">
        <v>1</v>
      </c>
      <c r="E108">
        <v>550</v>
      </c>
    </row>
    <row r="109" spans="4:5" x14ac:dyDescent="0.2">
      <c r="D109">
        <v>1</v>
      </c>
      <c r="E109">
        <v>550</v>
      </c>
    </row>
    <row r="110" spans="4:5" x14ac:dyDescent="0.2">
      <c r="D110">
        <v>1</v>
      </c>
      <c r="E110">
        <v>550</v>
      </c>
    </row>
    <row r="111" spans="4:5" x14ac:dyDescent="0.2">
      <c r="D111">
        <v>1</v>
      </c>
      <c r="E111">
        <v>550</v>
      </c>
    </row>
    <row r="112" spans="4:5" x14ac:dyDescent="0.2">
      <c r="D112">
        <v>1</v>
      </c>
      <c r="E112">
        <v>550</v>
      </c>
    </row>
    <row r="113" spans="4:5" x14ac:dyDescent="0.2">
      <c r="D113">
        <v>1</v>
      </c>
      <c r="E113">
        <v>550</v>
      </c>
    </row>
    <row r="114" spans="4:5" x14ac:dyDescent="0.2">
      <c r="D114">
        <v>1</v>
      </c>
      <c r="E114">
        <v>550</v>
      </c>
    </row>
    <row r="115" spans="4:5" x14ac:dyDescent="0.2">
      <c r="D115">
        <v>1</v>
      </c>
      <c r="E115">
        <v>550</v>
      </c>
    </row>
    <row r="116" spans="4:5" x14ac:dyDescent="0.2">
      <c r="D116">
        <v>1</v>
      </c>
      <c r="E116">
        <v>550</v>
      </c>
    </row>
    <row r="117" spans="4:5" x14ac:dyDescent="0.2">
      <c r="D117">
        <v>1</v>
      </c>
      <c r="E117">
        <v>550</v>
      </c>
    </row>
    <row r="118" spans="4:5" x14ac:dyDescent="0.2">
      <c r="D118">
        <v>1</v>
      </c>
      <c r="E118">
        <v>550</v>
      </c>
    </row>
    <row r="119" spans="4:5" x14ac:dyDescent="0.2">
      <c r="D119">
        <v>1</v>
      </c>
      <c r="E119">
        <v>550</v>
      </c>
    </row>
    <row r="120" spans="4:5" x14ac:dyDescent="0.2">
      <c r="D120">
        <v>1</v>
      </c>
      <c r="E120">
        <v>550</v>
      </c>
    </row>
    <row r="121" spans="4:5" x14ac:dyDescent="0.2">
      <c r="D121">
        <v>1</v>
      </c>
      <c r="E121">
        <v>550</v>
      </c>
    </row>
    <row r="122" spans="4:5" x14ac:dyDescent="0.2">
      <c r="D122">
        <v>1</v>
      </c>
      <c r="E122">
        <v>550</v>
      </c>
    </row>
    <row r="123" spans="4:5" x14ac:dyDescent="0.2">
      <c r="D123">
        <v>1</v>
      </c>
      <c r="E123">
        <v>550</v>
      </c>
    </row>
    <row r="124" spans="4:5" x14ac:dyDescent="0.2">
      <c r="D124">
        <v>1</v>
      </c>
      <c r="E124">
        <v>550</v>
      </c>
    </row>
    <row r="125" spans="4:5" x14ac:dyDescent="0.2">
      <c r="D125">
        <v>1</v>
      </c>
      <c r="E125">
        <v>550</v>
      </c>
    </row>
    <row r="126" spans="4:5" x14ac:dyDescent="0.2">
      <c r="D126">
        <v>1</v>
      </c>
      <c r="E126">
        <v>550</v>
      </c>
    </row>
    <row r="127" spans="4:5" x14ac:dyDescent="0.2">
      <c r="D127">
        <v>1</v>
      </c>
      <c r="E127">
        <v>550</v>
      </c>
    </row>
    <row r="128" spans="4:5" x14ac:dyDescent="0.2">
      <c r="D128">
        <v>1</v>
      </c>
      <c r="E128">
        <v>550</v>
      </c>
    </row>
    <row r="129" spans="1:7" x14ac:dyDescent="0.2">
      <c r="D129">
        <v>1</v>
      </c>
      <c r="E129">
        <v>550</v>
      </c>
    </row>
    <row r="130" spans="1:7" x14ac:dyDescent="0.2">
      <c r="A130" t="s">
        <v>41</v>
      </c>
      <c r="B130">
        <v>2014</v>
      </c>
      <c r="C130" t="s">
        <v>43</v>
      </c>
      <c r="D130">
        <v>0.56999999999999995</v>
      </c>
      <c r="E130">
        <v>37</v>
      </c>
      <c r="F130" t="s">
        <v>8</v>
      </c>
      <c r="G130" t="s">
        <v>42</v>
      </c>
    </row>
    <row r="131" spans="1:7" x14ac:dyDescent="0.2">
      <c r="D131">
        <v>0.61</v>
      </c>
      <c r="E131">
        <v>37</v>
      </c>
    </row>
    <row r="132" spans="1:7" x14ac:dyDescent="0.2">
      <c r="D132">
        <v>0.63</v>
      </c>
      <c r="E132">
        <v>37</v>
      </c>
    </row>
    <row r="133" spans="1:7" x14ac:dyDescent="0.2">
      <c r="D133">
        <v>0.44</v>
      </c>
      <c r="E133">
        <v>37</v>
      </c>
    </row>
    <row r="134" spans="1:7" x14ac:dyDescent="0.2">
      <c r="D134">
        <v>0.5</v>
      </c>
      <c r="E134">
        <v>37</v>
      </c>
    </row>
    <row r="135" spans="1:7" x14ac:dyDescent="0.2">
      <c r="D135">
        <v>0.74</v>
      </c>
      <c r="E135">
        <v>37</v>
      </c>
    </row>
    <row r="136" spans="1:7" x14ac:dyDescent="0.2">
      <c r="D136">
        <v>0.5</v>
      </c>
      <c r="E136">
        <v>37</v>
      </c>
    </row>
    <row r="137" spans="1:7" x14ac:dyDescent="0.2">
      <c r="D137">
        <v>0.54</v>
      </c>
      <c r="E137">
        <v>37</v>
      </c>
    </row>
    <row r="138" spans="1:7" x14ac:dyDescent="0.2">
      <c r="D138">
        <v>0.59</v>
      </c>
      <c r="E138">
        <v>37</v>
      </c>
    </row>
    <row r="139" spans="1:7" x14ac:dyDescent="0.2">
      <c r="D139">
        <v>0.59</v>
      </c>
      <c r="E139">
        <v>37</v>
      </c>
    </row>
    <row r="140" spans="1:7" x14ac:dyDescent="0.2">
      <c r="D140">
        <v>0.67</v>
      </c>
      <c r="E140">
        <v>37</v>
      </c>
    </row>
    <row r="141" spans="1:7" x14ac:dyDescent="0.2">
      <c r="D141">
        <v>0.71</v>
      </c>
      <c r="E141">
        <v>37</v>
      </c>
    </row>
    <row r="142" spans="1:7" x14ac:dyDescent="0.2">
      <c r="D142">
        <v>0.56999999999999995</v>
      </c>
      <c r="E142">
        <v>55</v>
      </c>
    </row>
    <row r="143" spans="1:7" x14ac:dyDescent="0.2">
      <c r="D143">
        <v>0.64</v>
      </c>
      <c r="E143">
        <v>55</v>
      </c>
    </row>
    <row r="144" spans="1:7" x14ac:dyDescent="0.2">
      <c r="D144">
        <v>0.65</v>
      </c>
      <c r="E144">
        <v>55</v>
      </c>
    </row>
    <row r="145" spans="1:7" x14ac:dyDescent="0.2">
      <c r="D145">
        <v>0.52</v>
      </c>
      <c r="E145">
        <v>55</v>
      </c>
    </row>
    <row r="146" spans="1:7" x14ac:dyDescent="0.2">
      <c r="D146">
        <v>0.74</v>
      </c>
      <c r="E146">
        <v>55</v>
      </c>
    </row>
    <row r="147" spans="1:7" x14ac:dyDescent="0.2">
      <c r="D147">
        <v>0.74</v>
      </c>
      <c r="E147">
        <v>55</v>
      </c>
    </row>
    <row r="148" spans="1:7" x14ac:dyDescent="0.2">
      <c r="D148">
        <v>0.48</v>
      </c>
      <c r="E148">
        <v>55</v>
      </c>
    </row>
    <row r="149" spans="1:7" x14ac:dyDescent="0.2">
      <c r="D149">
        <v>0.56000000000000005</v>
      </c>
      <c r="E149">
        <v>55</v>
      </c>
    </row>
    <row r="150" spans="1:7" x14ac:dyDescent="0.2">
      <c r="D150">
        <v>0.61</v>
      </c>
      <c r="E150">
        <v>55</v>
      </c>
    </row>
    <row r="151" spans="1:7" x14ac:dyDescent="0.2">
      <c r="D151">
        <v>0.52</v>
      </c>
      <c r="E151">
        <v>55</v>
      </c>
    </row>
    <row r="152" spans="1:7" x14ac:dyDescent="0.2">
      <c r="D152">
        <v>0.6</v>
      </c>
      <c r="E152">
        <v>55</v>
      </c>
    </row>
    <row r="153" spans="1:7" x14ac:dyDescent="0.2">
      <c r="D153">
        <v>0.63</v>
      </c>
      <c r="E153">
        <v>55</v>
      </c>
    </row>
    <row r="154" spans="1:7" x14ac:dyDescent="0.2">
      <c r="A154" t="s">
        <v>44</v>
      </c>
      <c r="B154">
        <v>2020</v>
      </c>
      <c r="C154" t="s">
        <v>12</v>
      </c>
      <c r="D154">
        <v>0.998</v>
      </c>
      <c r="E154">
        <v>300</v>
      </c>
      <c r="F154" t="s">
        <v>8</v>
      </c>
      <c r="G154" t="s">
        <v>45</v>
      </c>
    </row>
    <row r="155" spans="1:7" x14ac:dyDescent="0.2">
      <c r="D155">
        <v>0.84299999999999997</v>
      </c>
      <c r="E155">
        <v>300</v>
      </c>
    </row>
    <row r="156" spans="1:7" x14ac:dyDescent="0.2">
      <c r="D156">
        <v>0.98799999999999999</v>
      </c>
      <c r="E156">
        <v>300</v>
      </c>
    </row>
    <row r="157" spans="1:7" x14ac:dyDescent="0.2">
      <c r="D157">
        <v>0.86699999999999999</v>
      </c>
      <c r="E157">
        <v>300</v>
      </c>
    </row>
    <row r="158" spans="1:7" x14ac:dyDescent="0.2">
      <c r="D158">
        <v>0.98699999999999999</v>
      </c>
      <c r="E158">
        <v>300</v>
      </c>
    </row>
    <row r="159" spans="1:7" x14ac:dyDescent="0.2">
      <c r="D159">
        <v>0.98399999999999999</v>
      </c>
      <c r="E159">
        <v>300</v>
      </c>
    </row>
    <row r="160" spans="1:7" x14ac:dyDescent="0.2">
      <c r="D160">
        <v>0.999</v>
      </c>
      <c r="E160">
        <v>300</v>
      </c>
    </row>
    <row r="161" spans="4:5" x14ac:dyDescent="0.2">
      <c r="D161">
        <v>0.998</v>
      </c>
      <c r="E161">
        <v>300</v>
      </c>
    </row>
    <row r="162" spans="4:5" x14ac:dyDescent="0.2">
      <c r="D162">
        <v>0.998</v>
      </c>
      <c r="E162">
        <v>325</v>
      </c>
    </row>
    <row r="163" spans="4:5" x14ac:dyDescent="0.2">
      <c r="D163">
        <v>0.85399999999999998</v>
      </c>
      <c r="E163">
        <v>325</v>
      </c>
    </row>
    <row r="164" spans="4:5" x14ac:dyDescent="0.2">
      <c r="D164">
        <v>0.98899999999999999</v>
      </c>
      <c r="E164">
        <v>325</v>
      </c>
    </row>
    <row r="165" spans="4:5" x14ac:dyDescent="0.2">
      <c r="D165">
        <v>0.999</v>
      </c>
      <c r="E165">
        <v>325</v>
      </c>
    </row>
    <row r="166" spans="4:5" x14ac:dyDescent="0.2">
      <c r="D166">
        <v>0.98799999999999999</v>
      </c>
      <c r="E166">
        <v>325</v>
      </c>
    </row>
    <row r="167" spans="4:5" x14ac:dyDescent="0.2">
      <c r="D167">
        <v>0.98499999999999999</v>
      </c>
      <c r="E167">
        <v>325</v>
      </c>
    </row>
    <row r="168" spans="4:5" x14ac:dyDescent="0.2">
      <c r="D168">
        <v>0.999</v>
      </c>
      <c r="E168">
        <v>325</v>
      </c>
    </row>
    <row r="169" spans="4:5" x14ac:dyDescent="0.2">
      <c r="D169">
        <v>0.998</v>
      </c>
      <c r="E169">
        <v>325</v>
      </c>
    </row>
    <row r="170" spans="4:5" x14ac:dyDescent="0.2">
      <c r="D170">
        <v>0.998</v>
      </c>
      <c r="E170">
        <v>350</v>
      </c>
    </row>
    <row r="171" spans="4:5" x14ac:dyDescent="0.2">
      <c r="D171">
        <v>0.85299999999999998</v>
      </c>
      <c r="E171">
        <v>350</v>
      </c>
    </row>
    <row r="172" spans="4:5" x14ac:dyDescent="0.2">
      <c r="D172">
        <v>0.98899999999999999</v>
      </c>
      <c r="E172">
        <v>350</v>
      </c>
    </row>
    <row r="173" spans="4:5" x14ac:dyDescent="0.2">
      <c r="D173">
        <v>0.999</v>
      </c>
      <c r="E173">
        <v>350</v>
      </c>
    </row>
    <row r="174" spans="4:5" x14ac:dyDescent="0.2">
      <c r="D174">
        <v>0.98799999999999999</v>
      </c>
      <c r="E174">
        <v>350</v>
      </c>
    </row>
    <row r="175" spans="4:5" x14ac:dyDescent="0.2">
      <c r="D175">
        <v>0.98499999999999999</v>
      </c>
      <c r="E175">
        <v>350</v>
      </c>
    </row>
    <row r="176" spans="4:5" x14ac:dyDescent="0.2">
      <c r="D176">
        <v>0.999</v>
      </c>
      <c r="E176">
        <v>350</v>
      </c>
    </row>
    <row r="177" spans="1:7" x14ac:dyDescent="0.2">
      <c r="D177">
        <v>0.998</v>
      </c>
      <c r="E177">
        <v>350</v>
      </c>
    </row>
    <row r="178" spans="1:7" x14ac:dyDescent="0.2">
      <c r="A178" t="s">
        <v>46</v>
      </c>
      <c r="B178">
        <v>2025</v>
      </c>
      <c r="C178" t="s">
        <v>47</v>
      </c>
      <c r="D178">
        <v>1</v>
      </c>
      <c r="E178">
        <v>320</v>
      </c>
      <c r="F178" t="s">
        <v>8</v>
      </c>
      <c r="G178" t="s">
        <v>48</v>
      </c>
    </row>
    <row r="179" spans="1:7" x14ac:dyDescent="0.2">
      <c r="D179">
        <v>1</v>
      </c>
      <c r="E179">
        <v>320</v>
      </c>
    </row>
    <row r="180" spans="1:7" x14ac:dyDescent="0.2">
      <c r="D180">
        <v>1</v>
      </c>
      <c r="E180">
        <v>320</v>
      </c>
    </row>
    <row r="181" spans="1:7" x14ac:dyDescent="0.2">
      <c r="D181">
        <v>1</v>
      </c>
      <c r="E181">
        <v>320</v>
      </c>
    </row>
    <row r="182" spans="1:7" x14ac:dyDescent="0.2">
      <c r="D182">
        <v>1</v>
      </c>
      <c r="E182">
        <v>320</v>
      </c>
    </row>
    <row r="183" spans="1:7" x14ac:dyDescent="0.2">
      <c r="D183">
        <v>1</v>
      </c>
      <c r="E183">
        <v>320</v>
      </c>
    </row>
    <row r="184" spans="1:7" x14ac:dyDescent="0.2">
      <c r="D184">
        <v>1</v>
      </c>
      <c r="E184">
        <v>320</v>
      </c>
    </row>
    <row r="185" spans="1:7" x14ac:dyDescent="0.2">
      <c r="D185">
        <v>1</v>
      </c>
      <c r="E185">
        <v>320</v>
      </c>
    </row>
    <row r="186" spans="1:7" x14ac:dyDescent="0.2">
      <c r="D186">
        <v>1</v>
      </c>
      <c r="E186">
        <v>320</v>
      </c>
    </row>
    <row r="187" spans="1:7" x14ac:dyDescent="0.2">
      <c r="D187">
        <v>1</v>
      </c>
      <c r="E187">
        <v>320</v>
      </c>
    </row>
    <row r="188" spans="1:7" x14ac:dyDescent="0.2">
      <c r="D188">
        <v>1</v>
      </c>
      <c r="E188">
        <v>320</v>
      </c>
    </row>
    <row r="189" spans="1:7" x14ac:dyDescent="0.2">
      <c r="D189">
        <v>1</v>
      </c>
      <c r="E189">
        <v>320</v>
      </c>
    </row>
    <row r="190" spans="1:7" x14ac:dyDescent="0.2">
      <c r="D190">
        <v>1</v>
      </c>
      <c r="E190">
        <v>320</v>
      </c>
    </row>
    <row r="191" spans="1:7" x14ac:dyDescent="0.2">
      <c r="D191">
        <v>1</v>
      </c>
      <c r="E191">
        <v>320</v>
      </c>
    </row>
    <row r="192" spans="1:7" x14ac:dyDescent="0.2">
      <c r="D192">
        <v>1</v>
      </c>
      <c r="E192">
        <v>320</v>
      </c>
    </row>
    <row r="193" spans="4:5" x14ac:dyDescent="0.2">
      <c r="D193">
        <v>1</v>
      </c>
      <c r="E193">
        <v>320</v>
      </c>
    </row>
    <row r="194" spans="4:5" x14ac:dyDescent="0.2">
      <c r="D194">
        <v>1</v>
      </c>
      <c r="E194">
        <v>320</v>
      </c>
    </row>
    <row r="195" spans="4:5" x14ac:dyDescent="0.2">
      <c r="D195">
        <v>1</v>
      </c>
      <c r="E195">
        <v>320</v>
      </c>
    </row>
    <row r="196" spans="4:5" x14ac:dyDescent="0.2">
      <c r="D196">
        <v>1</v>
      </c>
      <c r="E196">
        <v>320</v>
      </c>
    </row>
    <row r="197" spans="4:5" x14ac:dyDescent="0.2">
      <c r="D197">
        <v>1</v>
      </c>
      <c r="E197">
        <v>320</v>
      </c>
    </row>
    <row r="198" spans="4:5" x14ac:dyDescent="0.2">
      <c r="D198">
        <v>1</v>
      </c>
      <c r="E198">
        <v>320</v>
      </c>
    </row>
    <row r="199" spans="4:5" x14ac:dyDescent="0.2">
      <c r="D199">
        <v>1</v>
      </c>
      <c r="E199">
        <v>320</v>
      </c>
    </row>
    <row r="200" spans="4:5" x14ac:dyDescent="0.2">
      <c r="D200">
        <v>1</v>
      </c>
      <c r="E200">
        <v>320</v>
      </c>
    </row>
    <row r="201" spans="4:5" x14ac:dyDescent="0.2">
      <c r="D201">
        <v>1</v>
      </c>
      <c r="E201">
        <v>320</v>
      </c>
    </row>
    <row r="202" spans="4:5" x14ac:dyDescent="0.2">
      <c r="D202">
        <v>1</v>
      </c>
      <c r="E202">
        <v>320</v>
      </c>
    </row>
    <row r="203" spans="4:5" x14ac:dyDescent="0.2">
      <c r="D203">
        <v>1</v>
      </c>
      <c r="E203">
        <v>320</v>
      </c>
    </row>
    <row r="204" spans="4:5" x14ac:dyDescent="0.2">
      <c r="D204">
        <v>1</v>
      </c>
      <c r="E204">
        <v>320</v>
      </c>
    </row>
    <row r="205" spans="4:5" x14ac:dyDescent="0.2">
      <c r="D205">
        <v>1</v>
      </c>
      <c r="E205">
        <v>320</v>
      </c>
    </row>
    <row r="206" spans="4:5" x14ac:dyDescent="0.2">
      <c r="D206">
        <v>1</v>
      </c>
      <c r="E206">
        <v>320</v>
      </c>
    </row>
    <row r="207" spans="4:5" x14ac:dyDescent="0.2">
      <c r="D207">
        <v>1</v>
      </c>
      <c r="E207">
        <v>320</v>
      </c>
    </row>
    <row r="208" spans="4:5" x14ac:dyDescent="0.2">
      <c r="D208">
        <v>1</v>
      </c>
      <c r="E208">
        <v>320</v>
      </c>
    </row>
    <row r="209" spans="4:5" x14ac:dyDescent="0.2">
      <c r="D209">
        <v>1</v>
      </c>
      <c r="E209">
        <v>320</v>
      </c>
    </row>
    <row r="210" spans="4:5" x14ac:dyDescent="0.2">
      <c r="D210">
        <v>1</v>
      </c>
      <c r="E210">
        <v>320</v>
      </c>
    </row>
    <row r="211" spans="4:5" x14ac:dyDescent="0.2">
      <c r="D211">
        <v>1</v>
      </c>
      <c r="E211">
        <v>320</v>
      </c>
    </row>
    <row r="212" spans="4:5" x14ac:dyDescent="0.2">
      <c r="D212">
        <v>1</v>
      </c>
      <c r="E212">
        <v>320</v>
      </c>
    </row>
    <row r="213" spans="4:5" x14ac:dyDescent="0.2">
      <c r="D213">
        <v>1</v>
      </c>
      <c r="E213">
        <v>320</v>
      </c>
    </row>
    <row r="214" spans="4:5" x14ac:dyDescent="0.2">
      <c r="D214">
        <v>1</v>
      </c>
      <c r="E214">
        <v>320</v>
      </c>
    </row>
    <row r="215" spans="4:5" x14ac:dyDescent="0.2">
      <c r="D215">
        <v>1</v>
      </c>
      <c r="E215">
        <v>320</v>
      </c>
    </row>
    <row r="216" spans="4:5" x14ac:dyDescent="0.2">
      <c r="D216">
        <v>1</v>
      </c>
      <c r="E216">
        <v>320</v>
      </c>
    </row>
    <row r="217" spans="4:5" x14ac:dyDescent="0.2">
      <c r="D217">
        <v>1</v>
      </c>
      <c r="E217">
        <v>320</v>
      </c>
    </row>
    <row r="218" spans="4:5" x14ac:dyDescent="0.2">
      <c r="D218">
        <f>(4987-14)/4987</f>
        <v>0.99719270102265889</v>
      </c>
      <c r="E218">
        <v>320</v>
      </c>
    </row>
    <row r="219" spans="4:5" x14ac:dyDescent="0.2">
      <c r="D219">
        <v>1</v>
      </c>
      <c r="E219">
        <v>320</v>
      </c>
    </row>
    <row r="220" spans="4:5" x14ac:dyDescent="0.2">
      <c r="D220">
        <v>1</v>
      </c>
      <c r="E220">
        <v>320</v>
      </c>
    </row>
    <row r="221" spans="4:5" x14ac:dyDescent="0.2">
      <c r="D221">
        <v>1</v>
      </c>
      <c r="E221">
        <v>320</v>
      </c>
    </row>
    <row r="222" spans="4:5" x14ac:dyDescent="0.2">
      <c r="D222">
        <v>1</v>
      </c>
      <c r="E222">
        <v>320</v>
      </c>
    </row>
    <row r="223" spans="4:5" x14ac:dyDescent="0.2">
      <c r="D223">
        <v>1</v>
      </c>
      <c r="E223">
        <v>320</v>
      </c>
    </row>
    <row r="224" spans="4:5" x14ac:dyDescent="0.2">
      <c r="D224">
        <v>1</v>
      </c>
      <c r="E224">
        <v>320</v>
      </c>
    </row>
    <row r="225" spans="1:7" x14ac:dyDescent="0.2">
      <c r="A225" t="s">
        <v>50</v>
      </c>
      <c r="B225">
        <v>2024</v>
      </c>
      <c r="C225" t="s">
        <v>18</v>
      </c>
      <c r="D225">
        <v>-0.04</v>
      </c>
      <c r="E225">
        <v>29.6</v>
      </c>
      <c r="F225" t="s">
        <v>8</v>
      </c>
      <c r="G225" t="s">
        <v>49</v>
      </c>
    </row>
    <row r="226" spans="1:7" x14ac:dyDescent="0.2">
      <c r="D226">
        <v>0.46</v>
      </c>
      <c r="E226">
        <v>29.6</v>
      </c>
    </row>
    <row r="227" spans="1:7" x14ac:dyDescent="0.2">
      <c r="D227">
        <v>-0.28000000000000003</v>
      </c>
      <c r="E227">
        <v>29.6</v>
      </c>
    </row>
    <row r="228" spans="1:7" x14ac:dyDescent="0.2">
      <c r="D228">
        <v>0</v>
      </c>
      <c r="E228">
        <v>29.6</v>
      </c>
    </row>
    <row r="229" spans="1:7" x14ac:dyDescent="0.2">
      <c r="D229">
        <v>0.16</v>
      </c>
      <c r="E229">
        <v>29.6</v>
      </c>
    </row>
    <row r="230" spans="1:7" x14ac:dyDescent="0.2">
      <c r="D230">
        <v>0.1</v>
      </c>
      <c r="E230">
        <v>29.6</v>
      </c>
    </row>
    <row r="231" spans="1:7" x14ac:dyDescent="0.2">
      <c r="D231">
        <v>-1.84</v>
      </c>
      <c r="E231">
        <v>29.6</v>
      </c>
    </row>
    <row r="232" spans="1:7" x14ac:dyDescent="0.2">
      <c r="D232">
        <v>7.0000000000000007E-2</v>
      </c>
      <c r="E232">
        <v>29.6</v>
      </c>
    </row>
    <row r="233" spans="1:7" x14ac:dyDescent="0.2">
      <c r="D233">
        <v>-0.96</v>
      </c>
      <c r="E233">
        <v>29.6</v>
      </c>
    </row>
    <row r="234" spans="1:7" x14ac:dyDescent="0.2">
      <c r="D234">
        <v>-0.38</v>
      </c>
      <c r="E234">
        <v>29.6</v>
      </c>
    </row>
    <row r="235" spans="1:7" x14ac:dyDescent="0.2">
      <c r="D235">
        <v>0.06</v>
      </c>
      <c r="E235">
        <v>29.6</v>
      </c>
    </row>
    <row r="236" spans="1:7" x14ac:dyDescent="0.2">
      <c r="D236">
        <v>-0.16</v>
      </c>
      <c r="E236">
        <v>37.6</v>
      </c>
    </row>
    <row r="237" spans="1:7" x14ac:dyDescent="0.2">
      <c r="D237">
        <v>0.4</v>
      </c>
      <c r="E237">
        <v>37.6</v>
      </c>
    </row>
    <row r="238" spans="1:7" x14ac:dyDescent="0.2">
      <c r="D238">
        <v>-0.52</v>
      </c>
      <c r="E238">
        <v>37.6</v>
      </c>
    </row>
    <row r="239" spans="1:7" x14ac:dyDescent="0.2">
      <c r="D239">
        <v>-0.13</v>
      </c>
      <c r="E239">
        <v>37.6</v>
      </c>
    </row>
    <row r="240" spans="1:7" x14ac:dyDescent="0.2">
      <c r="D240">
        <v>0.02</v>
      </c>
      <c r="E240">
        <v>37.6</v>
      </c>
    </row>
    <row r="241" spans="4:5" x14ac:dyDescent="0.2">
      <c r="D241">
        <v>0.18</v>
      </c>
      <c r="E241">
        <v>37.6</v>
      </c>
    </row>
    <row r="242" spans="4:5" x14ac:dyDescent="0.2">
      <c r="D242">
        <v>-0.83</v>
      </c>
      <c r="E242">
        <v>37.6</v>
      </c>
    </row>
    <row r="243" spans="4:5" x14ac:dyDescent="0.2">
      <c r="D243">
        <v>-0.04</v>
      </c>
      <c r="E243">
        <v>37.6</v>
      </c>
    </row>
    <row r="244" spans="4:5" x14ac:dyDescent="0.2">
      <c r="D244">
        <v>-0.27</v>
      </c>
      <c r="E244">
        <v>37.6</v>
      </c>
    </row>
    <row r="245" spans="4:5" x14ac:dyDescent="0.2">
      <c r="D245">
        <v>-0.5</v>
      </c>
      <c r="E245">
        <v>37.6</v>
      </c>
    </row>
    <row r="246" spans="4:5" x14ac:dyDescent="0.2">
      <c r="D246">
        <v>-0.05</v>
      </c>
      <c r="E246">
        <v>37.6</v>
      </c>
    </row>
    <row r="247" spans="4:5" x14ac:dyDescent="0.2">
      <c r="D247">
        <v>-0.08</v>
      </c>
      <c r="E247">
        <v>57.4</v>
      </c>
    </row>
    <row r="248" spans="4:5" x14ac:dyDescent="0.2">
      <c r="D248">
        <v>0.27</v>
      </c>
      <c r="E248">
        <v>57.4</v>
      </c>
    </row>
    <row r="249" spans="4:5" x14ac:dyDescent="0.2">
      <c r="D249">
        <v>-0.53</v>
      </c>
      <c r="E249">
        <v>57.4</v>
      </c>
    </row>
    <row r="250" spans="4:5" x14ac:dyDescent="0.2">
      <c r="D250">
        <v>-0.06</v>
      </c>
      <c r="E250">
        <v>57.4</v>
      </c>
    </row>
    <row r="251" spans="4:5" x14ac:dyDescent="0.2">
      <c r="D251">
        <v>0.2</v>
      </c>
      <c r="E251">
        <v>57.4</v>
      </c>
    </row>
    <row r="252" spans="4:5" x14ac:dyDescent="0.2">
      <c r="D252">
        <v>0.33</v>
      </c>
      <c r="E252">
        <v>57.4</v>
      </c>
    </row>
    <row r="253" spans="4:5" x14ac:dyDescent="0.2">
      <c r="D253">
        <v>-1.5</v>
      </c>
      <c r="E253">
        <v>57.4</v>
      </c>
    </row>
    <row r="254" spans="4:5" x14ac:dyDescent="0.2">
      <c r="D254">
        <v>0.16</v>
      </c>
      <c r="E254">
        <v>57.4</v>
      </c>
    </row>
    <row r="255" spans="4:5" x14ac:dyDescent="0.2">
      <c r="D255">
        <v>0.1</v>
      </c>
      <c r="E255">
        <v>57.4</v>
      </c>
    </row>
    <row r="256" spans="4:5" x14ac:dyDescent="0.2">
      <c r="D256">
        <v>-0.63</v>
      </c>
      <c r="E256">
        <v>57.4</v>
      </c>
    </row>
    <row r="257" spans="1:7" x14ac:dyDescent="0.2">
      <c r="D257">
        <v>0.09</v>
      </c>
      <c r="E257">
        <v>57.4</v>
      </c>
    </row>
    <row r="258" spans="1:7" x14ac:dyDescent="0.2">
      <c r="D258">
        <v>-0.4</v>
      </c>
      <c r="E258">
        <v>65.5</v>
      </c>
    </row>
    <row r="259" spans="1:7" x14ac:dyDescent="0.2">
      <c r="D259">
        <v>0.21</v>
      </c>
      <c r="E259">
        <v>65.5</v>
      </c>
    </row>
    <row r="260" spans="1:7" x14ac:dyDescent="0.2">
      <c r="D260">
        <v>-0.72</v>
      </c>
      <c r="E260">
        <v>65.5</v>
      </c>
    </row>
    <row r="261" spans="1:7" x14ac:dyDescent="0.2">
      <c r="D261">
        <v>0.03</v>
      </c>
      <c r="E261">
        <v>65.5</v>
      </c>
    </row>
    <row r="262" spans="1:7" x14ac:dyDescent="0.2">
      <c r="D262">
        <v>0.19</v>
      </c>
      <c r="E262">
        <v>65.5</v>
      </c>
    </row>
    <row r="263" spans="1:7" x14ac:dyDescent="0.2">
      <c r="D263">
        <v>0.47</v>
      </c>
      <c r="E263">
        <v>65.5</v>
      </c>
    </row>
    <row r="264" spans="1:7" x14ac:dyDescent="0.2">
      <c r="D264">
        <v>-0.89</v>
      </c>
      <c r="E264">
        <v>65.5</v>
      </c>
    </row>
    <row r="265" spans="1:7" x14ac:dyDescent="0.2">
      <c r="D265">
        <v>0.32</v>
      </c>
      <c r="E265">
        <v>65.5</v>
      </c>
    </row>
    <row r="266" spans="1:7" x14ac:dyDescent="0.2">
      <c r="D266">
        <v>0.22</v>
      </c>
      <c r="E266">
        <v>65.5</v>
      </c>
    </row>
    <row r="267" spans="1:7" x14ac:dyDescent="0.2">
      <c r="D267">
        <v>-0.72</v>
      </c>
      <c r="E267">
        <v>65.5</v>
      </c>
    </row>
    <row r="268" spans="1:7" x14ac:dyDescent="0.2">
      <c r="D268">
        <v>0.13</v>
      </c>
      <c r="E268">
        <v>65.5</v>
      </c>
    </row>
    <row r="269" spans="1:7" x14ac:dyDescent="0.2">
      <c r="A269" t="s">
        <v>51</v>
      </c>
      <c r="B269">
        <v>2007</v>
      </c>
      <c r="C269" t="s">
        <v>43</v>
      </c>
      <c r="D269">
        <v>0.88</v>
      </c>
      <c r="E269">
        <v>55</v>
      </c>
      <c r="F269" t="s">
        <v>8</v>
      </c>
      <c r="G269" t="s">
        <v>52</v>
      </c>
    </row>
    <row r="270" spans="1:7" x14ac:dyDescent="0.2">
      <c r="D270">
        <v>0.99</v>
      </c>
      <c r="E270">
        <v>55</v>
      </c>
    </row>
    <row r="271" spans="1:7" x14ac:dyDescent="0.2">
      <c r="D271">
        <v>0.94</v>
      </c>
      <c r="E271">
        <v>55</v>
      </c>
    </row>
    <row r="272" spans="1:7" x14ac:dyDescent="0.2">
      <c r="D272">
        <v>0.69</v>
      </c>
      <c r="E272">
        <v>55</v>
      </c>
    </row>
    <row r="273" spans="1:7" x14ac:dyDescent="0.2">
      <c r="D273">
        <v>0.5</v>
      </c>
      <c r="E273">
        <v>55</v>
      </c>
    </row>
    <row r="274" spans="1:7" x14ac:dyDescent="0.2">
      <c r="D274">
        <v>0.41</v>
      </c>
      <c r="E274">
        <v>55</v>
      </c>
    </row>
    <row r="275" spans="1:7" x14ac:dyDescent="0.2">
      <c r="D275">
        <v>0</v>
      </c>
      <c r="E275">
        <v>55</v>
      </c>
    </row>
    <row r="276" spans="1:7" x14ac:dyDescent="0.2">
      <c r="A276" t="s">
        <v>54</v>
      </c>
      <c r="B276">
        <v>2022</v>
      </c>
      <c r="C276" t="s">
        <v>53</v>
      </c>
      <c r="D276">
        <v>0.74959999999999993</v>
      </c>
      <c r="E276">
        <v>195</v>
      </c>
      <c r="F276" t="s">
        <v>8</v>
      </c>
      <c r="G276" t="s">
        <v>55</v>
      </c>
    </row>
    <row r="277" spans="1:7" x14ac:dyDescent="0.2">
      <c r="D277">
        <v>0.79099999999999993</v>
      </c>
      <c r="E277">
        <v>210</v>
      </c>
    </row>
    <row r="278" spans="1:7" x14ac:dyDescent="0.2">
      <c r="D278">
        <v>0.83109999999999995</v>
      </c>
      <c r="E278">
        <v>195</v>
      </c>
    </row>
    <row r="279" spans="1:7" x14ac:dyDescent="0.2">
      <c r="D279">
        <v>0.64790000000000003</v>
      </c>
      <c r="E279">
        <v>180</v>
      </c>
    </row>
    <row r="280" spans="1:7" ht="16" customHeight="1" x14ac:dyDescent="0.2">
      <c r="D280">
        <v>0.71479999999999999</v>
      </c>
      <c r="E280">
        <v>195</v>
      </c>
    </row>
    <row r="281" spans="1:7" ht="16" customHeight="1" x14ac:dyDescent="0.2">
      <c r="D281">
        <v>0.88629999999999998</v>
      </c>
      <c r="E281">
        <v>220.23</v>
      </c>
    </row>
    <row r="282" spans="1:7" ht="16" customHeight="1" x14ac:dyDescent="0.2">
      <c r="D282">
        <v>0.75890000000000002</v>
      </c>
      <c r="E282">
        <v>195</v>
      </c>
    </row>
    <row r="283" spans="1:7" ht="16" customHeight="1" x14ac:dyDescent="0.2">
      <c r="D283">
        <v>0.72459999999999991</v>
      </c>
      <c r="E283">
        <v>195</v>
      </c>
    </row>
    <row r="284" spans="1:7" ht="16" customHeight="1" x14ac:dyDescent="0.2">
      <c r="D284">
        <v>0.77739999999999998</v>
      </c>
      <c r="E284">
        <v>210</v>
      </c>
    </row>
    <row r="285" spans="1:7" ht="16" customHeight="1" x14ac:dyDescent="0.2">
      <c r="D285">
        <v>0.66010000000000002</v>
      </c>
      <c r="E285">
        <v>169.77</v>
      </c>
    </row>
    <row r="286" spans="1:7" ht="16" customHeight="1" x14ac:dyDescent="0.2">
      <c r="D286">
        <v>0.79510000000000003</v>
      </c>
      <c r="E286">
        <v>210</v>
      </c>
    </row>
    <row r="287" spans="1:7" ht="16" customHeight="1" x14ac:dyDescent="0.2">
      <c r="D287">
        <v>0.78749999999999998</v>
      </c>
      <c r="E287">
        <v>180</v>
      </c>
    </row>
    <row r="288" spans="1:7" ht="16" customHeight="1" x14ac:dyDescent="0.2">
      <c r="D288">
        <v>0.55789999999999995</v>
      </c>
      <c r="E288">
        <v>180</v>
      </c>
    </row>
    <row r="289" spans="1:19" ht="16" customHeight="1" x14ac:dyDescent="0.2">
      <c r="D289">
        <v>0.69889999999999997</v>
      </c>
      <c r="E289">
        <v>195</v>
      </c>
    </row>
    <row r="290" spans="1:19" ht="16" customHeight="1" x14ac:dyDescent="0.2">
      <c r="D290">
        <v>0.7762</v>
      </c>
      <c r="E290">
        <v>210</v>
      </c>
    </row>
    <row r="291" spans="1:19" ht="16" customHeight="1" x14ac:dyDescent="0.2">
      <c r="D291">
        <v>0.74159999999999993</v>
      </c>
      <c r="E291">
        <v>195</v>
      </c>
      <c r="M291" s="7"/>
      <c r="N291" s="7"/>
      <c r="O291" s="7"/>
      <c r="P291" s="7"/>
      <c r="Q291" s="7"/>
      <c r="R291" s="7"/>
    </row>
    <row r="292" spans="1:19" ht="16" customHeight="1" x14ac:dyDescent="0.2">
      <c r="D292">
        <v>0.71609999999999996</v>
      </c>
      <c r="E292">
        <v>180</v>
      </c>
      <c r="M292" s="8"/>
      <c r="O292" s="8"/>
      <c r="P292" s="8"/>
      <c r="Q292" s="8"/>
      <c r="S292" s="8"/>
    </row>
    <row r="293" spans="1:19" ht="16" customHeight="1" x14ac:dyDescent="0.2">
      <c r="A293" t="s">
        <v>56</v>
      </c>
      <c r="B293">
        <v>2021</v>
      </c>
      <c r="C293" t="s">
        <v>14</v>
      </c>
      <c r="D293">
        <v>0.99</v>
      </c>
      <c r="E293">
        <v>420</v>
      </c>
      <c r="F293" t="s">
        <v>8</v>
      </c>
      <c r="G293" t="s">
        <v>57</v>
      </c>
      <c r="M293" s="8"/>
      <c r="O293" s="8"/>
      <c r="P293" s="8"/>
      <c r="Q293" s="8"/>
      <c r="S293" s="8"/>
    </row>
    <row r="294" spans="1:19" ht="16" customHeight="1" x14ac:dyDescent="0.2">
      <c r="D294">
        <v>0.99</v>
      </c>
      <c r="E294">
        <v>500</v>
      </c>
      <c r="M294" s="8"/>
      <c r="O294" s="8"/>
      <c r="P294" s="8"/>
      <c r="Q294" s="8"/>
      <c r="S294" s="8"/>
    </row>
    <row r="295" spans="1:19" ht="16" customHeight="1" x14ac:dyDescent="0.2">
      <c r="D295">
        <v>1</v>
      </c>
      <c r="E295">
        <v>400</v>
      </c>
      <c r="M295" s="8"/>
      <c r="O295" s="8"/>
      <c r="P295" s="8"/>
      <c r="Q295" s="8"/>
      <c r="S295" s="8"/>
    </row>
    <row r="296" spans="1:19" ht="16" customHeight="1" x14ac:dyDescent="0.2">
      <c r="D296">
        <v>0.99</v>
      </c>
      <c r="E296">
        <v>600</v>
      </c>
      <c r="M296" s="8"/>
      <c r="O296" s="8"/>
      <c r="P296" s="8"/>
      <c r="Q296" s="8"/>
      <c r="S296" s="8"/>
    </row>
    <row r="297" spans="1:19" ht="16" customHeight="1" x14ac:dyDescent="0.2">
      <c r="A297" t="s">
        <v>58</v>
      </c>
      <c r="B297">
        <v>2015</v>
      </c>
      <c r="C297" t="s">
        <v>53</v>
      </c>
      <c r="D297">
        <v>0.63</v>
      </c>
      <c r="E297">
        <v>210</v>
      </c>
      <c r="F297" t="s">
        <v>8</v>
      </c>
      <c r="G297" t="s">
        <v>59</v>
      </c>
      <c r="M297" s="8"/>
      <c r="O297" s="8"/>
      <c r="P297" s="8"/>
      <c r="Q297" s="8"/>
      <c r="S297" s="8"/>
    </row>
    <row r="298" spans="1:19" ht="16" customHeight="1" x14ac:dyDescent="0.2">
      <c r="D298">
        <f>-20/210</f>
        <v>-9.5238095238095233E-2</v>
      </c>
      <c r="E298">
        <v>210</v>
      </c>
      <c r="M298" s="8"/>
      <c r="O298" s="8"/>
      <c r="P298" s="8"/>
      <c r="Q298" s="8"/>
      <c r="S298" s="8"/>
    </row>
    <row r="299" spans="1:19" ht="16" customHeight="1" x14ac:dyDescent="0.2">
      <c r="D299">
        <v>0.98</v>
      </c>
      <c r="E299">
        <v>210</v>
      </c>
      <c r="M299" s="8"/>
      <c r="O299" s="8"/>
      <c r="P299" s="8"/>
      <c r="Q299" s="8"/>
      <c r="S299" s="8"/>
    </row>
    <row r="300" spans="1:19" ht="16" customHeight="1" x14ac:dyDescent="0.2">
      <c r="D300">
        <v>0.89</v>
      </c>
      <c r="E300">
        <v>210</v>
      </c>
      <c r="M300" s="8"/>
      <c r="O300" s="8"/>
      <c r="P300" s="8"/>
      <c r="Q300" s="8"/>
      <c r="S300" s="8"/>
    </row>
    <row r="301" spans="1:19" ht="16" customHeight="1" x14ac:dyDescent="0.2">
      <c r="D301">
        <v>0.97</v>
      </c>
      <c r="E301">
        <v>210</v>
      </c>
      <c r="M301" s="8"/>
      <c r="O301" s="8"/>
      <c r="P301" s="8"/>
      <c r="Q301" s="8"/>
      <c r="S301" s="8"/>
    </row>
    <row r="302" spans="1:19" ht="16" customHeight="1" x14ac:dyDescent="0.2">
      <c r="D302">
        <v>0.39</v>
      </c>
      <c r="E302">
        <v>210</v>
      </c>
      <c r="M302" s="8"/>
      <c r="O302" s="8"/>
      <c r="P302" s="8"/>
      <c r="Q302" s="8"/>
      <c r="S302" s="8"/>
    </row>
    <row r="303" spans="1:19" ht="16" customHeight="1" x14ac:dyDescent="0.2">
      <c r="D303">
        <v>0.81</v>
      </c>
      <c r="E303">
        <v>210</v>
      </c>
      <c r="M303" s="8"/>
      <c r="O303" s="8"/>
      <c r="P303" s="8"/>
      <c r="Q303" s="8"/>
      <c r="S303" s="8"/>
    </row>
    <row r="304" spans="1:19" ht="16" customHeight="1" x14ac:dyDescent="0.2">
      <c r="D304">
        <v>0.95</v>
      </c>
      <c r="E304">
        <v>210</v>
      </c>
      <c r="M304" s="8"/>
      <c r="O304" s="8"/>
      <c r="P304" s="8"/>
      <c r="Q304" s="8"/>
      <c r="S304" s="8"/>
    </row>
    <row r="305" spans="4:19" ht="16" customHeight="1" x14ac:dyDescent="0.2">
      <c r="D305">
        <v>0.97</v>
      </c>
      <c r="E305">
        <v>210</v>
      </c>
      <c r="M305" s="8"/>
      <c r="O305" s="8"/>
      <c r="P305" s="8"/>
      <c r="Q305" s="8"/>
      <c r="S305" s="8"/>
    </row>
    <row r="306" spans="4:19" ht="16" customHeight="1" x14ac:dyDescent="0.2">
      <c r="D306">
        <v>0.98</v>
      </c>
      <c r="E306">
        <v>210</v>
      </c>
      <c r="M306" s="8"/>
      <c r="O306" s="8"/>
      <c r="P306" s="8"/>
      <c r="Q306" s="8"/>
      <c r="S306" s="8"/>
    </row>
    <row r="307" spans="4:19" ht="16" customHeight="1" x14ac:dyDescent="0.2">
      <c r="M307" s="8"/>
      <c r="O307" s="8"/>
      <c r="P307" s="8"/>
      <c r="Q307" s="8"/>
      <c r="S307" s="8"/>
    </row>
    <row r="308" spans="4:19" ht="16" customHeight="1" x14ac:dyDescent="0.2">
      <c r="M308" s="8"/>
      <c r="O308" s="8"/>
      <c r="P308" s="8"/>
      <c r="Q308" s="8"/>
      <c r="S308" s="8"/>
    </row>
    <row r="309" spans="4:19" ht="16" customHeight="1" x14ac:dyDescent="0.2"/>
    <row r="310" spans="4:19" ht="16" customHeight="1" x14ac:dyDescent="0.2"/>
    <row r="311" spans="4:19" ht="16" customHeight="1" x14ac:dyDescent="0.2"/>
    <row r="312" spans="4:19" ht="16" customHeight="1" x14ac:dyDescent="0.2"/>
    <row r="313" spans="4:19" ht="16" customHeight="1" x14ac:dyDescent="0.2"/>
    <row r="314" spans="4:19" ht="16" customHeight="1" x14ac:dyDescent="0.2"/>
    <row r="315" spans="4:19" ht="16" customHeight="1" x14ac:dyDescent="0.2"/>
    <row r="316" spans="4:19" ht="16" customHeight="1" x14ac:dyDescent="0.2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E171-A42E-C046-AF46-A10794B749AB}">
  <dimension ref="A1:C306"/>
  <sheetViews>
    <sheetView workbookViewId="0">
      <selection activeCell="G292" sqref="G292"/>
    </sheetView>
  </sheetViews>
  <sheetFormatPr baseColWidth="10" defaultRowHeight="16" x14ac:dyDescent="0.2"/>
  <cols>
    <col min="1" max="1" width="10.83203125" customWidth="1"/>
  </cols>
  <sheetData>
    <row r="1" spans="1:3" x14ac:dyDescent="0.2">
      <c r="A1" t="s">
        <v>11</v>
      </c>
      <c r="B1" t="s">
        <v>60</v>
      </c>
      <c r="C1" t="s">
        <v>35</v>
      </c>
    </row>
    <row r="2" spans="1:3" x14ac:dyDescent="0.2">
      <c r="A2" t="s">
        <v>63</v>
      </c>
      <c r="B2">
        <v>80</v>
      </c>
      <c r="C2">
        <v>0.76400000000000001</v>
      </c>
    </row>
    <row r="3" spans="1:3" x14ac:dyDescent="0.2">
      <c r="A3" t="s">
        <v>63</v>
      </c>
      <c r="B3">
        <v>80</v>
      </c>
      <c r="C3">
        <v>0.80555555555555558</v>
      </c>
    </row>
    <row r="4" spans="1:3" x14ac:dyDescent="0.2">
      <c r="A4" t="s">
        <v>63</v>
      </c>
      <c r="B4">
        <v>80</v>
      </c>
      <c r="C4">
        <v>0.7857142857142857</v>
      </c>
    </row>
    <row r="5" spans="1:3" x14ac:dyDescent="0.2">
      <c r="A5" t="s">
        <v>63</v>
      </c>
      <c r="B5">
        <v>80</v>
      </c>
      <c r="C5">
        <v>0.85428571428571431</v>
      </c>
    </row>
    <row r="6" spans="1:3" x14ac:dyDescent="0.2">
      <c r="A6" t="s">
        <v>63</v>
      </c>
      <c r="B6">
        <v>80</v>
      </c>
      <c r="C6">
        <v>0.82222222222222219</v>
      </c>
    </row>
    <row r="7" spans="1:3" x14ac:dyDescent="0.2">
      <c r="A7" t="s">
        <v>63</v>
      </c>
      <c r="B7">
        <v>80</v>
      </c>
      <c r="C7">
        <v>0.76896551724137929</v>
      </c>
    </row>
    <row r="8" spans="1:3" x14ac:dyDescent="0.2">
      <c r="A8" t="s">
        <v>63</v>
      </c>
      <c r="B8">
        <v>80</v>
      </c>
      <c r="C8">
        <v>0.83589743589743593</v>
      </c>
    </row>
    <row r="9" spans="1:3" x14ac:dyDescent="0.2">
      <c r="A9" t="s">
        <v>63</v>
      </c>
      <c r="B9">
        <v>80</v>
      </c>
      <c r="C9">
        <v>0.81739130434782614</v>
      </c>
    </row>
    <row r="10" spans="1:3" x14ac:dyDescent="0.2">
      <c r="A10" t="s">
        <v>63</v>
      </c>
      <c r="B10">
        <v>80</v>
      </c>
      <c r="C10">
        <v>0.76923076923076927</v>
      </c>
    </row>
    <row r="11" spans="1:3" x14ac:dyDescent="0.2">
      <c r="A11" t="s">
        <v>63</v>
      </c>
      <c r="B11">
        <v>80</v>
      </c>
      <c r="C11">
        <v>0.7533333333333333</v>
      </c>
    </row>
    <row r="12" spans="1:3" x14ac:dyDescent="0.2">
      <c r="A12" t="s">
        <v>63</v>
      </c>
      <c r="B12">
        <v>80</v>
      </c>
      <c r="C12">
        <v>0.7407407407407407</v>
      </c>
    </row>
    <row r="13" spans="1:3" x14ac:dyDescent="0.2">
      <c r="A13" t="s">
        <v>63</v>
      </c>
      <c r="B13">
        <v>80</v>
      </c>
      <c r="C13">
        <v>0.87323943661971826</v>
      </c>
    </row>
    <row r="14" spans="1:3" x14ac:dyDescent="0.2">
      <c r="A14" t="s">
        <v>63</v>
      </c>
      <c r="B14">
        <v>80</v>
      </c>
      <c r="C14">
        <v>0.89833333333333332</v>
      </c>
    </row>
    <row r="15" spans="1:3" x14ac:dyDescent="0.2">
      <c r="A15" t="s">
        <v>63</v>
      </c>
      <c r="B15">
        <v>80</v>
      </c>
      <c r="C15">
        <v>0.89696969696969697</v>
      </c>
    </row>
    <row r="16" spans="1:3" x14ac:dyDescent="0.2">
      <c r="A16" t="s">
        <v>63</v>
      </c>
      <c r="B16">
        <v>80</v>
      </c>
      <c r="C16">
        <v>0.86153846153846159</v>
      </c>
    </row>
    <row r="17" spans="1:3" x14ac:dyDescent="0.2">
      <c r="A17" t="s">
        <v>63</v>
      </c>
      <c r="B17">
        <v>80</v>
      </c>
      <c r="C17">
        <v>0.84375</v>
      </c>
    </row>
    <row r="18" spans="1:3" x14ac:dyDescent="0.2">
      <c r="A18" t="s">
        <v>63</v>
      </c>
      <c r="B18">
        <v>80</v>
      </c>
      <c r="C18">
        <v>0.94142857142857139</v>
      </c>
    </row>
    <row r="19" spans="1:3" x14ac:dyDescent="0.2">
      <c r="A19" t="s">
        <v>63</v>
      </c>
      <c r="B19">
        <v>80</v>
      </c>
      <c r="C19">
        <v>0.93166666666666664</v>
      </c>
    </row>
    <row r="20" spans="1:3" x14ac:dyDescent="0.2">
      <c r="A20" t="s">
        <v>63</v>
      </c>
      <c r="B20">
        <v>80</v>
      </c>
      <c r="C20">
        <v>0.89230769230769236</v>
      </c>
    </row>
    <row r="21" spans="1:3" x14ac:dyDescent="0.2">
      <c r="A21" t="s">
        <v>63</v>
      </c>
      <c r="B21">
        <v>80</v>
      </c>
      <c r="C21">
        <v>0.91666666666666663</v>
      </c>
    </row>
    <row r="22" spans="1:3" x14ac:dyDescent="0.2">
      <c r="A22" t="s">
        <v>63</v>
      </c>
      <c r="B22">
        <v>80</v>
      </c>
      <c r="C22">
        <v>0.93333333333333335</v>
      </c>
    </row>
    <row r="23" spans="1:3" x14ac:dyDescent="0.2">
      <c r="A23" t="s">
        <v>63</v>
      </c>
      <c r="B23">
        <v>80</v>
      </c>
      <c r="C23">
        <v>0.96437499999999998</v>
      </c>
    </row>
    <row r="24" spans="1:3" x14ac:dyDescent="0.2">
      <c r="A24" t="s">
        <v>63</v>
      </c>
      <c r="B24">
        <v>80</v>
      </c>
      <c r="C24">
        <v>0.95157894736842108</v>
      </c>
    </row>
    <row r="25" spans="1:3" x14ac:dyDescent="0.2">
      <c r="A25" t="s">
        <v>63</v>
      </c>
      <c r="B25">
        <v>80</v>
      </c>
      <c r="C25">
        <v>0.93153846153846154</v>
      </c>
    </row>
    <row r="26" spans="1:3" x14ac:dyDescent="0.2">
      <c r="A26" t="s">
        <v>63</v>
      </c>
      <c r="B26">
        <v>80</v>
      </c>
      <c r="C26">
        <v>0.63461538461538458</v>
      </c>
    </row>
    <row r="27" spans="1:3" x14ac:dyDescent="0.2">
      <c r="A27" t="s">
        <v>63</v>
      </c>
      <c r="B27">
        <v>80</v>
      </c>
      <c r="C27">
        <v>0.40625</v>
      </c>
    </row>
    <row r="28" spans="1:3" x14ac:dyDescent="0.2">
      <c r="A28" t="s">
        <v>63</v>
      </c>
      <c r="B28">
        <v>80</v>
      </c>
      <c r="C28">
        <v>0.41379310344827586</v>
      </c>
    </row>
    <row r="29" spans="1:3" x14ac:dyDescent="0.2">
      <c r="A29" t="s">
        <v>63</v>
      </c>
      <c r="B29">
        <v>80</v>
      </c>
      <c r="C29">
        <v>0.73</v>
      </c>
    </row>
    <row r="30" spans="1:3" x14ac:dyDescent="0.2">
      <c r="A30" t="s">
        <v>63</v>
      </c>
      <c r="B30">
        <v>80</v>
      </c>
      <c r="C30">
        <v>0.4576271186440678</v>
      </c>
    </row>
    <row r="31" spans="1:3" x14ac:dyDescent="0.2">
      <c r="A31" t="s">
        <v>63</v>
      </c>
      <c r="B31">
        <v>80</v>
      </c>
      <c r="C31">
        <v>0.15384615384615385</v>
      </c>
    </row>
    <row r="32" spans="1:3" x14ac:dyDescent="0.2">
      <c r="A32" t="s">
        <v>63</v>
      </c>
      <c r="B32">
        <v>80</v>
      </c>
      <c r="C32">
        <v>0.4098360655737705</v>
      </c>
    </row>
    <row r="33" spans="1:3" x14ac:dyDescent="0.2">
      <c r="A33" t="s">
        <v>63</v>
      </c>
      <c r="B33">
        <v>80</v>
      </c>
      <c r="C33">
        <v>0.3783783783783784</v>
      </c>
    </row>
    <row r="34" spans="1:3" x14ac:dyDescent="0.2">
      <c r="A34" t="s">
        <v>63</v>
      </c>
      <c r="B34">
        <v>105</v>
      </c>
      <c r="C34">
        <v>0.84799999999999998</v>
      </c>
    </row>
    <row r="35" spans="1:3" x14ac:dyDescent="0.2">
      <c r="A35" t="s">
        <v>63</v>
      </c>
      <c r="B35">
        <v>105</v>
      </c>
      <c r="C35">
        <v>0.83333333333333337</v>
      </c>
    </row>
    <row r="36" spans="1:3" x14ac:dyDescent="0.2">
      <c r="A36" t="s">
        <v>63</v>
      </c>
      <c r="B36">
        <v>105</v>
      </c>
      <c r="C36">
        <v>0.80476190476190479</v>
      </c>
    </row>
    <row r="37" spans="1:3" x14ac:dyDescent="0.2">
      <c r="A37" t="s">
        <v>63</v>
      </c>
      <c r="B37">
        <v>105</v>
      </c>
      <c r="C37">
        <v>0.88</v>
      </c>
    </row>
    <row r="38" spans="1:3" x14ac:dyDescent="0.2">
      <c r="A38" t="s">
        <v>63</v>
      </c>
      <c r="B38">
        <v>105</v>
      </c>
      <c r="C38">
        <v>0.8037037037037037</v>
      </c>
    </row>
    <row r="39" spans="1:3" x14ac:dyDescent="0.2">
      <c r="A39" t="s">
        <v>63</v>
      </c>
      <c r="B39">
        <v>105</v>
      </c>
      <c r="C39">
        <v>0.90689655172413797</v>
      </c>
    </row>
    <row r="40" spans="1:3" x14ac:dyDescent="0.2">
      <c r="A40" t="s">
        <v>63</v>
      </c>
      <c r="B40">
        <v>105</v>
      </c>
      <c r="C40">
        <v>0.88717948717948714</v>
      </c>
    </row>
    <row r="41" spans="1:3" x14ac:dyDescent="0.2">
      <c r="A41" t="s">
        <v>63</v>
      </c>
      <c r="B41">
        <v>105</v>
      </c>
      <c r="C41">
        <v>0.86521739130434783</v>
      </c>
    </row>
    <row r="42" spans="1:3" x14ac:dyDescent="0.2">
      <c r="A42" t="s">
        <v>63</v>
      </c>
      <c r="B42">
        <v>105</v>
      </c>
      <c r="C42">
        <v>0.8634615384615385</v>
      </c>
    </row>
    <row r="43" spans="1:3" x14ac:dyDescent="0.2">
      <c r="A43" t="s">
        <v>63</v>
      </c>
      <c r="B43">
        <v>105</v>
      </c>
      <c r="C43">
        <v>0.76666666666666672</v>
      </c>
    </row>
    <row r="44" spans="1:3" x14ac:dyDescent="0.2">
      <c r="A44" t="s">
        <v>63</v>
      </c>
      <c r="B44">
        <v>105</v>
      </c>
      <c r="C44">
        <v>0.79629629629629628</v>
      </c>
    </row>
    <row r="45" spans="1:3" x14ac:dyDescent="0.2">
      <c r="A45" t="s">
        <v>63</v>
      </c>
      <c r="B45">
        <v>105</v>
      </c>
      <c r="C45">
        <v>0.89295774647887327</v>
      </c>
    </row>
    <row r="46" spans="1:3" x14ac:dyDescent="0.2">
      <c r="A46" t="s">
        <v>63</v>
      </c>
      <c r="B46">
        <v>105</v>
      </c>
      <c r="C46">
        <v>0.89500000000000002</v>
      </c>
    </row>
    <row r="47" spans="1:3" x14ac:dyDescent="0.2">
      <c r="A47" t="s">
        <v>63</v>
      </c>
      <c r="B47">
        <v>105</v>
      </c>
      <c r="C47">
        <v>0.9242424242424242</v>
      </c>
    </row>
    <row r="48" spans="1:3" x14ac:dyDescent="0.2">
      <c r="A48" t="s">
        <v>63</v>
      </c>
      <c r="B48">
        <v>105</v>
      </c>
      <c r="C48">
        <v>0.9</v>
      </c>
    </row>
    <row r="49" spans="1:3" x14ac:dyDescent="0.2">
      <c r="A49" t="s">
        <v>63</v>
      </c>
      <c r="B49">
        <v>105</v>
      </c>
      <c r="C49">
        <v>0.87187499999999996</v>
      </c>
    </row>
    <row r="50" spans="1:3" x14ac:dyDescent="0.2">
      <c r="A50" t="s">
        <v>63</v>
      </c>
      <c r="B50">
        <v>105</v>
      </c>
      <c r="C50">
        <v>0.91428571428571426</v>
      </c>
    </row>
    <row r="51" spans="1:3" x14ac:dyDescent="0.2">
      <c r="A51" t="s">
        <v>63</v>
      </c>
      <c r="B51">
        <v>105</v>
      </c>
      <c r="C51">
        <v>0.94416666666666671</v>
      </c>
    </row>
    <row r="52" spans="1:3" x14ac:dyDescent="0.2">
      <c r="A52" t="s">
        <v>63</v>
      </c>
      <c r="B52">
        <v>105</v>
      </c>
      <c r="C52">
        <v>0.89230769230769236</v>
      </c>
    </row>
    <row r="53" spans="1:3" x14ac:dyDescent="0.2">
      <c r="A53" t="s">
        <v>63</v>
      </c>
      <c r="B53">
        <v>105</v>
      </c>
      <c r="C53">
        <v>0.91666666666666663</v>
      </c>
    </row>
    <row r="54" spans="1:3" x14ac:dyDescent="0.2">
      <c r="A54" t="s">
        <v>63</v>
      </c>
      <c r="B54">
        <v>105</v>
      </c>
      <c r="C54">
        <v>0.93733333333333335</v>
      </c>
    </row>
    <row r="55" spans="1:3" x14ac:dyDescent="0.2">
      <c r="A55" t="s">
        <v>63</v>
      </c>
      <c r="B55">
        <v>105</v>
      </c>
      <c r="C55">
        <v>0.97250000000000003</v>
      </c>
    </row>
    <row r="56" spans="1:3" x14ac:dyDescent="0.2">
      <c r="A56" t="s">
        <v>63</v>
      </c>
      <c r="B56">
        <v>105</v>
      </c>
      <c r="C56">
        <v>0.96263157894736839</v>
      </c>
    </row>
    <row r="57" spans="1:3" x14ac:dyDescent="0.2">
      <c r="A57" t="s">
        <v>63</v>
      </c>
      <c r="B57">
        <v>105</v>
      </c>
      <c r="C57">
        <v>0.94923076923076921</v>
      </c>
    </row>
    <row r="58" spans="1:3" x14ac:dyDescent="0.2">
      <c r="A58" t="s">
        <v>63</v>
      </c>
      <c r="B58">
        <v>105</v>
      </c>
      <c r="C58">
        <v>0.65384615384615385</v>
      </c>
    </row>
    <row r="59" spans="1:3" x14ac:dyDescent="0.2">
      <c r="A59" t="s">
        <v>63</v>
      </c>
      <c r="B59">
        <v>105</v>
      </c>
      <c r="C59">
        <v>0.5</v>
      </c>
    </row>
    <row r="60" spans="1:3" x14ac:dyDescent="0.2">
      <c r="A60" t="s">
        <v>63</v>
      </c>
      <c r="B60">
        <v>105</v>
      </c>
      <c r="C60">
        <v>0.44827586206896552</v>
      </c>
    </row>
    <row r="61" spans="1:3" x14ac:dyDescent="0.2">
      <c r="A61" t="s">
        <v>63</v>
      </c>
      <c r="B61">
        <v>105</v>
      </c>
      <c r="C61">
        <v>0.8</v>
      </c>
    </row>
    <row r="62" spans="1:3" x14ac:dyDescent="0.2">
      <c r="A62" t="s">
        <v>63</v>
      </c>
      <c r="B62">
        <v>105</v>
      </c>
      <c r="C62">
        <v>0.3728813559322034</v>
      </c>
    </row>
    <row r="63" spans="1:3" x14ac:dyDescent="0.2">
      <c r="A63" t="s">
        <v>63</v>
      </c>
      <c r="B63">
        <v>105</v>
      </c>
      <c r="C63">
        <v>0.7384615384615385</v>
      </c>
    </row>
    <row r="64" spans="1:3" x14ac:dyDescent="0.2">
      <c r="A64" t="s">
        <v>63</v>
      </c>
      <c r="B64">
        <v>105</v>
      </c>
      <c r="C64">
        <v>0.60655737704918034</v>
      </c>
    </row>
    <row r="65" spans="1:3" x14ac:dyDescent="0.2">
      <c r="A65" t="s">
        <v>63</v>
      </c>
      <c r="B65">
        <v>105</v>
      </c>
      <c r="C65">
        <v>0.56756756756756754</v>
      </c>
    </row>
    <row r="66" spans="1:3" x14ac:dyDescent="0.2">
      <c r="A66" t="s">
        <v>63</v>
      </c>
      <c r="B66">
        <v>250</v>
      </c>
      <c r="C66">
        <v>0.99883999999999995</v>
      </c>
    </row>
    <row r="67" spans="1:3" x14ac:dyDescent="0.2">
      <c r="A67" t="s">
        <v>63</v>
      </c>
      <c r="B67">
        <v>250</v>
      </c>
      <c r="C67">
        <v>0.99855555555555564</v>
      </c>
    </row>
    <row r="68" spans="1:3" x14ac:dyDescent="0.2">
      <c r="A68" t="s">
        <v>63</v>
      </c>
      <c r="B68">
        <v>250</v>
      </c>
      <c r="C68">
        <v>0.99671428571428566</v>
      </c>
    </row>
    <row r="69" spans="1:3" x14ac:dyDescent="0.2">
      <c r="A69" t="s">
        <v>63</v>
      </c>
      <c r="B69">
        <v>250</v>
      </c>
      <c r="C69">
        <v>0.9971714285714286</v>
      </c>
    </row>
    <row r="70" spans="1:3" x14ac:dyDescent="0.2">
      <c r="A70" t="s">
        <v>63</v>
      </c>
      <c r="B70">
        <v>250</v>
      </c>
      <c r="C70">
        <v>0.99940740740740741</v>
      </c>
    </row>
    <row r="71" spans="1:3" x14ac:dyDescent="0.2">
      <c r="A71" t="s">
        <v>63</v>
      </c>
      <c r="B71">
        <v>250</v>
      </c>
      <c r="C71">
        <v>0.99775862068965515</v>
      </c>
    </row>
    <row r="72" spans="1:3" x14ac:dyDescent="0.2">
      <c r="A72" t="s">
        <v>63</v>
      </c>
      <c r="B72">
        <v>250</v>
      </c>
      <c r="C72">
        <v>0.99917948717948724</v>
      </c>
    </row>
    <row r="73" spans="1:3" x14ac:dyDescent="0.2">
      <c r="A73" t="s">
        <v>63</v>
      </c>
      <c r="B73">
        <v>250</v>
      </c>
      <c r="C73">
        <v>0.99913043478260866</v>
      </c>
    </row>
    <row r="74" spans="1:3" x14ac:dyDescent="0.2">
      <c r="A74" t="s">
        <v>63</v>
      </c>
      <c r="B74">
        <v>250</v>
      </c>
      <c r="C74">
        <v>1</v>
      </c>
    </row>
    <row r="75" spans="1:3" x14ac:dyDescent="0.2">
      <c r="A75" t="s">
        <v>63</v>
      </c>
      <c r="B75">
        <v>250</v>
      </c>
      <c r="C75">
        <v>1</v>
      </c>
    </row>
    <row r="76" spans="1:3" x14ac:dyDescent="0.2">
      <c r="A76" t="s">
        <v>63</v>
      </c>
      <c r="B76">
        <v>250</v>
      </c>
      <c r="C76">
        <v>1</v>
      </c>
    </row>
    <row r="77" spans="1:3" x14ac:dyDescent="0.2">
      <c r="A77" t="s">
        <v>63</v>
      </c>
      <c r="B77">
        <v>250</v>
      </c>
      <c r="C77">
        <v>1</v>
      </c>
    </row>
    <row r="78" spans="1:3" x14ac:dyDescent="0.2">
      <c r="A78" t="s">
        <v>63</v>
      </c>
      <c r="B78">
        <v>250</v>
      </c>
      <c r="C78">
        <v>1</v>
      </c>
    </row>
    <row r="79" spans="1:3" x14ac:dyDescent="0.2">
      <c r="A79" t="s">
        <v>63</v>
      </c>
      <c r="B79">
        <v>250</v>
      </c>
      <c r="C79">
        <v>1</v>
      </c>
    </row>
    <row r="80" spans="1:3" x14ac:dyDescent="0.2">
      <c r="A80" t="s">
        <v>63</v>
      </c>
      <c r="B80">
        <v>250</v>
      </c>
      <c r="C80">
        <v>1</v>
      </c>
    </row>
    <row r="81" spans="1:3" x14ac:dyDescent="0.2">
      <c r="A81" t="s">
        <v>63</v>
      </c>
      <c r="B81">
        <v>250</v>
      </c>
      <c r="C81">
        <v>1</v>
      </c>
    </row>
    <row r="82" spans="1:3" x14ac:dyDescent="0.2">
      <c r="A82" t="s">
        <v>63</v>
      </c>
      <c r="B82">
        <v>250</v>
      </c>
      <c r="C82">
        <v>0.99792857142857139</v>
      </c>
    </row>
    <row r="83" spans="1:3" x14ac:dyDescent="0.2">
      <c r="A83" t="s">
        <v>63</v>
      </c>
      <c r="B83">
        <v>250</v>
      </c>
      <c r="C83">
        <v>0.99783333333333346</v>
      </c>
    </row>
    <row r="84" spans="1:3" x14ac:dyDescent="0.2">
      <c r="A84" t="s">
        <v>63</v>
      </c>
      <c r="B84">
        <v>250</v>
      </c>
      <c r="C84">
        <v>0.9954615384615384</v>
      </c>
    </row>
    <row r="85" spans="1:3" x14ac:dyDescent="0.2">
      <c r="A85" t="s">
        <v>63</v>
      </c>
      <c r="B85">
        <v>250</v>
      </c>
      <c r="C85">
        <v>0.99449999999999994</v>
      </c>
    </row>
    <row r="86" spans="1:3" x14ac:dyDescent="0.2">
      <c r="A86" t="s">
        <v>63</v>
      </c>
      <c r="B86">
        <v>250</v>
      </c>
      <c r="C86">
        <v>0.99893333333333334</v>
      </c>
    </row>
    <row r="87" spans="1:3" x14ac:dyDescent="0.2">
      <c r="A87" t="s">
        <v>63</v>
      </c>
      <c r="B87">
        <v>250</v>
      </c>
      <c r="C87">
        <v>0.99593750000000003</v>
      </c>
    </row>
    <row r="88" spans="1:3" x14ac:dyDescent="0.2">
      <c r="A88" t="s">
        <v>63</v>
      </c>
      <c r="B88">
        <v>250</v>
      </c>
      <c r="C88">
        <v>0.99831578947368416</v>
      </c>
    </row>
    <row r="89" spans="1:3" x14ac:dyDescent="0.2">
      <c r="A89" t="s">
        <v>63</v>
      </c>
      <c r="B89">
        <v>250</v>
      </c>
      <c r="C89">
        <v>0.99846153846153851</v>
      </c>
    </row>
    <row r="90" spans="1:3" x14ac:dyDescent="0.2">
      <c r="A90" t="s">
        <v>63</v>
      </c>
      <c r="B90">
        <v>250</v>
      </c>
      <c r="C90">
        <v>1</v>
      </c>
    </row>
    <row r="91" spans="1:3" x14ac:dyDescent="0.2">
      <c r="A91" t="s">
        <v>63</v>
      </c>
      <c r="B91">
        <v>250</v>
      </c>
      <c r="C91">
        <v>1</v>
      </c>
    </row>
    <row r="92" spans="1:3" x14ac:dyDescent="0.2">
      <c r="A92" t="s">
        <v>63</v>
      </c>
      <c r="B92">
        <v>250</v>
      </c>
      <c r="C92">
        <v>1</v>
      </c>
    </row>
    <row r="93" spans="1:3" x14ac:dyDescent="0.2">
      <c r="A93" t="s">
        <v>63</v>
      </c>
      <c r="B93">
        <v>250</v>
      </c>
      <c r="C93">
        <v>1</v>
      </c>
    </row>
    <row r="94" spans="1:3" x14ac:dyDescent="0.2">
      <c r="A94" t="s">
        <v>63</v>
      </c>
      <c r="B94">
        <v>250</v>
      </c>
      <c r="C94">
        <v>1</v>
      </c>
    </row>
    <row r="95" spans="1:3" x14ac:dyDescent="0.2">
      <c r="A95" t="s">
        <v>63</v>
      </c>
      <c r="B95">
        <v>250</v>
      </c>
      <c r="C95">
        <v>1</v>
      </c>
    </row>
    <row r="96" spans="1:3" x14ac:dyDescent="0.2">
      <c r="A96" t="s">
        <v>63</v>
      </c>
      <c r="B96">
        <v>250</v>
      </c>
      <c r="C96">
        <v>1</v>
      </c>
    </row>
    <row r="97" spans="1:3" x14ac:dyDescent="0.2">
      <c r="A97" t="s">
        <v>63</v>
      </c>
      <c r="B97">
        <v>250</v>
      </c>
      <c r="C97">
        <v>1</v>
      </c>
    </row>
    <row r="98" spans="1:3" x14ac:dyDescent="0.2">
      <c r="A98" t="s">
        <v>63</v>
      </c>
      <c r="B98">
        <v>550</v>
      </c>
      <c r="C98">
        <v>1</v>
      </c>
    </row>
    <row r="99" spans="1:3" x14ac:dyDescent="0.2">
      <c r="A99" t="s">
        <v>63</v>
      </c>
      <c r="B99">
        <v>550</v>
      </c>
      <c r="C99">
        <v>1</v>
      </c>
    </row>
    <row r="100" spans="1:3" x14ac:dyDescent="0.2">
      <c r="A100" t="s">
        <v>63</v>
      </c>
      <c r="B100">
        <v>550</v>
      </c>
      <c r="C100">
        <v>1</v>
      </c>
    </row>
    <row r="101" spans="1:3" x14ac:dyDescent="0.2">
      <c r="A101" t="s">
        <v>63</v>
      </c>
      <c r="B101">
        <v>550</v>
      </c>
      <c r="C101">
        <v>1</v>
      </c>
    </row>
    <row r="102" spans="1:3" x14ac:dyDescent="0.2">
      <c r="A102" t="s">
        <v>63</v>
      </c>
      <c r="B102">
        <v>550</v>
      </c>
      <c r="C102">
        <v>1</v>
      </c>
    </row>
    <row r="103" spans="1:3" x14ac:dyDescent="0.2">
      <c r="A103" t="s">
        <v>63</v>
      </c>
      <c r="B103">
        <v>550</v>
      </c>
      <c r="C103">
        <v>1</v>
      </c>
    </row>
    <row r="104" spans="1:3" x14ac:dyDescent="0.2">
      <c r="A104" t="s">
        <v>63</v>
      </c>
      <c r="B104">
        <v>550</v>
      </c>
      <c r="C104">
        <v>1</v>
      </c>
    </row>
    <row r="105" spans="1:3" x14ac:dyDescent="0.2">
      <c r="A105" t="s">
        <v>63</v>
      </c>
      <c r="B105">
        <v>550</v>
      </c>
      <c r="C105">
        <v>1</v>
      </c>
    </row>
    <row r="106" spans="1:3" x14ac:dyDescent="0.2">
      <c r="A106" t="s">
        <v>63</v>
      </c>
      <c r="B106">
        <v>550</v>
      </c>
      <c r="C106">
        <v>1</v>
      </c>
    </row>
    <row r="107" spans="1:3" x14ac:dyDescent="0.2">
      <c r="A107" t="s">
        <v>63</v>
      </c>
      <c r="B107">
        <v>550</v>
      </c>
      <c r="C107">
        <v>1</v>
      </c>
    </row>
    <row r="108" spans="1:3" x14ac:dyDescent="0.2">
      <c r="A108" t="s">
        <v>63</v>
      </c>
      <c r="B108">
        <v>550</v>
      </c>
      <c r="C108">
        <v>1</v>
      </c>
    </row>
    <row r="109" spans="1:3" x14ac:dyDescent="0.2">
      <c r="A109" t="s">
        <v>63</v>
      </c>
      <c r="B109">
        <v>550</v>
      </c>
      <c r="C109">
        <v>1</v>
      </c>
    </row>
    <row r="110" spans="1:3" x14ac:dyDescent="0.2">
      <c r="A110" t="s">
        <v>63</v>
      </c>
      <c r="B110">
        <v>550</v>
      </c>
      <c r="C110">
        <v>1</v>
      </c>
    </row>
    <row r="111" spans="1:3" x14ac:dyDescent="0.2">
      <c r="A111" t="s">
        <v>63</v>
      </c>
      <c r="B111">
        <v>550</v>
      </c>
      <c r="C111">
        <v>1</v>
      </c>
    </row>
    <row r="112" spans="1:3" x14ac:dyDescent="0.2">
      <c r="A112" t="s">
        <v>63</v>
      </c>
      <c r="B112">
        <v>550</v>
      </c>
      <c r="C112">
        <v>1</v>
      </c>
    </row>
    <row r="113" spans="1:3" x14ac:dyDescent="0.2">
      <c r="A113" t="s">
        <v>63</v>
      </c>
      <c r="B113">
        <v>550</v>
      </c>
      <c r="C113">
        <v>1</v>
      </c>
    </row>
    <row r="114" spans="1:3" x14ac:dyDescent="0.2">
      <c r="A114" t="s">
        <v>63</v>
      </c>
      <c r="B114">
        <v>550</v>
      </c>
      <c r="C114">
        <v>1</v>
      </c>
    </row>
    <row r="115" spans="1:3" x14ac:dyDescent="0.2">
      <c r="A115" t="s">
        <v>63</v>
      </c>
      <c r="B115">
        <v>550</v>
      </c>
      <c r="C115">
        <v>1</v>
      </c>
    </row>
    <row r="116" spans="1:3" x14ac:dyDescent="0.2">
      <c r="A116" t="s">
        <v>63</v>
      </c>
      <c r="B116">
        <v>550</v>
      </c>
      <c r="C116">
        <v>1</v>
      </c>
    </row>
    <row r="117" spans="1:3" x14ac:dyDescent="0.2">
      <c r="A117" t="s">
        <v>63</v>
      </c>
      <c r="B117">
        <v>550</v>
      </c>
      <c r="C117">
        <v>1</v>
      </c>
    </row>
    <row r="118" spans="1:3" x14ac:dyDescent="0.2">
      <c r="A118" t="s">
        <v>63</v>
      </c>
      <c r="B118">
        <v>550</v>
      </c>
      <c r="C118">
        <v>1</v>
      </c>
    </row>
    <row r="119" spans="1:3" x14ac:dyDescent="0.2">
      <c r="A119" t="s">
        <v>63</v>
      </c>
      <c r="B119">
        <v>550</v>
      </c>
      <c r="C119">
        <v>1</v>
      </c>
    </row>
    <row r="120" spans="1:3" x14ac:dyDescent="0.2">
      <c r="A120" t="s">
        <v>63</v>
      </c>
      <c r="B120">
        <v>550</v>
      </c>
      <c r="C120">
        <v>1</v>
      </c>
    </row>
    <row r="121" spans="1:3" x14ac:dyDescent="0.2">
      <c r="A121" t="s">
        <v>63</v>
      </c>
      <c r="B121">
        <v>550</v>
      </c>
      <c r="C121">
        <v>1</v>
      </c>
    </row>
    <row r="122" spans="1:3" x14ac:dyDescent="0.2">
      <c r="A122" t="s">
        <v>63</v>
      </c>
      <c r="B122">
        <v>550</v>
      </c>
      <c r="C122">
        <v>1</v>
      </c>
    </row>
    <row r="123" spans="1:3" x14ac:dyDescent="0.2">
      <c r="A123" t="s">
        <v>63</v>
      </c>
      <c r="B123">
        <v>550</v>
      </c>
      <c r="C123">
        <v>1</v>
      </c>
    </row>
    <row r="124" spans="1:3" x14ac:dyDescent="0.2">
      <c r="A124" t="s">
        <v>63</v>
      </c>
      <c r="B124">
        <v>550</v>
      </c>
      <c r="C124">
        <v>1</v>
      </c>
    </row>
    <row r="125" spans="1:3" x14ac:dyDescent="0.2">
      <c r="A125" t="s">
        <v>63</v>
      </c>
      <c r="B125">
        <v>550</v>
      </c>
      <c r="C125">
        <v>1</v>
      </c>
    </row>
    <row r="126" spans="1:3" x14ac:dyDescent="0.2">
      <c r="A126" t="s">
        <v>63</v>
      </c>
      <c r="B126">
        <v>550</v>
      </c>
      <c r="C126">
        <v>1</v>
      </c>
    </row>
    <row r="127" spans="1:3" x14ac:dyDescent="0.2">
      <c r="A127" t="s">
        <v>63</v>
      </c>
      <c r="B127">
        <v>550</v>
      </c>
      <c r="C127">
        <v>1</v>
      </c>
    </row>
    <row r="128" spans="1:3" x14ac:dyDescent="0.2">
      <c r="A128" t="s">
        <v>63</v>
      </c>
      <c r="B128">
        <v>550</v>
      </c>
      <c r="C128">
        <v>1</v>
      </c>
    </row>
    <row r="129" spans="1:3" x14ac:dyDescent="0.2">
      <c r="A129" t="s">
        <v>63</v>
      </c>
      <c r="B129">
        <v>550</v>
      </c>
      <c r="C129">
        <v>1</v>
      </c>
    </row>
    <row r="130" spans="1:3" x14ac:dyDescent="0.2">
      <c r="A130" t="s">
        <v>63</v>
      </c>
      <c r="B130">
        <v>37</v>
      </c>
      <c r="C130">
        <v>0.56999999999999995</v>
      </c>
    </row>
    <row r="131" spans="1:3" x14ac:dyDescent="0.2">
      <c r="A131" t="s">
        <v>63</v>
      </c>
      <c r="B131">
        <v>37</v>
      </c>
      <c r="C131">
        <v>0.61</v>
      </c>
    </row>
    <row r="132" spans="1:3" x14ac:dyDescent="0.2">
      <c r="A132" t="s">
        <v>63</v>
      </c>
      <c r="B132">
        <v>37</v>
      </c>
      <c r="C132">
        <v>0.63</v>
      </c>
    </row>
    <row r="133" spans="1:3" x14ac:dyDescent="0.2">
      <c r="A133" t="s">
        <v>63</v>
      </c>
      <c r="B133">
        <v>37</v>
      </c>
      <c r="C133">
        <v>0.44</v>
      </c>
    </row>
    <row r="134" spans="1:3" x14ac:dyDescent="0.2">
      <c r="A134" t="s">
        <v>63</v>
      </c>
      <c r="B134">
        <v>37</v>
      </c>
      <c r="C134">
        <v>0.5</v>
      </c>
    </row>
    <row r="135" spans="1:3" x14ac:dyDescent="0.2">
      <c r="A135" t="s">
        <v>63</v>
      </c>
      <c r="B135">
        <v>37</v>
      </c>
      <c r="C135">
        <v>0.74</v>
      </c>
    </row>
    <row r="136" spans="1:3" x14ac:dyDescent="0.2">
      <c r="A136" t="s">
        <v>63</v>
      </c>
      <c r="B136">
        <v>37</v>
      </c>
      <c r="C136">
        <v>0.5</v>
      </c>
    </row>
    <row r="137" spans="1:3" x14ac:dyDescent="0.2">
      <c r="A137" t="s">
        <v>63</v>
      </c>
      <c r="B137">
        <v>37</v>
      </c>
      <c r="C137">
        <v>0.54</v>
      </c>
    </row>
    <row r="138" spans="1:3" x14ac:dyDescent="0.2">
      <c r="A138" t="s">
        <v>63</v>
      </c>
      <c r="B138">
        <v>37</v>
      </c>
      <c r="C138">
        <v>0.59</v>
      </c>
    </row>
    <row r="139" spans="1:3" x14ac:dyDescent="0.2">
      <c r="A139" t="s">
        <v>63</v>
      </c>
      <c r="B139">
        <v>37</v>
      </c>
      <c r="C139">
        <v>0.59</v>
      </c>
    </row>
    <row r="140" spans="1:3" x14ac:dyDescent="0.2">
      <c r="A140" t="s">
        <v>63</v>
      </c>
      <c r="B140">
        <v>37</v>
      </c>
      <c r="C140">
        <v>0.67</v>
      </c>
    </row>
    <row r="141" spans="1:3" x14ac:dyDescent="0.2">
      <c r="A141" t="s">
        <v>63</v>
      </c>
      <c r="B141">
        <v>37</v>
      </c>
      <c r="C141">
        <v>0.71</v>
      </c>
    </row>
    <row r="142" spans="1:3" x14ac:dyDescent="0.2">
      <c r="A142" t="s">
        <v>63</v>
      </c>
      <c r="B142">
        <v>55</v>
      </c>
      <c r="C142">
        <v>0.56999999999999995</v>
      </c>
    </row>
    <row r="143" spans="1:3" x14ac:dyDescent="0.2">
      <c r="A143" t="s">
        <v>63</v>
      </c>
      <c r="B143">
        <v>55</v>
      </c>
      <c r="C143">
        <v>0.64</v>
      </c>
    </row>
    <row r="144" spans="1:3" x14ac:dyDescent="0.2">
      <c r="A144" t="s">
        <v>63</v>
      </c>
      <c r="B144">
        <v>55</v>
      </c>
      <c r="C144">
        <v>0.65</v>
      </c>
    </row>
    <row r="145" spans="1:3" x14ac:dyDescent="0.2">
      <c r="A145" t="s">
        <v>63</v>
      </c>
      <c r="B145">
        <v>55</v>
      </c>
      <c r="C145">
        <v>0.52</v>
      </c>
    </row>
    <row r="146" spans="1:3" x14ac:dyDescent="0.2">
      <c r="A146" t="s">
        <v>63</v>
      </c>
      <c r="B146">
        <v>55</v>
      </c>
      <c r="C146">
        <v>0.74</v>
      </c>
    </row>
    <row r="147" spans="1:3" x14ac:dyDescent="0.2">
      <c r="A147" t="s">
        <v>63</v>
      </c>
      <c r="B147">
        <v>55</v>
      </c>
      <c r="C147">
        <v>0.74</v>
      </c>
    </row>
    <row r="148" spans="1:3" x14ac:dyDescent="0.2">
      <c r="A148" t="s">
        <v>63</v>
      </c>
      <c r="B148">
        <v>55</v>
      </c>
      <c r="C148">
        <v>0.48</v>
      </c>
    </row>
    <row r="149" spans="1:3" x14ac:dyDescent="0.2">
      <c r="A149" t="s">
        <v>63</v>
      </c>
      <c r="B149">
        <v>55</v>
      </c>
      <c r="C149">
        <v>0.56000000000000005</v>
      </c>
    </row>
    <row r="150" spans="1:3" x14ac:dyDescent="0.2">
      <c r="A150" t="s">
        <v>63</v>
      </c>
      <c r="B150">
        <v>55</v>
      </c>
      <c r="C150">
        <v>0.61</v>
      </c>
    </row>
    <row r="151" spans="1:3" x14ac:dyDescent="0.2">
      <c r="A151" t="s">
        <v>63</v>
      </c>
      <c r="B151">
        <v>55</v>
      </c>
      <c r="C151">
        <v>0.52</v>
      </c>
    </row>
    <row r="152" spans="1:3" x14ac:dyDescent="0.2">
      <c r="A152" t="s">
        <v>63</v>
      </c>
      <c r="B152">
        <v>55</v>
      </c>
      <c r="C152">
        <v>0.6</v>
      </c>
    </row>
    <row r="153" spans="1:3" x14ac:dyDescent="0.2">
      <c r="A153" t="s">
        <v>63</v>
      </c>
      <c r="B153">
        <v>55</v>
      </c>
      <c r="C153">
        <v>0.63</v>
      </c>
    </row>
    <row r="154" spans="1:3" x14ac:dyDescent="0.2">
      <c r="A154" t="s">
        <v>61</v>
      </c>
      <c r="B154">
        <v>300</v>
      </c>
      <c r="C154">
        <v>0.998</v>
      </c>
    </row>
    <row r="155" spans="1:3" x14ac:dyDescent="0.2">
      <c r="A155" t="s">
        <v>61</v>
      </c>
      <c r="B155">
        <v>300</v>
      </c>
      <c r="C155">
        <v>0.84299999999999997</v>
      </c>
    </row>
    <row r="156" spans="1:3" x14ac:dyDescent="0.2">
      <c r="A156" t="s">
        <v>61</v>
      </c>
      <c r="B156">
        <v>300</v>
      </c>
      <c r="C156">
        <v>0.98799999999999999</v>
      </c>
    </row>
    <row r="157" spans="1:3" x14ac:dyDescent="0.2">
      <c r="A157" t="s">
        <v>61</v>
      </c>
      <c r="B157">
        <v>300</v>
      </c>
      <c r="C157">
        <v>0.86699999999999999</v>
      </c>
    </row>
    <row r="158" spans="1:3" x14ac:dyDescent="0.2">
      <c r="A158" t="s">
        <v>61</v>
      </c>
      <c r="B158">
        <v>300</v>
      </c>
      <c r="C158">
        <v>0.98699999999999999</v>
      </c>
    </row>
    <row r="159" spans="1:3" x14ac:dyDescent="0.2">
      <c r="A159" t="s">
        <v>61</v>
      </c>
      <c r="B159">
        <v>300</v>
      </c>
      <c r="C159">
        <v>0.98399999999999999</v>
      </c>
    </row>
    <row r="160" spans="1:3" x14ac:dyDescent="0.2">
      <c r="A160" t="s">
        <v>61</v>
      </c>
      <c r="B160">
        <v>300</v>
      </c>
      <c r="C160">
        <v>0.999</v>
      </c>
    </row>
    <row r="161" spans="1:3" x14ac:dyDescent="0.2">
      <c r="A161" t="s">
        <v>61</v>
      </c>
      <c r="B161">
        <v>300</v>
      </c>
      <c r="C161">
        <v>0.998</v>
      </c>
    </row>
    <row r="162" spans="1:3" x14ac:dyDescent="0.2">
      <c r="A162" t="s">
        <v>61</v>
      </c>
      <c r="B162">
        <v>325</v>
      </c>
      <c r="C162">
        <v>0.998</v>
      </c>
    </row>
    <row r="163" spans="1:3" x14ac:dyDescent="0.2">
      <c r="A163" t="s">
        <v>61</v>
      </c>
      <c r="B163">
        <v>325</v>
      </c>
      <c r="C163">
        <v>0.85399999999999998</v>
      </c>
    </row>
    <row r="164" spans="1:3" x14ac:dyDescent="0.2">
      <c r="A164" t="s">
        <v>61</v>
      </c>
      <c r="B164">
        <v>325</v>
      </c>
      <c r="C164">
        <v>0.98899999999999999</v>
      </c>
    </row>
    <row r="165" spans="1:3" x14ac:dyDescent="0.2">
      <c r="A165" t="s">
        <v>61</v>
      </c>
      <c r="B165">
        <v>325</v>
      </c>
      <c r="C165">
        <v>0.999</v>
      </c>
    </row>
    <row r="166" spans="1:3" x14ac:dyDescent="0.2">
      <c r="A166" t="s">
        <v>61</v>
      </c>
      <c r="B166">
        <v>325</v>
      </c>
      <c r="C166">
        <v>0.98799999999999999</v>
      </c>
    </row>
    <row r="167" spans="1:3" x14ac:dyDescent="0.2">
      <c r="A167" t="s">
        <v>61</v>
      </c>
      <c r="B167">
        <v>325</v>
      </c>
      <c r="C167">
        <v>0.98499999999999999</v>
      </c>
    </row>
    <row r="168" spans="1:3" x14ac:dyDescent="0.2">
      <c r="A168" t="s">
        <v>61</v>
      </c>
      <c r="B168">
        <v>325</v>
      </c>
      <c r="C168">
        <v>0.999</v>
      </c>
    </row>
    <row r="169" spans="1:3" x14ac:dyDescent="0.2">
      <c r="A169" t="s">
        <v>61</v>
      </c>
      <c r="B169">
        <v>325</v>
      </c>
      <c r="C169">
        <v>0.998</v>
      </c>
    </row>
    <row r="170" spans="1:3" x14ac:dyDescent="0.2">
      <c r="A170" t="s">
        <v>61</v>
      </c>
      <c r="B170">
        <v>350</v>
      </c>
      <c r="C170">
        <v>0.998</v>
      </c>
    </row>
    <row r="171" spans="1:3" x14ac:dyDescent="0.2">
      <c r="A171" t="s">
        <v>61</v>
      </c>
      <c r="B171">
        <v>350</v>
      </c>
      <c r="C171">
        <v>0.85299999999999998</v>
      </c>
    </row>
    <row r="172" spans="1:3" x14ac:dyDescent="0.2">
      <c r="A172" t="s">
        <v>61</v>
      </c>
      <c r="B172">
        <v>350</v>
      </c>
      <c r="C172">
        <v>0.98899999999999999</v>
      </c>
    </row>
    <row r="173" spans="1:3" x14ac:dyDescent="0.2">
      <c r="A173" t="s">
        <v>61</v>
      </c>
      <c r="B173">
        <v>350</v>
      </c>
      <c r="C173">
        <v>0.999</v>
      </c>
    </row>
    <row r="174" spans="1:3" x14ac:dyDescent="0.2">
      <c r="A174" t="s">
        <v>61</v>
      </c>
      <c r="B174">
        <v>350</v>
      </c>
      <c r="C174">
        <v>0.98799999999999999</v>
      </c>
    </row>
    <row r="175" spans="1:3" x14ac:dyDescent="0.2">
      <c r="A175" t="s">
        <v>61</v>
      </c>
      <c r="B175">
        <v>350</v>
      </c>
      <c r="C175">
        <v>0.98499999999999999</v>
      </c>
    </row>
    <row r="176" spans="1:3" x14ac:dyDescent="0.2">
      <c r="A176" t="s">
        <v>61</v>
      </c>
      <c r="B176">
        <v>350</v>
      </c>
      <c r="C176">
        <v>0.999</v>
      </c>
    </row>
    <row r="177" spans="1:3" x14ac:dyDescent="0.2">
      <c r="A177" t="s">
        <v>61</v>
      </c>
      <c r="B177">
        <v>350</v>
      </c>
      <c r="C177">
        <v>0.998</v>
      </c>
    </row>
    <row r="178" spans="1:3" x14ac:dyDescent="0.2">
      <c r="A178" t="s">
        <v>62</v>
      </c>
      <c r="B178">
        <v>320</v>
      </c>
      <c r="C178">
        <v>1</v>
      </c>
    </row>
    <row r="179" spans="1:3" x14ac:dyDescent="0.2">
      <c r="A179" t="s">
        <v>62</v>
      </c>
      <c r="B179">
        <v>320</v>
      </c>
      <c r="C179">
        <v>1</v>
      </c>
    </row>
    <row r="180" spans="1:3" x14ac:dyDescent="0.2">
      <c r="A180" t="s">
        <v>62</v>
      </c>
      <c r="B180">
        <v>320</v>
      </c>
      <c r="C180">
        <v>1</v>
      </c>
    </row>
    <row r="181" spans="1:3" x14ac:dyDescent="0.2">
      <c r="A181" t="s">
        <v>62</v>
      </c>
      <c r="B181">
        <v>320</v>
      </c>
      <c r="C181">
        <v>1</v>
      </c>
    </row>
    <row r="182" spans="1:3" x14ac:dyDescent="0.2">
      <c r="A182" t="s">
        <v>62</v>
      </c>
      <c r="B182">
        <v>320</v>
      </c>
      <c r="C182">
        <v>1</v>
      </c>
    </row>
    <row r="183" spans="1:3" x14ac:dyDescent="0.2">
      <c r="A183" t="s">
        <v>62</v>
      </c>
      <c r="B183">
        <v>320</v>
      </c>
      <c r="C183">
        <v>1</v>
      </c>
    </row>
    <row r="184" spans="1:3" x14ac:dyDescent="0.2">
      <c r="A184" t="s">
        <v>62</v>
      </c>
      <c r="B184">
        <v>320</v>
      </c>
      <c r="C184">
        <v>1</v>
      </c>
    </row>
    <row r="185" spans="1:3" x14ac:dyDescent="0.2">
      <c r="A185" t="s">
        <v>62</v>
      </c>
      <c r="B185">
        <v>320</v>
      </c>
      <c r="C185">
        <v>1</v>
      </c>
    </row>
    <row r="186" spans="1:3" x14ac:dyDescent="0.2">
      <c r="A186" t="s">
        <v>62</v>
      </c>
      <c r="B186">
        <v>320</v>
      </c>
      <c r="C186">
        <v>1</v>
      </c>
    </row>
    <row r="187" spans="1:3" x14ac:dyDescent="0.2">
      <c r="A187" t="s">
        <v>62</v>
      </c>
      <c r="B187">
        <v>320</v>
      </c>
      <c r="C187">
        <v>1</v>
      </c>
    </row>
    <row r="188" spans="1:3" x14ac:dyDescent="0.2">
      <c r="A188" t="s">
        <v>62</v>
      </c>
      <c r="B188">
        <v>320</v>
      </c>
      <c r="C188">
        <v>1</v>
      </c>
    </row>
    <row r="189" spans="1:3" x14ac:dyDescent="0.2">
      <c r="A189" t="s">
        <v>62</v>
      </c>
      <c r="B189">
        <v>320</v>
      </c>
      <c r="C189">
        <v>1</v>
      </c>
    </row>
    <row r="190" spans="1:3" x14ac:dyDescent="0.2">
      <c r="A190" t="s">
        <v>62</v>
      </c>
      <c r="B190">
        <v>320</v>
      </c>
      <c r="C190">
        <v>1</v>
      </c>
    </row>
    <row r="191" spans="1:3" x14ac:dyDescent="0.2">
      <c r="A191" t="s">
        <v>62</v>
      </c>
      <c r="B191">
        <v>320</v>
      </c>
      <c r="C191">
        <v>1</v>
      </c>
    </row>
    <row r="192" spans="1:3" x14ac:dyDescent="0.2">
      <c r="A192" t="s">
        <v>62</v>
      </c>
      <c r="B192">
        <v>320</v>
      </c>
      <c r="C192">
        <v>1</v>
      </c>
    </row>
    <row r="193" spans="1:3" x14ac:dyDescent="0.2">
      <c r="A193" t="s">
        <v>62</v>
      </c>
      <c r="B193">
        <v>320</v>
      </c>
      <c r="C193">
        <v>1</v>
      </c>
    </row>
    <row r="194" spans="1:3" x14ac:dyDescent="0.2">
      <c r="A194" t="s">
        <v>62</v>
      </c>
      <c r="B194">
        <v>320</v>
      </c>
      <c r="C194">
        <v>1</v>
      </c>
    </row>
    <row r="195" spans="1:3" x14ac:dyDescent="0.2">
      <c r="A195" t="s">
        <v>62</v>
      </c>
      <c r="B195">
        <v>320</v>
      </c>
      <c r="C195">
        <v>1</v>
      </c>
    </row>
    <row r="196" spans="1:3" x14ac:dyDescent="0.2">
      <c r="A196" t="s">
        <v>62</v>
      </c>
      <c r="B196">
        <v>320</v>
      </c>
      <c r="C196">
        <v>1</v>
      </c>
    </row>
    <row r="197" spans="1:3" x14ac:dyDescent="0.2">
      <c r="A197" t="s">
        <v>62</v>
      </c>
      <c r="B197">
        <v>320</v>
      </c>
      <c r="C197">
        <v>1</v>
      </c>
    </row>
    <row r="198" spans="1:3" x14ac:dyDescent="0.2">
      <c r="A198" t="s">
        <v>62</v>
      </c>
      <c r="B198">
        <v>320</v>
      </c>
      <c r="C198">
        <v>1</v>
      </c>
    </row>
    <row r="199" spans="1:3" x14ac:dyDescent="0.2">
      <c r="A199" t="s">
        <v>62</v>
      </c>
      <c r="B199">
        <v>320</v>
      </c>
      <c r="C199">
        <v>1</v>
      </c>
    </row>
    <row r="200" spans="1:3" x14ac:dyDescent="0.2">
      <c r="A200" t="s">
        <v>62</v>
      </c>
      <c r="B200">
        <v>320</v>
      </c>
      <c r="C200">
        <v>1</v>
      </c>
    </row>
    <row r="201" spans="1:3" x14ac:dyDescent="0.2">
      <c r="A201" t="s">
        <v>62</v>
      </c>
      <c r="B201">
        <v>320</v>
      </c>
      <c r="C201">
        <v>1</v>
      </c>
    </row>
    <row r="202" spans="1:3" x14ac:dyDescent="0.2">
      <c r="A202" t="s">
        <v>62</v>
      </c>
      <c r="B202">
        <v>320</v>
      </c>
      <c r="C202">
        <v>1</v>
      </c>
    </row>
    <row r="203" spans="1:3" x14ac:dyDescent="0.2">
      <c r="A203" t="s">
        <v>62</v>
      </c>
      <c r="B203">
        <v>320</v>
      </c>
      <c r="C203">
        <v>1</v>
      </c>
    </row>
    <row r="204" spans="1:3" x14ac:dyDescent="0.2">
      <c r="A204" t="s">
        <v>62</v>
      </c>
      <c r="B204">
        <v>320</v>
      </c>
      <c r="C204">
        <v>1</v>
      </c>
    </row>
    <row r="205" spans="1:3" x14ac:dyDescent="0.2">
      <c r="A205" t="s">
        <v>62</v>
      </c>
      <c r="B205">
        <v>320</v>
      </c>
      <c r="C205">
        <v>1</v>
      </c>
    </row>
    <row r="206" spans="1:3" x14ac:dyDescent="0.2">
      <c r="A206" t="s">
        <v>62</v>
      </c>
      <c r="B206">
        <v>320</v>
      </c>
      <c r="C206">
        <v>1</v>
      </c>
    </row>
    <row r="207" spans="1:3" x14ac:dyDescent="0.2">
      <c r="A207" t="s">
        <v>62</v>
      </c>
      <c r="B207">
        <v>320</v>
      </c>
      <c r="C207">
        <v>1</v>
      </c>
    </row>
    <row r="208" spans="1:3" x14ac:dyDescent="0.2">
      <c r="A208" t="s">
        <v>62</v>
      </c>
      <c r="B208">
        <v>320</v>
      </c>
      <c r="C208">
        <v>1</v>
      </c>
    </row>
    <row r="209" spans="1:3" x14ac:dyDescent="0.2">
      <c r="A209" t="s">
        <v>62</v>
      </c>
      <c r="B209">
        <v>320</v>
      </c>
      <c r="C209">
        <v>1</v>
      </c>
    </row>
    <row r="210" spans="1:3" x14ac:dyDescent="0.2">
      <c r="A210" t="s">
        <v>62</v>
      </c>
      <c r="B210">
        <v>320</v>
      </c>
      <c r="C210">
        <v>1</v>
      </c>
    </row>
    <row r="211" spans="1:3" x14ac:dyDescent="0.2">
      <c r="A211" t="s">
        <v>62</v>
      </c>
      <c r="B211">
        <v>320</v>
      </c>
      <c r="C211">
        <v>1</v>
      </c>
    </row>
    <row r="212" spans="1:3" x14ac:dyDescent="0.2">
      <c r="A212" t="s">
        <v>62</v>
      </c>
      <c r="B212">
        <v>320</v>
      </c>
      <c r="C212">
        <v>1</v>
      </c>
    </row>
    <row r="213" spans="1:3" x14ac:dyDescent="0.2">
      <c r="A213" t="s">
        <v>62</v>
      </c>
      <c r="B213">
        <v>320</v>
      </c>
      <c r="C213">
        <v>1</v>
      </c>
    </row>
    <row r="214" spans="1:3" x14ac:dyDescent="0.2">
      <c r="A214" t="s">
        <v>62</v>
      </c>
      <c r="B214">
        <v>320</v>
      </c>
      <c r="C214">
        <v>1</v>
      </c>
    </row>
    <row r="215" spans="1:3" x14ac:dyDescent="0.2">
      <c r="A215" t="s">
        <v>62</v>
      </c>
      <c r="B215">
        <v>320</v>
      </c>
      <c r="C215">
        <v>1</v>
      </c>
    </row>
    <row r="216" spans="1:3" x14ac:dyDescent="0.2">
      <c r="A216" t="s">
        <v>62</v>
      </c>
      <c r="B216">
        <v>320</v>
      </c>
      <c r="C216">
        <v>1</v>
      </c>
    </row>
    <row r="217" spans="1:3" x14ac:dyDescent="0.2">
      <c r="A217" t="s">
        <v>62</v>
      </c>
      <c r="B217">
        <v>320</v>
      </c>
      <c r="C217">
        <v>1</v>
      </c>
    </row>
    <row r="218" spans="1:3" x14ac:dyDescent="0.2">
      <c r="A218" t="s">
        <v>62</v>
      </c>
      <c r="B218">
        <v>320</v>
      </c>
      <c r="C218">
        <f>(4987-14)/4987</f>
        <v>0.99719270102265889</v>
      </c>
    </row>
    <row r="219" spans="1:3" x14ac:dyDescent="0.2">
      <c r="A219" t="s">
        <v>62</v>
      </c>
      <c r="B219">
        <v>320</v>
      </c>
      <c r="C219">
        <v>1</v>
      </c>
    </row>
    <row r="220" spans="1:3" x14ac:dyDescent="0.2">
      <c r="A220" t="s">
        <v>62</v>
      </c>
      <c r="B220">
        <v>320</v>
      </c>
      <c r="C220">
        <v>1</v>
      </c>
    </row>
    <row r="221" spans="1:3" x14ac:dyDescent="0.2">
      <c r="A221" t="s">
        <v>62</v>
      </c>
      <c r="B221">
        <v>320</v>
      </c>
      <c r="C221">
        <v>1</v>
      </c>
    </row>
    <row r="222" spans="1:3" x14ac:dyDescent="0.2">
      <c r="A222" t="s">
        <v>62</v>
      </c>
      <c r="B222">
        <v>320</v>
      </c>
      <c r="C222">
        <v>1</v>
      </c>
    </row>
    <row r="223" spans="1:3" x14ac:dyDescent="0.2">
      <c r="A223" t="s">
        <v>62</v>
      </c>
      <c r="B223">
        <v>320</v>
      </c>
      <c r="C223">
        <v>1</v>
      </c>
    </row>
    <row r="224" spans="1:3" x14ac:dyDescent="0.2">
      <c r="A224" t="s">
        <v>62</v>
      </c>
      <c r="B224">
        <v>320</v>
      </c>
      <c r="C224">
        <v>1</v>
      </c>
    </row>
    <row r="225" spans="1:3" x14ac:dyDescent="0.2">
      <c r="A225" t="s">
        <v>63</v>
      </c>
      <c r="B225">
        <v>29.6</v>
      </c>
      <c r="C225">
        <v>-0.04</v>
      </c>
    </row>
    <row r="226" spans="1:3" x14ac:dyDescent="0.2">
      <c r="A226" t="s">
        <v>63</v>
      </c>
      <c r="B226">
        <v>29.6</v>
      </c>
      <c r="C226">
        <v>0.46</v>
      </c>
    </row>
    <row r="227" spans="1:3" x14ac:dyDescent="0.2">
      <c r="A227" t="s">
        <v>63</v>
      </c>
      <c r="B227">
        <v>29.6</v>
      </c>
      <c r="C227">
        <v>-0.28000000000000003</v>
      </c>
    </row>
    <row r="228" spans="1:3" x14ac:dyDescent="0.2">
      <c r="A228" t="s">
        <v>63</v>
      </c>
      <c r="B228">
        <v>29.6</v>
      </c>
      <c r="C228">
        <v>0</v>
      </c>
    </row>
    <row r="229" spans="1:3" x14ac:dyDescent="0.2">
      <c r="A229" t="s">
        <v>63</v>
      </c>
      <c r="B229">
        <v>29.6</v>
      </c>
      <c r="C229">
        <v>0.16</v>
      </c>
    </row>
    <row r="230" spans="1:3" x14ac:dyDescent="0.2">
      <c r="A230" t="s">
        <v>63</v>
      </c>
      <c r="B230">
        <v>29.6</v>
      </c>
      <c r="C230">
        <v>0.1</v>
      </c>
    </row>
    <row r="231" spans="1:3" x14ac:dyDescent="0.2">
      <c r="A231" t="s">
        <v>63</v>
      </c>
      <c r="B231">
        <v>29.6</v>
      </c>
      <c r="C231">
        <v>-1.84</v>
      </c>
    </row>
    <row r="232" spans="1:3" x14ac:dyDescent="0.2">
      <c r="A232" t="s">
        <v>63</v>
      </c>
      <c r="B232">
        <v>29.6</v>
      </c>
      <c r="C232">
        <v>7.0000000000000007E-2</v>
      </c>
    </row>
    <row r="233" spans="1:3" x14ac:dyDescent="0.2">
      <c r="A233" t="s">
        <v>63</v>
      </c>
      <c r="B233">
        <v>29.6</v>
      </c>
      <c r="C233">
        <v>-0.96</v>
      </c>
    </row>
    <row r="234" spans="1:3" x14ac:dyDescent="0.2">
      <c r="A234" t="s">
        <v>63</v>
      </c>
      <c r="B234">
        <v>29.6</v>
      </c>
      <c r="C234">
        <v>-0.38</v>
      </c>
    </row>
    <row r="235" spans="1:3" x14ac:dyDescent="0.2">
      <c r="A235" t="s">
        <v>63</v>
      </c>
      <c r="B235">
        <v>29.6</v>
      </c>
      <c r="C235">
        <v>0.06</v>
      </c>
    </row>
    <row r="236" spans="1:3" x14ac:dyDescent="0.2">
      <c r="A236" t="s">
        <v>63</v>
      </c>
      <c r="B236">
        <v>37.6</v>
      </c>
      <c r="C236">
        <v>-0.16</v>
      </c>
    </row>
    <row r="237" spans="1:3" x14ac:dyDescent="0.2">
      <c r="A237" t="s">
        <v>63</v>
      </c>
      <c r="B237">
        <v>37.6</v>
      </c>
      <c r="C237">
        <v>0.4</v>
      </c>
    </row>
    <row r="238" spans="1:3" x14ac:dyDescent="0.2">
      <c r="A238" t="s">
        <v>63</v>
      </c>
      <c r="B238">
        <v>37.6</v>
      </c>
      <c r="C238">
        <v>-0.52</v>
      </c>
    </row>
    <row r="239" spans="1:3" x14ac:dyDescent="0.2">
      <c r="A239" t="s">
        <v>63</v>
      </c>
      <c r="B239">
        <v>37.6</v>
      </c>
      <c r="C239">
        <v>-0.13</v>
      </c>
    </row>
    <row r="240" spans="1:3" x14ac:dyDescent="0.2">
      <c r="A240" t="s">
        <v>63</v>
      </c>
      <c r="B240">
        <v>37.6</v>
      </c>
      <c r="C240">
        <v>0.02</v>
      </c>
    </row>
    <row r="241" spans="1:3" x14ac:dyDescent="0.2">
      <c r="A241" t="s">
        <v>63</v>
      </c>
      <c r="B241">
        <v>37.6</v>
      </c>
      <c r="C241">
        <v>0.18</v>
      </c>
    </row>
    <row r="242" spans="1:3" x14ac:dyDescent="0.2">
      <c r="A242" t="s">
        <v>63</v>
      </c>
      <c r="B242">
        <v>37.6</v>
      </c>
      <c r="C242">
        <v>-0.83</v>
      </c>
    </row>
    <row r="243" spans="1:3" x14ac:dyDescent="0.2">
      <c r="A243" t="s">
        <v>63</v>
      </c>
      <c r="B243">
        <v>37.6</v>
      </c>
      <c r="C243">
        <v>-0.04</v>
      </c>
    </row>
    <row r="244" spans="1:3" x14ac:dyDescent="0.2">
      <c r="A244" t="s">
        <v>63</v>
      </c>
      <c r="B244">
        <v>37.6</v>
      </c>
      <c r="C244">
        <v>-0.27</v>
      </c>
    </row>
    <row r="245" spans="1:3" x14ac:dyDescent="0.2">
      <c r="A245" t="s">
        <v>63</v>
      </c>
      <c r="B245">
        <v>37.6</v>
      </c>
      <c r="C245">
        <v>-0.5</v>
      </c>
    </row>
    <row r="246" spans="1:3" x14ac:dyDescent="0.2">
      <c r="A246" t="s">
        <v>63</v>
      </c>
      <c r="B246">
        <v>37.6</v>
      </c>
      <c r="C246">
        <v>-0.05</v>
      </c>
    </row>
    <row r="247" spans="1:3" x14ac:dyDescent="0.2">
      <c r="A247" t="s">
        <v>63</v>
      </c>
      <c r="B247">
        <v>57.4</v>
      </c>
      <c r="C247">
        <v>-0.08</v>
      </c>
    </row>
    <row r="248" spans="1:3" x14ac:dyDescent="0.2">
      <c r="A248" t="s">
        <v>63</v>
      </c>
      <c r="B248">
        <v>57.4</v>
      </c>
      <c r="C248">
        <v>0.27</v>
      </c>
    </row>
    <row r="249" spans="1:3" x14ac:dyDescent="0.2">
      <c r="A249" t="s">
        <v>63</v>
      </c>
      <c r="B249">
        <v>57.4</v>
      </c>
      <c r="C249">
        <v>-0.53</v>
      </c>
    </row>
    <row r="250" spans="1:3" x14ac:dyDescent="0.2">
      <c r="A250" t="s">
        <v>63</v>
      </c>
      <c r="B250">
        <v>57.4</v>
      </c>
      <c r="C250">
        <v>-0.06</v>
      </c>
    </row>
    <row r="251" spans="1:3" x14ac:dyDescent="0.2">
      <c r="A251" t="s">
        <v>63</v>
      </c>
      <c r="B251">
        <v>57.4</v>
      </c>
      <c r="C251">
        <v>0.2</v>
      </c>
    </row>
    <row r="252" spans="1:3" x14ac:dyDescent="0.2">
      <c r="A252" t="s">
        <v>63</v>
      </c>
      <c r="B252">
        <v>57.4</v>
      </c>
      <c r="C252">
        <v>0.33</v>
      </c>
    </row>
    <row r="253" spans="1:3" x14ac:dyDescent="0.2">
      <c r="A253" t="s">
        <v>63</v>
      </c>
      <c r="B253">
        <v>57.4</v>
      </c>
      <c r="C253">
        <v>-1.5</v>
      </c>
    </row>
    <row r="254" spans="1:3" x14ac:dyDescent="0.2">
      <c r="A254" t="s">
        <v>63</v>
      </c>
      <c r="B254">
        <v>57.4</v>
      </c>
      <c r="C254">
        <v>0.16</v>
      </c>
    </row>
    <row r="255" spans="1:3" x14ac:dyDescent="0.2">
      <c r="A255" t="s">
        <v>63</v>
      </c>
      <c r="B255">
        <v>57.4</v>
      </c>
      <c r="C255">
        <v>0.1</v>
      </c>
    </row>
    <row r="256" spans="1:3" x14ac:dyDescent="0.2">
      <c r="A256" t="s">
        <v>63</v>
      </c>
      <c r="B256">
        <v>57.4</v>
      </c>
      <c r="C256">
        <v>-0.63</v>
      </c>
    </row>
    <row r="257" spans="1:3" x14ac:dyDescent="0.2">
      <c r="A257" t="s">
        <v>63</v>
      </c>
      <c r="B257">
        <v>57.4</v>
      </c>
      <c r="C257">
        <v>0.09</v>
      </c>
    </row>
    <row r="258" spans="1:3" x14ac:dyDescent="0.2">
      <c r="A258" t="s">
        <v>63</v>
      </c>
      <c r="B258">
        <v>65.5</v>
      </c>
      <c r="C258">
        <v>-0.4</v>
      </c>
    </row>
    <row r="259" spans="1:3" x14ac:dyDescent="0.2">
      <c r="A259" t="s">
        <v>63</v>
      </c>
      <c r="B259">
        <v>65.5</v>
      </c>
      <c r="C259">
        <v>0.21</v>
      </c>
    </row>
    <row r="260" spans="1:3" x14ac:dyDescent="0.2">
      <c r="A260" t="s">
        <v>63</v>
      </c>
      <c r="B260">
        <v>65.5</v>
      </c>
      <c r="C260">
        <v>-0.72</v>
      </c>
    </row>
    <row r="261" spans="1:3" x14ac:dyDescent="0.2">
      <c r="A261" t="s">
        <v>63</v>
      </c>
      <c r="B261">
        <v>65.5</v>
      </c>
      <c r="C261">
        <v>0.03</v>
      </c>
    </row>
    <row r="262" spans="1:3" x14ac:dyDescent="0.2">
      <c r="A262" t="s">
        <v>63</v>
      </c>
      <c r="B262">
        <v>65.5</v>
      </c>
      <c r="C262">
        <v>0.19</v>
      </c>
    </row>
    <row r="263" spans="1:3" x14ac:dyDescent="0.2">
      <c r="A263" t="s">
        <v>63</v>
      </c>
      <c r="B263">
        <v>65.5</v>
      </c>
      <c r="C263">
        <v>0.47</v>
      </c>
    </row>
    <row r="264" spans="1:3" x14ac:dyDescent="0.2">
      <c r="A264" t="s">
        <v>63</v>
      </c>
      <c r="B264">
        <v>65.5</v>
      </c>
      <c r="C264">
        <v>-0.89</v>
      </c>
    </row>
    <row r="265" spans="1:3" x14ac:dyDescent="0.2">
      <c r="A265" t="s">
        <v>63</v>
      </c>
      <c r="B265">
        <v>65.5</v>
      </c>
      <c r="C265">
        <v>0.32</v>
      </c>
    </row>
    <row r="266" spans="1:3" x14ac:dyDescent="0.2">
      <c r="A266" t="s">
        <v>63</v>
      </c>
      <c r="B266">
        <v>65.5</v>
      </c>
      <c r="C266">
        <v>0.22</v>
      </c>
    </row>
    <row r="267" spans="1:3" x14ac:dyDescent="0.2">
      <c r="A267" t="s">
        <v>63</v>
      </c>
      <c r="B267">
        <v>65.5</v>
      </c>
      <c r="C267">
        <v>-0.72</v>
      </c>
    </row>
    <row r="268" spans="1:3" x14ac:dyDescent="0.2">
      <c r="A268" t="s">
        <v>63</v>
      </c>
      <c r="B268">
        <v>65.5</v>
      </c>
      <c r="C268">
        <v>0.13</v>
      </c>
    </row>
    <row r="269" spans="1:3" x14ac:dyDescent="0.2">
      <c r="A269" t="s">
        <v>63</v>
      </c>
      <c r="B269">
        <v>55</v>
      </c>
      <c r="C269">
        <v>0.88</v>
      </c>
    </row>
    <row r="270" spans="1:3" x14ac:dyDescent="0.2">
      <c r="A270" t="s">
        <v>63</v>
      </c>
      <c r="B270">
        <v>55</v>
      </c>
      <c r="C270">
        <v>0.99</v>
      </c>
    </row>
    <row r="271" spans="1:3" x14ac:dyDescent="0.2">
      <c r="A271" t="s">
        <v>63</v>
      </c>
      <c r="B271">
        <v>55</v>
      </c>
      <c r="C271">
        <v>0.94</v>
      </c>
    </row>
    <row r="272" spans="1:3" x14ac:dyDescent="0.2">
      <c r="A272" t="s">
        <v>63</v>
      </c>
      <c r="B272">
        <v>55</v>
      </c>
      <c r="C272">
        <v>0.69</v>
      </c>
    </row>
    <row r="273" spans="1:3" x14ac:dyDescent="0.2">
      <c r="A273" t="s">
        <v>63</v>
      </c>
      <c r="B273">
        <v>55</v>
      </c>
      <c r="C273">
        <v>0.5</v>
      </c>
    </row>
    <row r="274" spans="1:3" x14ac:dyDescent="0.2">
      <c r="A274" t="s">
        <v>63</v>
      </c>
      <c r="B274">
        <v>55</v>
      </c>
      <c r="C274">
        <v>0.41</v>
      </c>
    </row>
    <row r="275" spans="1:3" x14ac:dyDescent="0.2">
      <c r="A275" t="s">
        <v>63</v>
      </c>
      <c r="B275">
        <v>55</v>
      </c>
      <c r="C275">
        <v>0</v>
      </c>
    </row>
    <row r="276" spans="1:3" x14ac:dyDescent="0.2">
      <c r="A276" t="s">
        <v>61</v>
      </c>
      <c r="B276">
        <v>195</v>
      </c>
      <c r="C276">
        <v>0.74959999999999993</v>
      </c>
    </row>
    <row r="277" spans="1:3" x14ac:dyDescent="0.2">
      <c r="A277" t="s">
        <v>61</v>
      </c>
      <c r="B277">
        <v>210</v>
      </c>
      <c r="C277">
        <v>0.79099999999999993</v>
      </c>
    </row>
    <row r="278" spans="1:3" x14ac:dyDescent="0.2">
      <c r="A278" t="s">
        <v>61</v>
      </c>
      <c r="B278">
        <v>195</v>
      </c>
      <c r="C278">
        <v>0.83109999999999995</v>
      </c>
    </row>
    <row r="279" spans="1:3" x14ac:dyDescent="0.2">
      <c r="A279" t="s">
        <v>61</v>
      </c>
      <c r="B279">
        <v>180</v>
      </c>
      <c r="C279">
        <v>0.64790000000000003</v>
      </c>
    </row>
    <row r="280" spans="1:3" x14ac:dyDescent="0.2">
      <c r="A280" t="s">
        <v>61</v>
      </c>
      <c r="B280">
        <v>195</v>
      </c>
      <c r="C280">
        <v>0.71479999999999999</v>
      </c>
    </row>
    <row r="281" spans="1:3" x14ac:dyDescent="0.2">
      <c r="A281" t="s">
        <v>61</v>
      </c>
      <c r="B281">
        <v>220.23</v>
      </c>
      <c r="C281">
        <v>0.88629999999999998</v>
      </c>
    </row>
    <row r="282" spans="1:3" x14ac:dyDescent="0.2">
      <c r="A282" t="s">
        <v>61</v>
      </c>
      <c r="B282">
        <v>195</v>
      </c>
      <c r="C282">
        <v>0.75890000000000002</v>
      </c>
    </row>
    <row r="283" spans="1:3" x14ac:dyDescent="0.2">
      <c r="A283" t="s">
        <v>61</v>
      </c>
      <c r="B283">
        <v>195</v>
      </c>
      <c r="C283">
        <v>0.72459999999999991</v>
      </c>
    </row>
    <row r="284" spans="1:3" x14ac:dyDescent="0.2">
      <c r="A284" t="s">
        <v>61</v>
      </c>
      <c r="B284">
        <v>210</v>
      </c>
      <c r="C284">
        <v>0.77739999999999998</v>
      </c>
    </row>
    <row r="285" spans="1:3" x14ac:dyDescent="0.2">
      <c r="A285" t="s">
        <v>61</v>
      </c>
      <c r="B285">
        <v>169.77</v>
      </c>
      <c r="C285">
        <v>0.66010000000000002</v>
      </c>
    </row>
    <row r="286" spans="1:3" x14ac:dyDescent="0.2">
      <c r="A286" t="s">
        <v>61</v>
      </c>
      <c r="B286">
        <v>210</v>
      </c>
      <c r="C286">
        <v>0.79510000000000003</v>
      </c>
    </row>
    <row r="287" spans="1:3" x14ac:dyDescent="0.2">
      <c r="A287" t="s">
        <v>61</v>
      </c>
      <c r="B287">
        <v>180</v>
      </c>
      <c r="C287">
        <v>0.78749999999999998</v>
      </c>
    </row>
    <row r="288" spans="1:3" x14ac:dyDescent="0.2">
      <c r="A288" t="s">
        <v>61</v>
      </c>
      <c r="B288">
        <v>180</v>
      </c>
      <c r="C288">
        <v>0.55789999999999995</v>
      </c>
    </row>
    <row r="289" spans="1:3" x14ac:dyDescent="0.2">
      <c r="A289" t="s">
        <v>61</v>
      </c>
      <c r="B289">
        <v>195</v>
      </c>
      <c r="C289">
        <v>0.69889999999999997</v>
      </c>
    </row>
    <row r="290" spans="1:3" x14ac:dyDescent="0.2">
      <c r="A290" t="s">
        <v>61</v>
      </c>
      <c r="B290">
        <v>210</v>
      </c>
      <c r="C290">
        <v>0.7762</v>
      </c>
    </row>
    <row r="291" spans="1:3" x14ac:dyDescent="0.2">
      <c r="A291" t="s">
        <v>61</v>
      </c>
      <c r="B291">
        <v>195</v>
      </c>
      <c r="C291">
        <v>0.74159999999999993</v>
      </c>
    </row>
    <row r="292" spans="1:3" x14ac:dyDescent="0.2">
      <c r="A292" t="s">
        <v>61</v>
      </c>
      <c r="B292">
        <v>180</v>
      </c>
      <c r="C292">
        <v>0.71609999999999996</v>
      </c>
    </row>
    <row r="293" spans="1:3" x14ac:dyDescent="0.2">
      <c r="A293" t="s">
        <v>62</v>
      </c>
      <c r="B293">
        <v>420</v>
      </c>
      <c r="C293">
        <v>0.99</v>
      </c>
    </row>
    <row r="294" spans="1:3" x14ac:dyDescent="0.2">
      <c r="A294" t="s">
        <v>62</v>
      </c>
      <c r="B294">
        <v>500</v>
      </c>
      <c r="C294">
        <v>0.99</v>
      </c>
    </row>
    <row r="295" spans="1:3" x14ac:dyDescent="0.2">
      <c r="A295" t="s">
        <v>62</v>
      </c>
      <c r="B295">
        <v>400</v>
      </c>
      <c r="C295">
        <v>1</v>
      </c>
    </row>
    <row r="296" spans="1:3" x14ac:dyDescent="0.2">
      <c r="A296" t="s">
        <v>62</v>
      </c>
      <c r="B296">
        <v>600</v>
      </c>
      <c r="C296">
        <v>0.99</v>
      </c>
    </row>
    <row r="297" spans="1:3" x14ac:dyDescent="0.2">
      <c r="A297" t="s">
        <v>61</v>
      </c>
      <c r="B297">
        <v>210</v>
      </c>
      <c r="C297">
        <v>0.63</v>
      </c>
    </row>
    <row r="298" spans="1:3" x14ac:dyDescent="0.2">
      <c r="A298" t="s">
        <v>61</v>
      </c>
      <c r="B298">
        <v>210</v>
      </c>
      <c r="C298">
        <f>-20/210</f>
        <v>-9.5238095238095233E-2</v>
      </c>
    </row>
    <row r="299" spans="1:3" x14ac:dyDescent="0.2">
      <c r="A299" t="s">
        <v>61</v>
      </c>
      <c r="B299">
        <v>210</v>
      </c>
      <c r="C299">
        <v>0.98</v>
      </c>
    </row>
    <row r="300" spans="1:3" x14ac:dyDescent="0.2">
      <c r="A300" t="s">
        <v>61</v>
      </c>
      <c r="B300">
        <v>210</v>
      </c>
      <c r="C300">
        <v>0.89</v>
      </c>
    </row>
    <row r="301" spans="1:3" x14ac:dyDescent="0.2">
      <c r="A301" t="s">
        <v>61</v>
      </c>
      <c r="B301">
        <v>210</v>
      </c>
      <c r="C301">
        <v>0.97</v>
      </c>
    </row>
    <row r="302" spans="1:3" x14ac:dyDescent="0.2">
      <c r="A302" t="s">
        <v>61</v>
      </c>
      <c r="B302">
        <v>210</v>
      </c>
      <c r="C302">
        <v>0.39</v>
      </c>
    </row>
    <row r="303" spans="1:3" x14ac:dyDescent="0.2">
      <c r="A303" t="s">
        <v>61</v>
      </c>
      <c r="B303">
        <v>210</v>
      </c>
      <c r="C303">
        <v>0.81</v>
      </c>
    </row>
    <row r="304" spans="1:3" x14ac:dyDescent="0.2">
      <c r="A304" t="s">
        <v>61</v>
      </c>
      <c r="B304">
        <v>210</v>
      </c>
      <c r="C304">
        <v>0.95</v>
      </c>
    </row>
    <row r="305" spans="1:3" x14ac:dyDescent="0.2">
      <c r="A305" t="s">
        <v>61</v>
      </c>
      <c r="B305">
        <v>210</v>
      </c>
      <c r="C305">
        <v>0.97</v>
      </c>
    </row>
    <row r="306" spans="1:3" x14ac:dyDescent="0.2">
      <c r="A306" t="s">
        <v>61</v>
      </c>
      <c r="B306">
        <v>210</v>
      </c>
      <c r="C306">
        <v>0.98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386B-968A-514C-8ACF-0AC3FD6A6BE1}">
  <dimension ref="A1:G89"/>
  <sheetViews>
    <sheetView tabSelected="1" workbookViewId="0">
      <selection activeCell="I65" sqref="I65"/>
    </sheetView>
  </sheetViews>
  <sheetFormatPr baseColWidth="10" defaultRowHeight="16" x14ac:dyDescent="0.2"/>
  <cols>
    <col min="1" max="1" width="11.5" style="9" bestFit="1" customWidth="1"/>
    <col min="2" max="2" width="10.83203125" style="9"/>
    <col min="3" max="3" width="26" style="9" bestFit="1" customWidth="1"/>
    <col min="4" max="4" width="12.1640625" style="9" bestFit="1" customWidth="1"/>
    <col min="5" max="16384" width="10.83203125" style="9"/>
  </cols>
  <sheetData>
    <row r="1" spans="1:7" x14ac:dyDescent="0.2">
      <c r="A1" s="9" t="s">
        <v>1</v>
      </c>
      <c r="B1" s="9" t="s">
        <v>0</v>
      </c>
      <c r="C1" s="9" t="s">
        <v>11</v>
      </c>
      <c r="D1" s="9" t="s">
        <v>35</v>
      </c>
      <c r="E1" s="9" t="s">
        <v>9</v>
      </c>
      <c r="F1" s="9" t="s">
        <v>7</v>
      </c>
      <c r="G1" s="9" t="s">
        <v>2</v>
      </c>
    </row>
    <row r="2" spans="1:7" x14ac:dyDescent="0.2">
      <c r="A2" s="9" t="s">
        <v>34</v>
      </c>
      <c r="B2" s="9">
        <v>2017</v>
      </c>
      <c r="C2" s="9" t="s">
        <v>19</v>
      </c>
      <c r="D2" s="9">
        <f>-LOG(1-0.91)</f>
        <v>1.0457574905606752</v>
      </c>
      <c r="E2" s="9">
        <v>90</v>
      </c>
      <c r="F2" s="9" t="s">
        <v>8</v>
      </c>
      <c r="G2" s="9" t="s">
        <v>36</v>
      </c>
    </row>
    <row r="3" spans="1:7" x14ac:dyDescent="0.2">
      <c r="C3" s="9" t="s">
        <v>18</v>
      </c>
      <c r="D3" s="9">
        <f>-LOG(1-0.39)</f>
        <v>0.21467016498923297</v>
      </c>
      <c r="E3" s="9">
        <v>60</v>
      </c>
      <c r="F3" s="9" t="s">
        <v>8</v>
      </c>
    </row>
    <row r="4" spans="1:7" x14ac:dyDescent="0.2">
      <c r="A4" s="9" t="s">
        <v>65</v>
      </c>
      <c r="B4" s="9">
        <v>2018</v>
      </c>
      <c r="C4" s="9" t="s">
        <v>40</v>
      </c>
      <c r="D4" s="9">
        <v>1</v>
      </c>
      <c r="E4" s="9">
        <v>20</v>
      </c>
      <c r="F4" s="9" t="s">
        <v>8</v>
      </c>
      <c r="G4" s="9" t="s">
        <v>64</v>
      </c>
    </row>
    <row r="5" spans="1:7" x14ac:dyDescent="0.2">
      <c r="D5" s="9">
        <v>4</v>
      </c>
      <c r="E5" s="9">
        <v>20</v>
      </c>
    </row>
    <row r="6" spans="1:7" x14ac:dyDescent="0.2">
      <c r="D6" s="9">
        <v>1</v>
      </c>
      <c r="E6" s="9">
        <v>20</v>
      </c>
    </row>
    <row r="7" spans="1:7" x14ac:dyDescent="0.2">
      <c r="D7" s="9">
        <v>2.6</v>
      </c>
      <c r="E7" s="9">
        <v>20</v>
      </c>
    </row>
    <row r="8" spans="1:7" x14ac:dyDescent="0.2">
      <c r="C8" s="9" t="s">
        <v>37</v>
      </c>
      <c r="D8" s="9">
        <v>1</v>
      </c>
      <c r="E8" s="9">
        <v>20</v>
      </c>
    </row>
    <row r="9" spans="1:7" x14ac:dyDescent="0.2">
      <c r="D9" s="9">
        <v>2</v>
      </c>
      <c r="E9" s="9">
        <v>20</v>
      </c>
    </row>
    <row r="10" spans="1:7" x14ac:dyDescent="0.2">
      <c r="D10" s="9">
        <v>0</v>
      </c>
      <c r="E10" s="9">
        <v>22</v>
      </c>
    </row>
    <row r="11" spans="1:7" x14ac:dyDescent="0.2">
      <c r="D11" s="9">
        <v>-0.1</v>
      </c>
      <c r="E11" s="9">
        <v>22</v>
      </c>
    </row>
    <row r="12" spans="1:7" x14ac:dyDescent="0.2">
      <c r="D12" s="9">
        <v>0.1</v>
      </c>
      <c r="E12" s="9">
        <v>37</v>
      </c>
    </row>
    <row r="13" spans="1:7" x14ac:dyDescent="0.2">
      <c r="D13" s="9">
        <v>-0.1</v>
      </c>
      <c r="E13" s="9">
        <v>37</v>
      </c>
    </row>
    <row r="14" spans="1:7" x14ac:dyDescent="0.2">
      <c r="D14" s="9">
        <v>-0.25</v>
      </c>
      <c r="E14" s="9">
        <v>46</v>
      </c>
    </row>
    <row r="15" spans="1:7" x14ac:dyDescent="0.2">
      <c r="D15" s="9">
        <v>0</v>
      </c>
      <c r="E15" s="9">
        <v>46</v>
      </c>
    </row>
    <row r="16" spans="1:7" x14ac:dyDescent="0.2">
      <c r="D16" s="9">
        <v>0.1</v>
      </c>
      <c r="E16" s="9">
        <v>55</v>
      </c>
    </row>
    <row r="17" spans="3:5" x14ac:dyDescent="0.2">
      <c r="D17" s="9">
        <v>0.5</v>
      </c>
      <c r="E17" s="9">
        <v>55</v>
      </c>
    </row>
    <row r="18" spans="3:5" x14ac:dyDescent="0.2">
      <c r="D18" s="9">
        <v>-0.4</v>
      </c>
      <c r="E18" s="9">
        <v>17</v>
      </c>
    </row>
    <row r="19" spans="3:5" x14ac:dyDescent="0.2">
      <c r="D19" s="9">
        <v>0.8</v>
      </c>
      <c r="E19" s="9">
        <v>17</v>
      </c>
    </row>
    <row r="20" spans="3:5" x14ac:dyDescent="0.2">
      <c r="C20" s="10"/>
      <c r="D20" s="9">
        <v>1.22</v>
      </c>
      <c r="E20" s="9">
        <v>55</v>
      </c>
    </row>
    <row r="21" spans="3:5" x14ac:dyDescent="0.2">
      <c r="C21" s="10"/>
      <c r="D21" s="9">
        <v>0.1</v>
      </c>
      <c r="E21" s="9">
        <v>55</v>
      </c>
    </row>
    <row r="22" spans="3:5" x14ac:dyDescent="0.2">
      <c r="C22" s="10"/>
      <c r="D22" s="9">
        <v>0.4</v>
      </c>
      <c r="E22" s="9">
        <v>32</v>
      </c>
    </row>
    <row r="23" spans="3:5" x14ac:dyDescent="0.2">
      <c r="D23" s="9">
        <v>0.5</v>
      </c>
      <c r="E23" s="9">
        <v>32</v>
      </c>
    </row>
    <row r="24" spans="3:5" x14ac:dyDescent="0.2">
      <c r="D24" s="9">
        <v>1.8</v>
      </c>
      <c r="E24" s="9">
        <v>32</v>
      </c>
    </row>
    <row r="25" spans="3:5" x14ac:dyDescent="0.2">
      <c r="C25" s="9" t="s">
        <v>43</v>
      </c>
      <c r="D25" s="9">
        <v>0</v>
      </c>
      <c r="E25" s="9">
        <v>22</v>
      </c>
    </row>
    <row r="26" spans="3:5" x14ac:dyDescent="0.2">
      <c r="D26" s="9">
        <v>0</v>
      </c>
      <c r="E26" s="9">
        <v>22</v>
      </c>
    </row>
    <row r="27" spans="3:5" x14ac:dyDescent="0.2">
      <c r="D27" s="9">
        <v>0.5</v>
      </c>
      <c r="E27" s="9">
        <v>37</v>
      </c>
    </row>
    <row r="28" spans="3:5" x14ac:dyDescent="0.2">
      <c r="D28" s="9">
        <v>0.5</v>
      </c>
      <c r="E28" s="9">
        <v>37</v>
      </c>
    </row>
    <row r="29" spans="3:5" x14ac:dyDescent="0.2">
      <c r="D29" s="9">
        <v>0.25</v>
      </c>
      <c r="E29" s="9">
        <v>46</v>
      </c>
    </row>
    <row r="30" spans="3:5" x14ac:dyDescent="0.2">
      <c r="C30" s="10"/>
      <c r="D30" s="9">
        <v>0</v>
      </c>
      <c r="E30" s="9">
        <v>46</v>
      </c>
    </row>
    <row r="31" spans="3:5" x14ac:dyDescent="0.2">
      <c r="D31" s="9">
        <v>0.5</v>
      </c>
      <c r="E31" s="9">
        <v>55</v>
      </c>
    </row>
    <row r="32" spans="3:5" x14ac:dyDescent="0.2">
      <c r="D32" s="9">
        <v>0.25</v>
      </c>
      <c r="E32" s="9">
        <v>55</v>
      </c>
    </row>
    <row r="33" spans="3:5" x14ac:dyDescent="0.2">
      <c r="D33" s="9">
        <v>1.3</v>
      </c>
      <c r="E33" s="9">
        <v>35</v>
      </c>
    </row>
    <row r="34" spans="3:5" x14ac:dyDescent="0.2">
      <c r="D34" s="9">
        <v>-0.5</v>
      </c>
      <c r="E34" s="9">
        <v>35</v>
      </c>
    </row>
    <row r="35" spans="3:5" x14ac:dyDescent="0.2">
      <c r="D35" s="9">
        <v>0.4</v>
      </c>
      <c r="E35" s="9">
        <v>35</v>
      </c>
    </row>
    <row r="36" spans="3:5" x14ac:dyDescent="0.2">
      <c r="D36" s="9">
        <v>1.1000000000000001</v>
      </c>
      <c r="E36" s="9">
        <v>47</v>
      </c>
    </row>
    <row r="37" spans="3:5" x14ac:dyDescent="0.2">
      <c r="C37" s="10"/>
      <c r="D37" s="9">
        <v>1</v>
      </c>
      <c r="E37" s="9">
        <v>47</v>
      </c>
    </row>
    <row r="38" spans="3:5" x14ac:dyDescent="0.2">
      <c r="D38" s="9">
        <v>0.25</v>
      </c>
      <c r="E38" s="9">
        <v>47</v>
      </c>
    </row>
    <row r="39" spans="3:5" x14ac:dyDescent="0.2">
      <c r="D39" s="9">
        <v>1.1000000000000001</v>
      </c>
      <c r="E39" s="9">
        <v>52</v>
      </c>
    </row>
    <row r="40" spans="3:5" x14ac:dyDescent="0.2">
      <c r="D40" s="9">
        <v>0.9</v>
      </c>
      <c r="E40" s="9">
        <v>52</v>
      </c>
    </row>
    <row r="41" spans="3:5" x14ac:dyDescent="0.2">
      <c r="D41" s="9">
        <v>0.75</v>
      </c>
      <c r="E41" s="9">
        <v>52</v>
      </c>
    </row>
    <row r="42" spans="3:5" x14ac:dyDescent="0.2">
      <c r="D42" s="9">
        <v>1.1000000000000001</v>
      </c>
      <c r="E42" s="9">
        <v>59</v>
      </c>
    </row>
    <row r="43" spans="3:5" x14ac:dyDescent="0.2">
      <c r="D43" s="9">
        <v>0.8</v>
      </c>
      <c r="E43" s="9">
        <v>59</v>
      </c>
    </row>
    <row r="44" spans="3:5" x14ac:dyDescent="0.2">
      <c r="D44" s="9">
        <v>0.7</v>
      </c>
      <c r="E44" s="9">
        <v>59</v>
      </c>
    </row>
    <row r="45" spans="3:5" x14ac:dyDescent="0.2">
      <c r="C45" s="10"/>
      <c r="D45" s="9">
        <v>0.6</v>
      </c>
      <c r="E45" s="9">
        <v>38</v>
      </c>
    </row>
    <row r="46" spans="3:5" x14ac:dyDescent="0.2">
      <c r="C46" s="10"/>
      <c r="D46" s="9">
        <v>0.8</v>
      </c>
      <c r="E46" s="9">
        <v>38</v>
      </c>
    </row>
    <row r="47" spans="3:5" x14ac:dyDescent="0.2">
      <c r="C47" s="10"/>
      <c r="D47" s="9">
        <v>1.1000000000000001</v>
      </c>
      <c r="E47" s="9">
        <v>55</v>
      </c>
    </row>
    <row r="48" spans="3:5" x14ac:dyDescent="0.2">
      <c r="D48" s="9">
        <v>1.5</v>
      </c>
      <c r="E48" s="9">
        <v>55</v>
      </c>
    </row>
    <row r="49" spans="3:5" x14ac:dyDescent="0.2">
      <c r="D49" s="9">
        <v>1</v>
      </c>
      <c r="E49" s="9">
        <v>63</v>
      </c>
    </row>
    <row r="50" spans="3:5" x14ac:dyDescent="0.2">
      <c r="C50" s="10"/>
      <c r="D50" s="9">
        <v>1.2</v>
      </c>
      <c r="E50" s="9">
        <v>63</v>
      </c>
    </row>
    <row r="51" spans="3:5" x14ac:dyDescent="0.2">
      <c r="D51" s="9">
        <v>1.4</v>
      </c>
      <c r="E51" s="9">
        <v>69</v>
      </c>
    </row>
    <row r="52" spans="3:5" x14ac:dyDescent="0.2">
      <c r="D52" s="9">
        <v>0.9</v>
      </c>
      <c r="E52" s="9">
        <v>69</v>
      </c>
    </row>
    <row r="53" spans="3:5" x14ac:dyDescent="0.2">
      <c r="D53" s="9">
        <v>0.3</v>
      </c>
      <c r="E53" s="9">
        <v>55</v>
      </c>
    </row>
    <row r="54" spans="3:5" x14ac:dyDescent="0.2">
      <c r="D54" s="9">
        <v>0.7</v>
      </c>
      <c r="E54" s="9">
        <v>55</v>
      </c>
    </row>
    <row r="55" spans="3:5" x14ac:dyDescent="0.2">
      <c r="D55" s="9">
        <v>-0.5</v>
      </c>
      <c r="E55" s="9">
        <v>38</v>
      </c>
    </row>
    <row r="56" spans="3:5" x14ac:dyDescent="0.2">
      <c r="D56" s="9">
        <v>-1</v>
      </c>
      <c r="E56" s="9">
        <v>38</v>
      </c>
    </row>
    <row r="57" spans="3:5" x14ac:dyDescent="0.2">
      <c r="D57" s="9">
        <v>-0.2</v>
      </c>
      <c r="E57" s="9">
        <v>38</v>
      </c>
    </row>
    <row r="58" spans="3:5" x14ac:dyDescent="0.2">
      <c r="D58" s="9">
        <v>2.1</v>
      </c>
      <c r="E58" s="9">
        <v>37</v>
      </c>
    </row>
    <row r="59" spans="3:5" x14ac:dyDescent="0.2">
      <c r="D59" s="9">
        <v>-0.5</v>
      </c>
      <c r="E59" s="9">
        <v>37</v>
      </c>
    </row>
    <row r="60" spans="3:5" x14ac:dyDescent="0.2">
      <c r="C60" s="11"/>
      <c r="D60" s="9">
        <v>1.2</v>
      </c>
      <c r="E60" s="9">
        <v>37</v>
      </c>
    </row>
    <row r="61" spans="3:5" x14ac:dyDescent="0.2">
      <c r="C61" s="9" t="s">
        <v>18</v>
      </c>
      <c r="D61" s="9">
        <v>-0.61</v>
      </c>
      <c r="E61" s="9">
        <v>40</v>
      </c>
    </row>
    <row r="62" spans="3:5" x14ac:dyDescent="0.2">
      <c r="D62" s="9">
        <v>0.87</v>
      </c>
      <c r="E62" s="9">
        <v>40</v>
      </c>
    </row>
    <row r="63" spans="3:5" x14ac:dyDescent="0.2">
      <c r="D63" s="9">
        <v>-0.33</v>
      </c>
      <c r="E63" s="9">
        <v>40</v>
      </c>
    </row>
    <row r="64" spans="3:5" x14ac:dyDescent="0.2">
      <c r="D64" s="9">
        <v>1.55</v>
      </c>
      <c r="E64" s="9">
        <v>40</v>
      </c>
    </row>
    <row r="65" spans="3:5" x14ac:dyDescent="0.2">
      <c r="D65" s="9">
        <v>-0.66</v>
      </c>
      <c r="E65" s="9">
        <v>40</v>
      </c>
    </row>
    <row r="66" spans="3:5" x14ac:dyDescent="0.2">
      <c r="D66" s="9">
        <v>0.88</v>
      </c>
      <c r="E66" s="9">
        <v>40</v>
      </c>
    </row>
    <row r="67" spans="3:5" x14ac:dyDescent="0.2">
      <c r="C67" s="9" t="s">
        <v>29</v>
      </c>
      <c r="D67" s="9">
        <v>2.2000000000000002</v>
      </c>
      <c r="E67" s="9">
        <v>150</v>
      </c>
    </row>
    <row r="68" spans="3:5" x14ac:dyDescent="0.2">
      <c r="D68" s="9">
        <v>1.5</v>
      </c>
      <c r="E68" s="9">
        <v>150</v>
      </c>
    </row>
    <row r="69" spans="3:5" x14ac:dyDescent="0.2">
      <c r="D69" s="9">
        <v>2.1</v>
      </c>
      <c r="E69" s="9">
        <v>150</v>
      </c>
    </row>
    <row r="70" spans="3:5" x14ac:dyDescent="0.2">
      <c r="C70" s="9" t="s">
        <v>66</v>
      </c>
      <c r="D70" s="9">
        <v>-1.1000000000000001</v>
      </c>
      <c r="E70" s="9">
        <v>20</v>
      </c>
    </row>
    <row r="71" spans="3:5" x14ac:dyDescent="0.2">
      <c r="D71" s="9">
        <v>-1.4</v>
      </c>
      <c r="E71" s="9">
        <v>20</v>
      </c>
    </row>
    <row r="72" spans="3:5" x14ac:dyDescent="0.2">
      <c r="C72" s="9" t="s">
        <v>67</v>
      </c>
      <c r="D72" s="9">
        <v>-1.6</v>
      </c>
      <c r="E72" s="9">
        <v>70</v>
      </c>
    </row>
    <row r="73" spans="3:5" x14ac:dyDescent="0.2">
      <c r="D73" s="9">
        <v>-1.3</v>
      </c>
      <c r="E73" s="9">
        <v>70</v>
      </c>
    </row>
    <row r="74" spans="3:5" x14ac:dyDescent="0.2">
      <c r="C74" s="9" t="s">
        <v>14</v>
      </c>
      <c r="D74" s="9">
        <v>-0.19</v>
      </c>
      <c r="E74" s="9">
        <v>100</v>
      </c>
    </row>
    <row r="75" spans="3:5" x14ac:dyDescent="0.2">
      <c r="D75" s="9">
        <v>0.36</v>
      </c>
      <c r="E75" s="9">
        <v>100</v>
      </c>
    </row>
    <row r="76" spans="3:5" x14ac:dyDescent="0.2">
      <c r="D76" s="9">
        <v>0.42</v>
      </c>
      <c r="E76" s="9">
        <v>100</v>
      </c>
    </row>
    <row r="77" spans="3:5" x14ac:dyDescent="0.2">
      <c r="D77" s="9">
        <v>0.59</v>
      </c>
      <c r="E77" s="9">
        <v>100</v>
      </c>
    </row>
    <row r="78" spans="3:5" x14ac:dyDescent="0.2">
      <c r="D78" s="9">
        <v>3.53</v>
      </c>
      <c r="E78" s="9">
        <v>300</v>
      </c>
    </row>
    <row r="79" spans="3:5" x14ac:dyDescent="0.2">
      <c r="D79" s="9">
        <v>3.11</v>
      </c>
      <c r="E79" s="9">
        <v>300</v>
      </c>
    </row>
    <row r="80" spans="3:5" x14ac:dyDescent="0.2">
      <c r="D80" s="9">
        <v>3.37</v>
      </c>
      <c r="E80" s="9">
        <v>300</v>
      </c>
    </row>
    <row r="81" spans="4:5" x14ac:dyDescent="0.2">
      <c r="D81" s="9">
        <v>1.53</v>
      </c>
      <c r="E81" s="9">
        <v>300</v>
      </c>
    </row>
    <row r="82" spans="4:5" x14ac:dyDescent="0.2">
      <c r="D82" s="9">
        <v>4.2</v>
      </c>
      <c r="E82" s="9">
        <v>500</v>
      </c>
    </row>
    <row r="83" spans="4:5" x14ac:dyDescent="0.2">
      <c r="D83" s="9">
        <v>3.79</v>
      </c>
      <c r="E83" s="9">
        <v>500</v>
      </c>
    </row>
    <row r="84" spans="4:5" x14ac:dyDescent="0.2">
      <c r="D84" s="9">
        <v>4.04</v>
      </c>
      <c r="E84" s="9">
        <v>500</v>
      </c>
    </row>
    <row r="85" spans="4:5" x14ac:dyDescent="0.2">
      <c r="D85" s="9">
        <v>2.2000000000000002</v>
      </c>
      <c r="E85" s="9">
        <v>500</v>
      </c>
    </row>
    <row r="86" spans="4:5" x14ac:dyDescent="0.2">
      <c r="D86" s="9">
        <v>4.0199999999999996</v>
      </c>
      <c r="E86" s="9">
        <v>700</v>
      </c>
    </row>
    <row r="87" spans="4:5" x14ac:dyDescent="0.2">
      <c r="D87" s="9">
        <v>3.61</v>
      </c>
      <c r="E87" s="9">
        <v>700</v>
      </c>
    </row>
    <row r="88" spans="4:5" x14ac:dyDescent="0.2">
      <c r="D88" s="9">
        <v>3.86</v>
      </c>
      <c r="E88" s="9">
        <v>700</v>
      </c>
    </row>
    <row r="89" spans="4:5" x14ac:dyDescent="0.2">
      <c r="D89" s="9">
        <v>2.02</v>
      </c>
      <c r="E89" s="9">
        <v>700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E6EA-77A0-1147-86BD-42B8539F3B36}">
  <dimension ref="A1:C89"/>
  <sheetViews>
    <sheetView workbookViewId="0">
      <selection activeCell="B1" sqref="B1"/>
    </sheetView>
  </sheetViews>
  <sheetFormatPr baseColWidth="10" defaultRowHeight="16" x14ac:dyDescent="0.2"/>
  <cols>
    <col min="1" max="1" width="10.83203125" style="9" customWidth="1"/>
    <col min="2" max="2" width="10.83203125" style="9"/>
    <col min="3" max="3" width="10.83203125" style="9" customWidth="1"/>
  </cols>
  <sheetData>
    <row r="1" spans="1:3" x14ac:dyDescent="0.2">
      <c r="A1" s="9" t="s">
        <v>11</v>
      </c>
      <c r="B1" s="9" t="s">
        <v>60</v>
      </c>
      <c r="C1" s="9" t="s">
        <v>35</v>
      </c>
    </row>
    <row r="2" spans="1:3" x14ac:dyDescent="0.2">
      <c r="A2" s="9" t="s">
        <v>63</v>
      </c>
      <c r="B2" s="9">
        <v>90</v>
      </c>
      <c r="C2" s="9">
        <f>-LOG(1-0.91)</f>
        <v>1.0457574905606752</v>
      </c>
    </row>
    <row r="3" spans="1:3" x14ac:dyDescent="0.2">
      <c r="A3" s="9" t="s">
        <v>63</v>
      </c>
      <c r="B3" s="9">
        <v>60</v>
      </c>
      <c r="C3" s="9">
        <f>-LOG(1-0.39)</f>
        <v>0.21467016498923297</v>
      </c>
    </row>
    <row r="4" spans="1:3" x14ac:dyDescent="0.2">
      <c r="A4" s="9" t="s">
        <v>63</v>
      </c>
      <c r="B4" s="9">
        <v>20</v>
      </c>
      <c r="C4" s="9">
        <v>1</v>
      </c>
    </row>
    <row r="5" spans="1:3" x14ac:dyDescent="0.2">
      <c r="A5" s="9" t="s">
        <v>63</v>
      </c>
      <c r="B5" s="9">
        <v>20</v>
      </c>
      <c r="C5" s="9">
        <v>4</v>
      </c>
    </row>
    <row r="6" spans="1:3" x14ac:dyDescent="0.2">
      <c r="A6" s="9" t="s">
        <v>63</v>
      </c>
      <c r="B6" s="9">
        <v>20</v>
      </c>
      <c r="C6" s="9">
        <v>1</v>
      </c>
    </row>
    <row r="7" spans="1:3" x14ac:dyDescent="0.2">
      <c r="A7" s="9" t="s">
        <v>63</v>
      </c>
      <c r="B7" s="9">
        <v>20</v>
      </c>
      <c r="C7" s="9">
        <v>2.6</v>
      </c>
    </row>
    <row r="8" spans="1:3" x14ac:dyDescent="0.2">
      <c r="A8" s="9" t="s">
        <v>63</v>
      </c>
      <c r="B8" s="9">
        <v>20</v>
      </c>
      <c r="C8" s="9">
        <v>1</v>
      </c>
    </row>
    <row r="9" spans="1:3" x14ac:dyDescent="0.2">
      <c r="A9" s="9" t="s">
        <v>63</v>
      </c>
      <c r="B9" s="9">
        <v>20</v>
      </c>
      <c r="C9" s="9">
        <v>2</v>
      </c>
    </row>
    <row r="10" spans="1:3" x14ac:dyDescent="0.2">
      <c r="A10" s="9" t="s">
        <v>63</v>
      </c>
      <c r="B10" s="9">
        <v>22</v>
      </c>
      <c r="C10" s="9">
        <v>0</v>
      </c>
    </row>
    <row r="11" spans="1:3" x14ac:dyDescent="0.2">
      <c r="A11" s="9" t="s">
        <v>63</v>
      </c>
      <c r="B11" s="9">
        <v>22</v>
      </c>
      <c r="C11" s="9">
        <v>-0.1</v>
      </c>
    </row>
    <row r="12" spans="1:3" x14ac:dyDescent="0.2">
      <c r="A12" s="9" t="s">
        <v>63</v>
      </c>
      <c r="B12" s="9">
        <v>37</v>
      </c>
      <c r="C12" s="9">
        <v>0.1</v>
      </c>
    </row>
    <row r="13" spans="1:3" x14ac:dyDescent="0.2">
      <c r="A13" s="9" t="s">
        <v>63</v>
      </c>
      <c r="B13" s="9">
        <v>37</v>
      </c>
      <c r="C13" s="9">
        <v>-0.1</v>
      </c>
    </row>
    <row r="14" spans="1:3" x14ac:dyDescent="0.2">
      <c r="A14" s="9" t="s">
        <v>63</v>
      </c>
      <c r="B14" s="9">
        <v>46</v>
      </c>
      <c r="C14" s="9">
        <v>-0.25</v>
      </c>
    </row>
    <row r="15" spans="1:3" x14ac:dyDescent="0.2">
      <c r="A15" s="9" t="s">
        <v>63</v>
      </c>
      <c r="B15" s="9">
        <v>46</v>
      </c>
      <c r="C15" s="9">
        <v>0</v>
      </c>
    </row>
    <row r="16" spans="1:3" x14ac:dyDescent="0.2">
      <c r="A16" s="9" t="s">
        <v>63</v>
      </c>
      <c r="B16" s="9">
        <v>55</v>
      </c>
      <c r="C16" s="9">
        <v>0.1</v>
      </c>
    </row>
    <row r="17" spans="1:3" x14ac:dyDescent="0.2">
      <c r="A17" s="9" t="s">
        <v>63</v>
      </c>
      <c r="B17" s="9">
        <v>55</v>
      </c>
      <c r="C17" s="9">
        <v>0.5</v>
      </c>
    </row>
    <row r="18" spans="1:3" x14ac:dyDescent="0.2">
      <c r="A18" s="9" t="s">
        <v>63</v>
      </c>
      <c r="B18" s="9">
        <v>17</v>
      </c>
      <c r="C18" s="9">
        <v>-0.4</v>
      </c>
    </row>
    <row r="19" spans="1:3" x14ac:dyDescent="0.2">
      <c r="A19" s="9" t="s">
        <v>63</v>
      </c>
      <c r="B19" s="9">
        <v>17</v>
      </c>
      <c r="C19" s="9">
        <v>0.8</v>
      </c>
    </row>
    <row r="20" spans="1:3" x14ac:dyDescent="0.2">
      <c r="A20" s="9" t="s">
        <v>63</v>
      </c>
      <c r="B20" s="9">
        <v>55</v>
      </c>
      <c r="C20" s="9">
        <v>1.22</v>
      </c>
    </row>
    <row r="21" spans="1:3" x14ac:dyDescent="0.2">
      <c r="A21" s="9" t="s">
        <v>63</v>
      </c>
      <c r="B21" s="9">
        <v>55</v>
      </c>
      <c r="C21" s="9">
        <v>0.1</v>
      </c>
    </row>
    <row r="22" spans="1:3" x14ac:dyDescent="0.2">
      <c r="A22" s="9" t="s">
        <v>63</v>
      </c>
      <c r="B22" s="9">
        <v>32</v>
      </c>
      <c r="C22" s="9">
        <v>0.4</v>
      </c>
    </row>
    <row r="23" spans="1:3" x14ac:dyDescent="0.2">
      <c r="A23" s="9" t="s">
        <v>63</v>
      </c>
      <c r="B23" s="9">
        <v>32</v>
      </c>
      <c r="C23" s="9">
        <v>0.5</v>
      </c>
    </row>
    <row r="24" spans="1:3" x14ac:dyDescent="0.2">
      <c r="A24" s="9" t="s">
        <v>63</v>
      </c>
      <c r="B24" s="9">
        <v>32</v>
      </c>
      <c r="C24" s="9">
        <v>1.8</v>
      </c>
    </row>
    <row r="25" spans="1:3" x14ac:dyDescent="0.2">
      <c r="A25" s="9" t="s">
        <v>63</v>
      </c>
      <c r="B25" s="9">
        <v>22</v>
      </c>
      <c r="C25" s="9">
        <v>0</v>
      </c>
    </row>
    <row r="26" spans="1:3" x14ac:dyDescent="0.2">
      <c r="A26" s="9" t="s">
        <v>63</v>
      </c>
      <c r="B26" s="9">
        <v>22</v>
      </c>
      <c r="C26" s="9">
        <v>0</v>
      </c>
    </row>
    <row r="27" spans="1:3" x14ac:dyDescent="0.2">
      <c r="A27" s="9" t="s">
        <v>63</v>
      </c>
      <c r="B27" s="9">
        <v>37</v>
      </c>
      <c r="C27" s="9">
        <v>0.5</v>
      </c>
    </row>
    <row r="28" spans="1:3" x14ac:dyDescent="0.2">
      <c r="A28" s="9" t="s">
        <v>63</v>
      </c>
      <c r="B28" s="9">
        <v>37</v>
      </c>
      <c r="C28" s="9">
        <v>0.5</v>
      </c>
    </row>
    <row r="29" spans="1:3" x14ac:dyDescent="0.2">
      <c r="A29" s="9" t="s">
        <v>63</v>
      </c>
      <c r="B29" s="9">
        <v>46</v>
      </c>
      <c r="C29" s="9">
        <v>0.25</v>
      </c>
    </row>
    <row r="30" spans="1:3" x14ac:dyDescent="0.2">
      <c r="A30" s="9" t="s">
        <v>63</v>
      </c>
      <c r="B30" s="9">
        <v>46</v>
      </c>
      <c r="C30" s="9">
        <v>0</v>
      </c>
    </row>
    <row r="31" spans="1:3" x14ac:dyDescent="0.2">
      <c r="A31" s="9" t="s">
        <v>63</v>
      </c>
      <c r="B31" s="9">
        <v>55</v>
      </c>
      <c r="C31" s="9">
        <v>0.5</v>
      </c>
    </row>
    <row r="32" spans="1:3" x14ac:dyDescent="0.2">
      <c r="A32" s="9" t="s">
        <v>63</v>
      </c>
      <c r="B32" s="9">
        <v>55</v>
      </c>
      <c r="C32" s="9">
        <v>0.25</v>
      </c>
    </row>
    <row r="33" spans="1:3" x14ac:dyDescent="0.2">
      <c r="A33" s="9" t="s">
        <v>63</v>
      </c>
      <c r="B33" s="9">
        <v>35</v>
      </c>
      <c r="C33" s="9">
        <v>1.3</v>
      </c>
    </row>
    <row r="34" spans="1:3" x14ac:dyDescent="0.2">
      <c r="A34" s="9" t="s">
        <v>63</v>
      </c>
      <c r="B34" s="9">
        <v>35</v>
      </c>
      <c r="C34" s="9">
        <v>-0.5</v>
      </c>
    </row>
    <row r="35" spans="1:3" x14ac:dyDescent="0.2">
      <c r="A35" s="9" t="s">
        <v>63</v>
      </c>
      <c r="B35" s="9">
        <v>35</v>
      </c>
      <c r="C35" s="9">
        <v>0.4</v>
      </c>
    </row>
    <row r="36" spans="1:3" x14ac:dyDescent="0.2">
      <c r="A36" s="9" t="s">
        <v>63</v>
      </c>
      <c r="B36" s="9">
        <v>47</v>
      </c>
      <c r="C36" s="9">
        <v>1.1000000000000001</v>
      </c>
    </row>
    <row r="37" spans="1:3" x14ac:dyDescent="0.2">
      <c r="A37" s="9" t="s">
        <v>63</v>
      </c>
      <c r="B37" s="9">
        <v>47</v>
      </c>
      <c r="C37" s="9">
        <v>1</v>
      </c>
    </row>
    <row r="38" spans="1:3" x14ac:dyDescent="0.2">
      <c r="A38" s="9" t="s">
        <v>63</v>
      </c>
      <c r="B38" s="9">
        <v>47</v>
      </c>
      <c r="C38" s="9">
        <v>0.25</v>
      </c>
    </row>
    <row r="39" spans="1:3" x14ac:dyDescent="0.2">
      <c r="A39" s="9" t="s">
        <v>63</v>
      </c>
      <c r="B39" s="9">
        <v>52</v>
      </c>
      <c r="C39" s="9">
        <v>1.1000000000000001</v>
      </c>
    </row>
    <row r="40" spans="1:3" x14ac:dyDescent="0.2">
      <c r="A40" s="9" t="s">
        <v>63</v>
      </c>
      <c r="B40" s="9">
        <v>52</v>
      </c>
      <c r="C40" s="9">
        <v>0.9</v>
      </c>
    </row>
    <row r="41" spans="1:3" x14ac:dyDescent="0.2">
      <c r="A41" s="9" t="s">
        <v>63</v>
      </c>
      <c r="B41" s="9">
        <v>52</v>
      </c>
      <c r="C41" s="9">
        <v>0.75</v>
      </c>
    </row>
    <row r="42" spans="1:3" x14ac:dyDescent="0.2">
      <c r="A42" s="9" t="s">
        <v>63</v>
      </c>
      <c r="B42" s="9">
        <v>59</v>
      </c>
      <c r="C42" s="9">
        <v>1.1000000000000001</v>
      </c>
    </row>
    <row r="43" spans="1:3" x14ac:dyDescent="0.2">
      <c r="A43" s="9" t="s">
        <v>63</v>
      </c>
      <c r="B43" s="9">
        <v>59</v>
      </c>
      <c r="C43" s="9">
        <v>0.8</v>
      </c>
    </row>
    <row r="44" spans="1:3" x14ac:dyDescent="0.2">
      <c r="A44" s="9" t="s">
        <v>63</v>
      </c>
      <c r="B44" s="9">
        <v>59</v>
      </c>
      <c r="C44" s="9">
        <v>0.7</v>
      </c>
    </row>
    <row r="45" spans="1:3" x14ac:dyDescent="0.2">
      <c r="A45" s="9" t="s">
        <v>63</v>
      </c>
      <c r="B45" s="9">
        <v>38</v>
      </c>
      <c r="C45" s="9">
        <v>0.6</v>
      </c>
    </row>
    <row r="46" spans="1:3" x14ac:dyDescent="0.2">
      <c r="A46" s="9" t="s">
        <v>63</v>
      </c>
      <c r="B46" s="9">
        <v>38</v>
      </c>
      <c r="C46" s="9">
        <v>0.8</v>
      </c>
    </row>
    <row r="47" spans="1:3" x14ac:dyDescent="0.2">
      <c r="A47" s="9" t="s">
        <v>63</v>
      </c>
      <c r="B47" s="9">
        <v>55</v>
      </c>
      <c r="C47" s="9">
        <v>1.1000000000000001</v>
      </c>
    </row>
    <row r="48" spans="1:3" x14ac:dyDescent="0.2">
      <c r="A48" s="9" t="s">
        <v>63</v>
      </c>
      <c r="B48" s="9">
        <v>55</v>
      </c>
      <c r="C48" s="9">
        <v>1.5</v>
      </c>
    </row>
    <row r="49" spans="1:3" x14ac:dyDescent="0.2">
      <c r="A49" s="9" t="s">
        <v>63</v>
      </c>
      <c r="B49" s="9">
        <v>63</v>
      </c>
      <c r="C49" s="9">
        <v>1</v>
      </c>
    </row>
    <row r="50" spans="1:3" x14ac:dyDescent="0.2">
      <c r="A50" s="9" t="s">
        <v>63</v>
      </c>
      <c r="B50" s="9">
        <v>63</v>
      </c>
      <c r="C50" s="9">
        <v>1.2</v>
      </c>
    </row>
    <row r="51" spans="1:3" x14ac:dyDescent="0.2">
      <c r="A51" s="9" t="s">
        <v>63</v>
      </c>
      <c r="B51" s="9">
        <v>69</v>
      </c>
      <c r="C51" s="9">
        <v>1.4</v>
      </c>
    </row>
    <row r="52" spans="1:3" x14ac:dyDescent="0.2">
      <c r="A52" s="9" t="s">
        <v>63</v>
      </c>
      <c r="B52" s="9">
        <v>69</v>
      </c>
      <c r="C52" s="9">
        <v>0.9</v>
      </c>
    </row>
    <row r="53" spans="1:3" x14ac:dyDescent="0.2">
      <c r="A53" s="9" t="s">
        <v>63</v>
      </c>
      <c r="B53" s="9">
        <v>55</v>
      </c>
      <c r="C53" s="9">
        <v>0.3</v>
      </c>
    </row>
    <row r="54" spans="1:3" x14ac:dyDescent="0.2">
      <c r="A54" s="9" t="s">
        <v>63</v>
      </c>
      <c r="B54" s="9">
        <v>55</v>
      </c>
      <c r="C54" s="9">
        <v>0.7</v>
      </c>
    </row>
    <row r="55" spans="1:3" x14ac:dyDescent="0.2">
      <c r="A55" s="9" t="s">
        <v>63</v>
      </c>
      <c r="B55" s="9">
        <v>38</v>
      </c>
      <c r="C55" s="9">
        <v>-0.5</v>
      </c>
    </row>
    <row r="56" spans="1:3" x14ac:dyDescent="0.2">
      <c r="A56" s="9" t="s">
        <v>63</v>
      </c>
      <c r="B56" s="9">
        <v>38</v>
      </c>
      <c r="C56" s="9">
        <v>-1</v>
      </c>
    </row>
    <row r="57" spans="1:3" x14ac:dyDescent="0.2">
      <c r="A57" s="9" t="s">
        <v>63</v>
      </c>
      <c r="B57" s="9">
        <v>38</v>
      </c>
      <c r="C57" s="9">
        <v>-0.2</v>
      </c>
    </row>
    <row r="58" spans="1:3" x14ac:dyDescent="0.2">
      <c r="A58" s="9" t="s">
        <v>63</v>
      </c>
      <c r="B58" s="9">
        <v>37</v>
      </c>
      <c r="C58" s="9">
        <v>2.1</v>
      </c>
    </row>
    <row r="59" spans="1:3" x14ac:dyDescent="0.2">
      <c r="A59" s="9" t="s">
        <v>63</v>
      </c>
      <c r="B59" s="9">
        <v>37</v>
      </c>
      <c r="C59" s="9">
        <v>-0.5</v>
      </c>
    </row>
    <row r="60" spans="1:3" x14ac:dyDescent="0.2">
      <c r="A60" s="9" t="s">
        <v>63</v>
      </c>
      <c r="B60" s="9">
        <v>37</v>
      </c>
      <c r="C60" s="9">
        <v>1.2</v>
      </c>
    </row>
    <row r="61" spans="1:3" x14ac:dyDescent="0.2">
      <c r="A61" s="9" t="s">
        <v>63</v>
      </c>
      <c r="B61" s="9">
        <v>40</v>
      </c>
      <c r="C61" s="9">
        <v>-0.61</v>
      </c>
    </row>
    <row r="62" spans="1:3" x14ac:dyDescent="0.2">
      <c r="A62" s="9" t="s">
        <v>63</v>
      </c>
      <c r="B62" s="9">
        <v>40</v>
      </c>
      <c r="C62" s="9">
        <v>0.87</v>
      </c>
    </row>
    <row r="63" spans="1:3" x14ac:dyDescent="0.2">
      <c r="A63" s="9" t="s">
        <v>63</v>
      </c>
      <c r="B63" s="9">
        <v>40</v>
      </c>
      <c r="C63" s="9">
        <v>-0.33</v>
      </c>
    </row>
    <row r="64" spans="1:3" x14ac:dyDescent="0.2">
      <c r="A64" s="9" t="s">
        <v>63</v>
      </c>
      <c r="B64" s="9">
        <v>40</v>
      </c>
      <c r="C64" s="9">
        <v>1.55</v>
      </c>
    </row>
    <row r="65" spans="1:3" x14ac:dyDescent="0.2">
      <c r="A65" s="9" t="s">
        <v>63</v>
      </c>
      <c r="B65" s="9">
        <v>40</v>
      </c>
      <c r="C65" s="9">
        <v>-0.66</v>
      </c>
    </row>
    <row r="66" spans="1:3" x14ac:dyDescent="0.2">
      <c r="A66" s="9" t="s">
        <v>63</v>
      </c>
      <c r="B66" s="9">
        <v>40</v>
      </c>
      <c r="C66" s="9">
        <v>0.88</v>
      </c>
    </row>
    <row r="67" spans="1:3" x14ac:dyDescent="0.2">
      <c r="A67" s="9" t="s">
        <v>63</v>
      </c>
      <c r="B67" s="9">
        <v>150</v>
      </c>
      <c r="C67" s="9">
        <v>2.2000000000000002</v>
      </c>
    </row>
    <row r="68" spans="1:3" x14ac:dyDescent="0.2">
      <c r="A68" s="9" t="s">
        <v>63</v>
      </c>
      <c r="B68" s="9">
        <v>150</v>
      </c>
      <c r="C68" s="9">
        <v>1.5</v>
      </c>
    </row>
    <row r="69" spans="1:3" x14ac:dyDescent="0.2">
      <c r="A69" s="9" t="s">
        <v>63</v>
      </c>
      <c r="B69" s="9">
        <v>150</v>
      </c>
      <c r="C69" s="9">
        <v>2.1</v>
      </c>
    </row>
    <row r="70" spans="1:3" x14ac:dyDescent="0.2">
      <c r="A70" s="9" t="s">
        <v>63</v>
      </c>
      <c r="B70" s="9">
        <v>20</v>
      </c>
      <c r="C70" s="9">
        <v>-1.1000000000000001</v>
      </c>
    </row>
    <row r="71" spans="1:3" x14ac:dyDescent="0.2">
      <c r="A71" s="9" t="s">
        <v>63</v>
      </c>
      <c r="B71" s="9">
        <v>20</v>
      </c>
      <c r="C71" s="9">
        <v>-1.4</v>
      </c>
    </row>
    <row r="72" spans="1:3" x14ac:dyDescent="0.2">
      <c r="A72" s="9" t="s">
        <v>63</v>
      </c>
      <c r="B72" s="9">
        <v>70</v>
      </c>
      <c r="C72" s="9">
        <v>-1.6</v>
      </c>
    </row>
    <row r="73" spans="1:3" x14ac:dyDescent="0.2">
      <c r="A73" s="9" t="s">
        <v>63</v>
      </c>
      <c r="B73" s="9">
        <v>70</v>
      </c>
      <c r="C73" s="9">
        <v>-1.3</v>
      </c>
    </row>
    <row r="74" spans="1:3" x14ac:dyDescent="0.2">
      <c r="A74" s="9" t="s">
        <v>62</v>
      </c>
      <c r="B74" s="9">
        <v>100</v>
      </c>
      <c r="C74" s="9">
        <v>-0.19</v>
      </c>
    </row>
    <row r="75" spans="1:3" x14ac:dyDescent="0.2">
      <c r="A75" s="9" t="s">
        <v>62</v>
      </c>
      <c r="B75" s="9">
        <v>100</v>
      </c>
      <c r="C75" s="9">
        <v>0.36</v>
      </c>
    </row>
    <row r="76" spans="1:3" x14ac:dyDescent="0.2">
      <c r="A76" s="9" t="s">
        <v>62</v>
      </c>
      <c r="B76" s="9">
        <v>100</v>
      </c>
      <c r="C76" s="9">
        <v>0.42</v>
      </c>
    </row>
    <row r="77" spans="1:3" x14ac:dyDescent="0.2">
      <c r="A77" s="9" t="s">
        <v>62</v>
      </c>
      <c r="B77" s="9">
        <v>100</v>
      </c>
      <c r="C77" s="9">
        <v>0.59</v>
      </c>
    </row>
    <row r="78" spans="1:3" x14ac:dyDescent="0.2">
      <c r="A78" s="9" t="s">
        <v>62</v>
      </c>
      <c r="B78" s="9">
        <v>300</v>
      </c>
      <c r="C78" s="9">
        <v>3.53</v>
      </c>
    </row>
    <row r="79" spans="1:3" x14ac:dyDescent="0.2">
      <c r="A79" s="9" t="s">
        <v>62</v>
      </c>
      <c r="B79" s="9">
        <v>300</v>
      </c>
      <c r="C79" s="9">
        <v>3.11</v>
      </c>
    </row>
    <row r="80" spans="1:3" x14ac:dyDescent="0.2">
      <c r="A80" s="9" t="s">
        <v>62</v>
      </c>
      <c r="B80" s="9">
        <v>300</v>
      </c>
      <c r="C80" s="9">
        <v>3.37</v>
      </c>
    </row>
    <row r="81" spans="1:3" x14ac:dyDescent="0.2">
      <c r="A81" s="9" t="s">
        <v>62</v>
      </c>
      <c r="B81" s="9">
        <v>300</v>
      </c>
      <c r="C81" s="9">
        <v>1.53</v>
      </c>
    </row>
    <row r="82" spans="1:3" x14ac:dyDescent="0.2">
      <c r="A82" s="9" t="s">
        <v>62</v>
      </c>
      <c r="B82" s="9">
        <v>500</v>
      </c>
      <c r="C82" s="9">
        <v>4.2</v>
      </c>
    </row>
    <row r="83" spans="1:3" x14ac:dyDescent="0.2">
      <c r="A83" s="9" t="s">
        <v>62</v>
      </c>
      <c r="B83" s="9">
        <v>500</v>
      </c>
      <c r="C83" s="9">
        <v>3.79</v>
      </c>
    </row>
    <row r="84" spans="1:3" x14ac:dyDescent="0.2">
      <c r="A84" s="9" t="s">
        <v>62</v>
      </c>
      <c r="B84" s="9">
        <v>500</v>
      </c>
      <c r="C84" s="9">
        <v>4.04</v>
      </c>
    </row>
    <row r="85" spans="1:3" x14ac:dyDescent="0.2">
      <c r="A85" s="9" t="s">
        <v>62</v>
      </c>
      <c r="B85" s="9">
        <v>500</v>
      </c>
      <c r="C85" s="9">
        <v>2.2000000000000002</v>
      </c>
    </row>
    <row r="86" spans="1:3" x14ac:dyDescent="0.2">
      <c r="A86" s="9" t="s">
        <v>62</v>
      </c>
      <c r="B86" s="9">
        <v>700</v>
      </c>
      <c r="C86" s="9">
        <v>4.0199999999999996</v>
      </c>
    </row>
    <row r="87" spans="1:3" x14ac:dyDescent="0.2">
      <c r="A87" s="9" t="s">
        <v>62</v>
      </c>
      <c r="B87" s="9">
        <v>700</v>
      </c>
      <c r="C87" s="9">
        <v>3.61</v>
      </c>
    </row>
    <row r="88" spans="1:3" x14ac:dyDescent="0.2">
      <c r="A88" s="9" t="s">
        <v>62</v>
      </c>
      <c r="B88" s="9">
        <v>700</v>
      </c>
      <c r="C88" s="9">
        <v>3.86</v>
      </c>
    </row>
    <row r="89" spans="1:3" x14ac:dyDescent="0.2">
      <c r="A89" s="9" t="s">
        <v>62</v>
      </c>
      <c r="B89" s="9">
        <v>700</v>
      </c>
      <c r="C89" s="9">
        <v>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MPs</vt:lpstr>
      <vt:lpstr>MPs_summary</vt:lpstr>
      <vt:lpstr>PhACs</vt:lpstr>
      <vt:lpstr>PhACs_summary</vt:lpstr>
      <vt:lpstr>ARGs</vt:lpstr>
      <vt:lpstr>ARGs_summary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Jianan</dc:creator>
  <cp:lastModifiedBy>Feng, Jianan</cp:lastModifiedBy>
  <dcterms:created xsi:type="dcterms:W3CDTF">2025-11-07T13:35:24Z</dcterms:created>
  <dcterms:modified xsi:type="dcterms:W3CDTF">2025-11-26T18:31:48Z</dcterms:modified>
</cp:coreProperties>
</file>