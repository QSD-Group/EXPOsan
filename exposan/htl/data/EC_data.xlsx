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anfeng/Desktop/UIUC_PhD/PhD_CEE/NSF/HTL_landscape/analyses/"/>
    </mc:Choice>
  </mc:AlternateContent>
  <xr:revisionPtr revIDLastSave="0" documentId="13_ncr:1_{CE3BD739-971B-4341-9E78-ACF4FAE0C810}" xr6:coauthVersionLast="47" xr6:coauthVersionMax="47" xr10:uidLastSave="{00000000-0000-0000-0000-000000000000}"/>
  <bookViews>
    <workbookView xWindow="3740" yWindow="1100" windowWidth="41440" windowHeight="26980" activeTab="11" xr2:uid="{42DB2A9E-6615-FD4F-B8E3-AF9C997560C5}"/>
  </bookViews>
  <sheets>
    <sheet name="metadata" sheetId="8" r:id="rId1"/>
    <sheet name="MPs_data" sheetId="6" r:id="rId2"/>
    <sheet name="MPs_summary" sheetId="7" r:id="rId3"/>
    <sheet name="MP_distribution" sheetId="9" r:id="rId4"/>
    <sheet name="PFOA_WWRS_data" sheetId="10" r:id="rId5"/>
    <sheet name="PFOS_WWRS_data" sheetId="11" r:id="rId6"/>
    <sheet name="PFAS_summary" sheetId="12" r:id="rId7"/>
    <sheet name="PhACs_air_data" sheetId="13" r:id="rId8"/>
    <sheet name="PhACs_summary" sheetId="14" r:id="rId9"/>
    <sheet name="PhACs_distribution" sheetId="15" r:id="rId10"/>
    <sheet name="ARGs_data" sheetId="16" r:id="rId11"/>
    <sheet name="ARGs_summary" sheetId="18" r:id="rId12"/>
    <sheet name="microplastics_superseded" sheetId="1" r:id="rId13"/>
    <sheet name="PFAS_superseded" sheetId="2" r:id="rId14"/>
    <sheet name="pesticide_superseded" sheetId="5" r:id="rId15"/>
    <sheet name="PhACs_superseded" sheetId="4" r:id="rId16"/>
    <sheet name="BPA_superseded" sheetId="3" r:id="rId17"/>
  </sheets>
  <definedNames>
    <definedName name="cite" localSheetId="13">PFAS_superseded!$C$625</definedName>
    <definedName name="metrics" localSheetId="13">PFAS_superseded!$C$635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15" l="1"/>
  <c r="A105" i="15"/>
  <c r="A55" i="15"/>
  <c r="A54" i="15"/>
  <c r="A49" i="15"/>
  <c r="A48" i="15"/>
  <c r="A47" i="15"/>
  <c r="B45" i="15"/>
  <c r="B56" i="15"/>
  <c r="A57" i="15"/>
  <c r="A56" i="15"/>
  <c r="A40" i="15"/>
  <c r="F40" i="15"/>
  <c r="A58" i="9"/>
  <c r="C59" i="9" s="1"/>
  <c r="B54" i="9"/>
  <c r="B46" i="9"/>
  <c r="F2967" i="16"/>
  <c r="F2968" i="16"/>
  <c r="F2969" i="16"/>
  <c r="F2970" i="16"/>
  <c r="F2971" i="16"/>
  <c r="F2972" i="16"/>
  <c r="F2973" i="16"/>
  <c r="F2974" i="16"/>
  <c r="F2975" i="16"/>
  <c r="F2976" i="16"/>
  <c r="F2977" i="16"/>
  <c r="F2978" i="16"/>
  <c r="F2979" i="16"/>
  <c r="F2980" i="16"/>
  <c r="F2981" i="16"/>
  <c r="F2982" i="16"/>
  <c r="F2983" i="16"/>
  <c r="F2984" i="16"/>
  <c r="F2985" i="16"/>
  <c r="F2986" i="16"/>
  <c r="F2987" i="16"/>
  <c r="F2988" i="16"/>
  <c r="F2989" i="16"/>
  <c r="F2990" i="16"/>
  <c r="F2991" i="16"/>
  <c r="F2992" i="16"/>
  <c r="F2993" i="16"/>
  <c r="F2994" i="16"/>
  <c r="F2995" i="16"/>
  <c r="F2996" i="16"/>
  <c r="F2997" i="16"/>
  <c r="F2998" i="16"/>
  <c r="F2999" i="16"/>
  <c r="F3000" i="16"/>
  <c r="F3001" i="16"/>
  <c r="F3002" i="16"/>
  <c r="F3003" i="16"/>
  <c r="F3004" i="16"/>
  <c r="F3005" i="16"/>
  <c r="F3006" i="16"/>
  <c r="F3007" i="16"/>
  <c r="F3008" i="16"/>
  <c r="F3009" i="16"/>
  <c r="F3010" i="16"/>
  <c r="F3011" i="16"/>
  <c r="F3012" i="16"/>
  <c r="F3013" i="16"/>
  <c r="F3014" i="16"/>
  <c r="F3015" i="16"/>
  <c r="F3016" i="16"/>
  <c r="F3017" i="16"/>
  <c r="F3018" i="16"/>
  <c r="F3019" i="16"/>
  <c r="F3020" i="16"/>
  <c r="F3021" i="16"/>
  <c r="F3022" i="16"/>
  <c r="F3023" i="16"/>
  <c r="F3024" i="16"/>
  <c r="F3025" i="16"/>
  <c r="F3026" i="16"/>
  <c r="F3027" i="16"/>
  <c r="F3028" i="16"/>
  <c r="F3029" i="16"/>
  <c r="F3030" i="16"/>
  <c r="F3031" i="16"/>
  <c r="F3032" i="16"/>
  <c r="F3033" i="16"/>
  <c r="F3034" i="16"/>
  <c r="F3035" i="16"/>
  <c r="F3036" i="16"/>
  <c r="F3037" i="16"/>
  <c r="F3038" i="16"/>
  <c r="F3039" i="16"/>
  <c r="F3040" i="16"/>
  <c r="F3041" i="16"/>
  <c r="F3042" i="16"/>
  <c r="F3043" i="16"/>
  <c r="F3044" i="16"/>
  <c r="F3045" i="16"/>
  <c r="F3046" i="16"/>
  <c r="F3047" i="16"/>
  <c r="F3048" i="16"/>
  <c r="F3049" i="16"/>
  <c r="F3050" i="16"/>
  <c r="F3051" i="16"/>
  <c r="F3052" i="16"/>
  <c r="F3053" i="16"/>
  <c r="F3054" i="16"/>
  <c r="F3055" i="16"/>
  <c r="F3056" i="16"/>
  <c r="F3057" i="16"/>
  <c r="F3058" i="16"/>
  <c r="F3059" i="16"/>
  <c r="F3060" i="16"/>
  <c r="F3061" i="16"/>
  <c r="F3062" i="16"/>
  <c r="F3063" i="16"/>
  <c r="F3064" i="16"/>
  <c r="F3065" i="16"/>
  <c r="F3066" i="16"/>
  <c r="F3067" i="16"/>
  <c r="F3068" i="16"/>
  <c r="F3069" i="16"/>
  <c r="F3070" i="16"/>
  <c r="F3071" i="16"/>
  <c r="F3072" i="16"/>
  <c r="F3073" i="16"/>
  <c r="F3074" i="16"/>
  <c r="F3075" i="16"/>
  <c r="F3076" i="16"/>
  <c r="F3077" i="16"/>
  <c r="F3078" i="16"/>
  <c r="F3079" i="16"/>
  <c r="F3080" i="16"/>
  <c r="F3081" i="16"/>
  <c r="F3082" i="16"/>
  <c r="F3083" i="16"/>
  <c r="F3084" i="16"/>
  <c r="F3085" i="16"/>
  <c r="F3086" i="16"/>
  <c r="F3087" i="16"/>
  <c r="F3088" i="16"/>
  <c r="F3089" i="16"/>
  <c r="F3090" i="16"/>
  <c r="F3091" i="16"/>
  <c r="F3092" i="16"/>
  <c r="F3093" i="16"/>
  <c r="F3094" i="16"/>
  <c r="F3095" i="16"/>
  <c r="F3096" i="16"/>
  <c r="F3097" i="16"/>
  <c r="F3098" i="16"/>
  <c r="F3099" i="16"/>
  <c r="F3100" i="16"/>
  <c r="F3101" i="16"/>
  <c r="F3102" i="16"/>
  <c r="F3103" i="16"/>
  <c r="F3104" i="16"/>
  <c r="F3105" i="16"/>
  <c r="F3106" i="16"/>
  <c r="F3107" i="16"/>
  <c r="F3108" i="16"/>
  <c r="F3109" i="16"/>
  <c r="F3110" i="16"/>
  <c r="F3111" i="16"/>
  <c r="F3112" i="16"/>
  <c r="F3113" i="16"/>
  <c r="F3114" i="16"/>
  <c r="F3115" i="16"/>
  <c r="F3116" i="16"/>
  <c r="F3117" i="16"/>
  <c r="F3118" i="16"/>
  <c r="F3119" i="16"/>
  <c r="F3120" i="16"/>
  <c r="F3121" i="16"/>
  <c r="F3122" i="16"/>
  <c r="F3123" i="16"/>
  <c r="F3124" i="16"/>
  <c r="F3125" i="16"/>
  <c r="F3126" i="16"/>
  <c r="F3127" i="16"/>
  <c r="F3128" i="16"/>
  <c r="F3129" i="16"/>
  <c r="F3130" i="16"/>
  <c r="F3131" i="16"/>
  <c r="F3132" i="16"/>
  <c r="F3133" i="16"/>
  <c r="F3134" i="16"/>
  <c r="F3135" i="16"/>
  <c r="F3136" i="16"/>
  <c r="F3137" i="16"/>
  <c r="F3138" i="16"/>
  <c r="F3139" i="16"/>
  <c r="F3140" i="16"/>
  <c r="F3141" i="16"/>
  <c r="F3142" i="16"/>
  <c r="F3143" i="16"/>
  <c r="F3144" i="16"/>
  <c r="F3145" i="16"/>
  <c r="F3146" i="16"/>
  <c r="F3147" i="16"/>
  <c r="F3148" i="16"/>
  <c r="F3149" i="16"/>
  <c r="F3150" i="16"/>
  <c r="F3151" i="16"/>
  <c r="F3152" i="16"/>
  <c r="F3153" i="16"/>
  <c r="F3154" i="16"/>
  <c r="F3155" i="16"/>
  <c r="F3156" i="16"/>
  <c r="F3157" i="16"/>
  <c r="F3158" i="16"/>
  <c r="F3159" i="16"/>
  <c r="F3160" i="16"/>
  <c r="F3161" i="16"/>
  <c r="F3162" i="16"/>
  <c r="F3163" i="16"/>
  <c r="F3164" i="16"/>
  <c r="F3165" i="16"/>
  <c r="F3166" i="16"/>
  <c r="F3167" i="16"/>
  <c r="F3168" i="16"/>
  <c r="F3169" i="16"/>
  <c r="F3170" i="16"/>
  <c r="F3171" i="16"/>
  <c r="F3172" i="16"/>
  <c r="F3173" i="16"/>
  <c r="F3174" i="16"/>
  <c r="F3175" i="16"/>
  <c r="F3176" i="16"/>
  <c r="F3177" i="16"/>
  <c r="F3178" i="16"/>
  <c r="F3179" i="16"/>
  <c r="F3180" i="16"/>
  <c r="F3181" i="16"/>
  <c r="F3182" i="16"/>
  <c r="F3183" i="16"/>
  <c r="F3184" i="16"/>
  <c r="F3185" i="16"/>
  <c r="F3186" i="16"/>
  <c r="F3187" i="16"/>
  <c r="F3188" i="16"/>
  <c r="F3189" i="16"/>
  <c r="F3190" i="16"/>
  <c r="F3191" i="16"/>
  <c r="F3192" i="16"/>
  <c r="F3193" i="16"/>
  <c r="F3194" i="16"/>
  <c r="F3195" i="16"/>
  <c r="F3196" i="16"/>
  <c r="F3197" i="16"/>
  <c r="F3198" i="16"/>
  <c r="F3199" i="16"/>
  <c r="F3200" i="16"/>
  <c r="F3201" i="16"/>
  <c r="F3202" i="16"/>
  <c r="F3203" i="16"/>
  <c r="F3204" i="16"/>
  <c r="F3205" i="16"/>
  <c r="F3206" i="16"/>
  <c r="F3207" i="16"/>
  <c r="F3208" i="16"/>
  <c r="F3209" i="16"/>
  <c r="F3210" i="16"/>
  <c r="F3211" i="16"/>
  <c r="F3212" i="16"/>
  <c r="F3213" i="16"/>
  <c r="F3214" i="16"/>
  <c r="F3215" i="16"/>
  <c r="F3216" i="16"/>
  <c r="F3217" i="16"/>
  <c r="F3218" i="16"/>
  <c r="F3219" i="16"/>
  <c r="F3220" i="16"/>
  <c r="F3221" i="16"/>
  <c r="F3222" i="16"/>
  <c r="F3223" i="16"/>
  <c r="F3224" i="16"/>
  <c r="F3225" i="16"/>
  <c r="F3226" i="16"/>
  <c r="F3227" i="16"/>
  <c r="F3228" i="16"/>
  <c r="F3229" i="16"/>
  <c r="F3230" i="16"/>
  <c r="F3231" i="16"/>
  <c r="F3232" i="16"/>
  <c r="F3233" i="16"/>
  <c r="F3234" i="16"/>
  <c r="F3235" i="16"/>
  <c r="F3236" i="16"/>
  <c r="F3237" i="16"/>
  <c r="F3238" i="16"/>
  <c r="F3239" i="16"/>
  <c r="F3240" i="16"/>
  <c r="F3241" i="16"/>
  <c r="F3242" i="16"/>
  <c r="F3243" i="16"/>
  <c r="F3244" i="16"/>
  <c r="F3245" i="16"/>
  <c r="F3246" i="16"/>
  <c r="F3247" i="16"/>
  <c r="F3248" i="16"/>
  <c r="F3249" i="16"/>
  <c r="F3250" i="16"/>
  <c r="F3251" i="16"/>
  <c r="F3252" i="16"/>
  <c r="F3253" i="16"/>
  <c r="F3254" i="16"/>
  <c r="F3255" i="16"/>
  <c r="F3256" i="16"/>
  <c r="F3257" i="16"/>
  <c r="F3258" i="16"/>
  <c r="F3259" i="16"/>
  <c r="F3260" i="16"/>
  <c r="F3261" i="16"/>
  <c r="F3262" i="16"/>
  <c r="F3263" i="16"/>
  <c r="F3264" i="16"/>
  <c r="F3265" i="16"/>
  <c r="F3266" i="16"/>
  <c r="F3267" i="16"/>
  <c r="F3268" i="16"/>
  <c r="F3269" i="16"/>
  <c r="F3270" i="16"/>
  <c r="F3271" i="16"/>
  <c r="F3272" i="16"/>
  <c r="F3273" i="16"/>
  <c r="F3274" i="16"/>
  <c r="F3275" i="16"/>
  <c r="F3276" i="16"/>
  <c r="F3277" i="16"/>
  <c r="F3278" i="16"/>
  <c r="F3279" i="16"/>
  <c r="F3280" i="16"/>
  <c r="F3281" i="16"/>
  <c r="F3282" i="16"/>
  <c r="F3283" i="16"/>
  <c r="F3284" i="16"/>
  <c r="F3285" i="16"/>
  <c r="F3286" i="16"/>
  <c r="F3287" i="16"/>
  <c r="F3288" i="16"/>
  <c r="F3289" i="16"/>
  <c r="F3290" i="16"/>
  <c r="F3291" i="16"/>
  <c r="F3292" i="16"/>
  <c r="F3293" i="16"/>
  <c r="F3294" i="16"/>
  <c r="F3295" i="16"/>
  <c r="F3296" i="16"/>
  <c r="F3297" i="16"/>
  <c r="F3298" i="16"/>
  <c r="F3299" i="16"/>
  <c r="F3300" i="16"/>
  <c r="F3301" i="16"/>
  <c r="F3302" i="16"/>
  <c r="F3303" i="16"/>
  <c r="F3304" i="16"/>
  <c r="F3305" i="16"/>
  <c r="F3306" i="16"/>
  <c r="F3307" i="16"/>
  <c r="F3308" i="16"/>
  <c r="F3309" i="16"/>
  <c r="F3310" i="16"/>
  <c r="F3311" i="16"/>
  <c r="F3312" i="16"/>
  <c r="F3313" i="16"/>
  <c r="F3314" i="16"/>
  <c r="F3315" i="16"/>
  <c r="F3316" i="16"/>
  <c r="F3317" i="16"/>
  <c r="F3318" i="16"/>
  <c r="F3319" i="16"/>
  <c r="F3320" i="16"/>
  <c r="F3321" i="16"/>
  <c r="F3322" i="16"/>
  <c r="F3323" i="16"/>
  <c r="F3324" i="16"/>
  <c r="F3325" i="16"/>
  <c r="F3326" i="16"/>
  <c r="F3327" i="16"/>
  <c r="F3328" i="16"/>
  <c r="F3329" i="16"/>
  <c r="F3330" i="16"/>
  <c r="F3331" i="16"/>
  <c r="F3332" i="16"/>
  <c r="F3333" i="16"/>
  <c r="F3334" i="16"/>
  <c r="F3335" i="16"/>
  <c r="F3336" i="16"/>
  <c r="F3337" i="16"/>
  <c r="F3338" i="16"/>
  <c r="F3339" i="16"/>
  <c r="F3340" i="16"/>
  <c r="F3341" i="16"/>
  <c r="F3342" i="16"/>
  <c r="F3343" i="16"/>
  <c r="F3344" i="16"/>
  <c r="F3345" i="16"/>
  <c r="F3346" i="16"/>
  <c r="F3347" i="16"/>
  <c r="F3348" i="16"/>
  <c r="F3349" i="16"/>
  <c r="F3350" i="16"/>
  <c r="F3351" i="16"/>
  <c r="F3352" i="16"/>
  <c r="F3353" i="16"/>
  <c r="F3354" i="16"/>
  <c r="F3355" i="16"/>
  <c r="F3356" i="16"/>
  <c r="F3357" i="16"/>
  <c r="F3358" i="16"/>
  <c r="F3359" i="16"/>
  <c r="F3360" i="16"/>
  <c r="F3361" i="16"/>
  <c r="F3362" i="16"/>
  <c r="F3363" i="16"/>
  <c r="F3364" i="16"/>
  <c r="F3365" i="16"/>
  <c r="F3366" i="16"/>
  <c r="F3367" i="16"/>
  <c r="F3368" i="16"/>
  <c r="F3369" i="16"/>
  <c r="F3370" i="16"/>
  <c r="F3371" i="16"/>
  <c r="F3372" i="16"/>
  <c r="F3373" i="16"/>
  <c r="F3374" i="16"/>
  <c r="F3375" i="16"/>
  <c r="F3376" i="16"/>
  <c r="F3377" i="16"/>
  <c r="F3378" i="16"/>
  <c r="F3379" i="16"/>
  <c r="F3380" i="16"/>
  <c r="F3381" i="16"/>
  <c r="F3382" i="16"/>
  <c r="F3383" i="16"/>
  <c r="F3384" i="16"/>
  <c r="F3385" i="16"/>
  <c r="F3386" i="16"/>
  <c r="F3387" i="16"/>
  <c r="F3388" i="16"/>
  <c r="F3389" i="16"/>
  <c r="F3390" i="16"/>
  <c r="F3391" i="16"/>
  <c r="F3392" i="16"/>
  <c r="F3393" i="16"/>
  <c r="F3394" i="16"/>
  <c r="F3395" i="16"/>
  <c r="F3396" i="16"/>
  <c r="F3397" i="16"/>
  <c r="F3398" i="16"/>
  <c r="F3399" i="16"/>
  <c r="F3400" i="16"/>
  <c r="F3401" i="16"/>
  <c r="F3402" i="16"/>
  <c r="F3403" i="16"/>
  <c r="F3404" i="16"/>
  <c r="F3405" i="16"/>
  <c r="F3406" i="16"/>
  <c r="F3407" i="16"/>
  <c r="F3408" i="16"/>
  <c r="F3409" i="16"/>
  <c r="F3410" i="16"/>
  <c r="F3411" i="16"/>
  <c r="F3412" i="16"/>
  <c r="F3413" i="16"/>
  <c r="F3414" i="16"/>
  <c r="F3415" i="16"/>
  <c r="F3416" i="16"/>
  <c r="F3417" i="16"/>
  <c r="F3418" i="16"/>
  <c r="F3419" i="16"/>
  <c r="F3420" i="16"/>
  <c r="F3421" i="16"/>
  <c r="F3422" i="16"/>
  <c r="F3423" i="16"/>
  <c r="F3424" i="16"/>
  <c r="F2964" i="16"/>
  <c r="D2966" i="16"/>
  <c r="F2966" i="16" s="1"/>
  <c r="D2965" i="16"/>
  <c r="F2965" i="16" s="1"/>
  <c r="F2684" i="16"/>
  <c r="F2685" i="16"/>
  <c r="F2686" i="16"/>
  <c r="F2687" i="16"/>
  <c r="F2688" i="16"/>
  <c r="F2689" i="16"/>
  <c r="F2690" i="16"/>
  <c r="F2691" i="16"/>
  <c r="F2692" i="16"/>
  <c r="F2693" i="16"/>
  <c r="F2694" i="16"/>
  <c r="F2695" i="16"/>
  <c r="F2696" i="16"/>
  <c r="F2697" i="16"/>
  <c r="F2698" i="16"/>
  <c r="F2699" i="16"/>
  <c r="F2700" i="16"/>
  <c r="F2701" i="16"/>
  <c r="F2702" i="16"/>
  <c r="F2703" i="16"/>
  <c r="F2704" i="16"/>
  <c r="F2705" i="16"/>
  <c r="F2706" i="16"/>
  <c r="F2707" i="16"/>
  <c r="F2708" i="16"/>
  <c r="F2709" i="16"/>
  <c r="F2710" i="16"/>
  <c r="F2711" i="16"/>
  <c r="F2712" i="16"/>
  <c r="F2713" i="16"/>
  <c r="F2714" i="16"/>
  <c r="F2715" i="16"/>
  <c r="F2716" i="16"/>
  <c r="F2717" i="16"/>
  <c r="F2718" i="16"/>
  <c r="F2719" i="16"/>
  <c r="F2720" i="16"/>
  <c r="F2721" i="16"/>
  <c r="F2722" i="16"/>
  <c r="F2723" i="16"/>
  <c r="F2724" i="16"/>
  <c r="F2725" i="16"/>
  <c r="F2726" i="16"/>
  <c r="F2727" i="16"/>
  <c r="F2728" i="16"/>
  <c r="F2729" i="16"/>
  <c r="F2730" i="16"/>
  <c r="F2731" i="16"/>
  <c r="F2732" i="16"/>
  <c r="F2733" i="16"/>
  <c r="F2734" i="16"/>
  <c r="F2735" i="16"/>
  <c r="F2736" i="16"/>
  <c r="F2737" i="16"/>
  <c r="F2738" i="16"/>
  <c r="F2739" i="16"/>
  <c r="F2740" i="16"/>
  <c r="F2741" i="16"/>
  <c r="F2742" i="16"/>
  <c r="F2743" i="16"/>
  <c r="F2744" i="16"/>
  <c r="F2745" i="16"/>
  <c r="F2746" i="16"/>
  <c r="F2747" i="16"/>
  <c r="F2748" i="16"/>
  <c r="F2749" i="16"/>
  <c r="F2750" i="16"/>
  <c r="F2751" i="16"/>
  <c r="F2752" i="16"/>
  <c r="F2753" i="16"/>
  <c r="F2754" i="16"/>
  <c r="F2755" i="16"/>
  <c r="F2756" i="16"/>
  <c r="F2757" i="16"/>
  <c r="F2758" i="16"/>
  <c r="F2759" i="16"/>
  <c r="F2760" i="16"/>
  <c r="F2761" i="16"/>
  <c r="F2762" i="16"/>
  <c r="F2763" i="16"/>
  <c r="F2764" i="16"/>
  <c r="F2765" i="16"/>
  <c r="F2766" i="16"/>
  <c r="F2767" i="16"/>
  <c r="F2768" i="16"/>
  <c r="F2769" i="16"/>
  <c r="F2770" i="16"/>
  <c r="F2771" i="16"/>
  <c r="F2772" i="16"/>
  <c r="F2773" i="16"/>
  <c r="F2774" i="16"/>
  <c r="F2775" i="16"/>
  <c r="F2776" i="16"/>
  <c r="F2777" i="16"/>
  <c r="F2778" i="16"/>
  <c r="F2779" i="16"/>
  <c r="F2780" i="16"/>
  <c r="F2781" i="16"/>
  <c r="F2782" i="16"/>
  <c r="F2783" i="16"/>
  <c r="F2784" i="16"/>
  <c r="F2785" i="16"/>
  <c r="F2786" i="16"/>
  <c r="F2787" i="16"/>
  <c r="F2788" i="16"/>
  <c r="F2789" i="16"/>
  <c r="F2790" i="16"/>
  <c r="F2791" i="16"/>
  <c r="F2792" i="16"/>
  <c r="F2793" i="16"/>
  <c r="F2794" i="16"/>
  <c r="F2795" i="16"/>
  <c r="F2796" i="16"/>
  <c r="F2797" i="16"/>
  <c r="F2798" i="16"/>
  <c r="F2799" i="16"/>
  <c r="F2800" i="16"/>
  <c r="F2801" i="16"/>
  <c r="F2802" i="16"/>
  <c r="F2803" i="16"/>
  <c r="F2804" i="16"/>
  <c r="F2805" i="16"/>
  <c r="F2806" i="16"/>
  <c r="F2807" i="16"/>
  <c r="F2808" i="16"/>
  <c r="F2809" i="16"/>
  <c r="F2810" i="16"/>
  <c r="F2811" i="16"/>
  <c r="F2812" i="16"/>
  <c r="F2813" i="16"/>
  <c r="F2814" i="16"/>
  <c r="F2815" i="16"/>
  <c r="F2816" i="16"/>
  <c r="F2817" i="16"/>
  <c r="F2818" i="16"/>
  <c r="F2819" i="16"/>
  <c r="F2820" i="16"/>
  <c r="F2821" i="16"/>
  <c r="F2822" i="16"/>
  <c r="F2823" i="16"/>
  <c r="F2824" i="16"/>
  <c r="F2825" i="16"/>
  <c r="F2826" i="16"/>
  <c r="F2827" i="16"/>
  <c r="F2828" i="16"/>
  <c r="F2829" i="16"/>
  <c r="F2830" i="16"/>
  <c r="F2831" i="16"/>
  <c r="F2832" i="16"/>
  <c r="F2833" i="16"/>
  <c r="F2834" i="16"/>
  <c r="F2835" i="16"/>
  <c r="F2836" i="16"/>
  <c r="F2837" i="16"/>
  <c r="F2838" i="16"/>
  <c r="F2839" i="16"/>
  <c r="F2840" i="16"/>
  <c r="F2841" i="16"/>
  <c r="F2842" i="16"/>
  <c r="F2843" i="16"/>
  <c r="F2844" i="16"/>
  <c r="F2845" i="16"/>
  <c r="F2846" i="16"/>
  <c r="F2847" i="16"/>
  <c r="F2848" i="16"/>
  <c r="F2849" i="16"/>
  <c r="F2850" i="16"/>
  <c r="F2851" i="16"/>
  <c r="F2852" i="16"/>
  <c r="F2853" i="16"/>
  <c r="F2854" i="16"/>
  <c r="F2855" i="16"/>
  <c r="F2856" i="16"/>
  <c r="F2857" i="16"/>
  <c r="F2858" i="16"/>
  <c r="F2859" i="16"/>
  <c r="F2860" i="16"/>
  <c r="F2861" i="16"/>
  <c r="F2862" i="16"/>
  <c r="F2863" i="16"/>
  <c r="F2864" i="16"/>
  <c r="F2865" i="16"/>
  <c r="F2866" i="16"/>
  <c r="F2867" i="16"/>
  <c r="F2868" i="16"/>
  <c r="F2869" i="16"/>
  <c r="F2870" i="16"/>
  <c r="F2871" i="16"/>
  <c r="F2872" i="16"/>
  <c r="F2873" i="16"/>
  <c r="F2874" i="16"/>
  <c r="F2875" i="16"/>
  <c r="F2876" i="16"/>
  <c r="F2877" i="16"/>
  <c r="F2878" i="16"/>
  <c r="F2879" i="16"/>
  <c r="F2880" i="16"/>
  <c r="F2881" i="16"/>
  <c r="F2882" i="16"/>
  <c r="F2883" i="16"/>
  <c r="F2884" i="16"/>
  <c r="F2885" i="16"/>
  <c r="F2886" i="16"/>
  <c r="F2887" i="16"/>
  <c r="F2888" i="16"/>
  <c r="F2889" i="16"/>
  <c r="F2890" i="16"/>
  <c r="F2891" i="16"/>
  <c r="F2892" i="16"/>
  <c r="F2893" i="16"/>
  <c r="F2894" i="16"/>
  <c r="F2895" i="16"/>
  <c r="F2896" i="16"/>
  <c r="F2897" i="16"/>
  <c r="F2898" i="16"/>
  <c r="F2899" i="16"/>
  <c r="F2900" i="16"/>
  <c r="F2901" i="16"/>
  <c r="F2902" i="16"/>
  <c r="F2903" i="16"/>
  <c r="F2904" i="16"/>
  <c r="F2905" i="16"/>
  <c r="F2906" i="16"/>
  <c r="F2907" i="16"/>
  <c r="F2908" i="16"/>
  <c r="F2909" i="16"/>
  <c r="F2910" i="16"/>
  <c r="F2911" i="16"/>
  <c r="F2912" i="16"/>
  <c r="F2913" i="16"/>
  <c r="F2914" i="16"/>
  <c r="F2915" i="16"/>
  <c r="F2916" i="16"/>
  <c r="F2917" i="16"/>
  <c r="F2918" i="16"/>
  <c r="F2919" i="16"/>
  <c r="F2920" i="16"/>
  <c r="F2921" i="16"/>
  <c r="F2922" i="16"/>
  <c r="F2923" i="16"/>
  <c r="F2924" i="16"/>
  <c r="F2925" i="16"/>
  <c r="F2926" i="16"/>
  <c r="F2927" i="16"/>
  <c r="F2928" i="16"/>
  <c r="F2929" i="16"/>
  <c r="F2930" i="16"/>
  <c r="F2931" i="16"/>
  <c r="F2932" i="16"/>
  <c r="F2933" i="16"/>
  <c r="F2934" i="16"/>
  <c r="F2935" i="16"/>
  <c r="F2936" i="16"/>
  <c r="F2937" i="16"/>
  <c r="F2938" i="16"/>
  <c r="F2939" i="16"/>
  <c r="F2940" i="16"/>
  <c r="F2941" i="16"/>
  <c r="F2942" i="16"/>
  <c r="F2943" i="16"/>
  <c r="F2944" i="16"/>
  <c r="F2945" i="16"/>
  <c r="F2946" i="16"/>
  <c r="F2947" i="16"/>
  <c r="F2948" i="16"/>
  <c r="F2949" i="16"/>
  <c r="F2950" i="16"/>
  <c r="F2951" i="16"/>
  <c r="F2952" i="16"/>
  <c r="F2953" i="16"/>
  <c r="F2954" i="16"/>
  <c r="F2955" i="16"/>
  <c r="F2956" i="16"/>
  <c r="F2957" i="16"/>
  <c r="F2958" i="16"/>
  <c r="F2959" i="16"/>
  <c r="F2960" i="16"/>
  <c r="F2961" i="16"/>
  <c r="F2962" i="16"/>
  <c r="F2963" i="16"/>
  <c r="F2683" i="16"/>
  <c r="F2286" i="16"/>
  <c r="F2287" i="16"/>
  <c r="F2288" i="16"/>
  <c r="F2289" i="16"/>
  <c r="F2290" i="16"/>
  <c r="F2291" i="16"/>
  <c r="F2292" i="16"/>
  <c r="F2293" i="16"/>
  <c r="F2294" i="16"/>
  <c r="F2295" i="16"/>
  <c r="F2296" i="16"/>
  <c r="F2297" i="16"/>
  <c r="F2298" i="16"/>
  <c r="F2299" i="16"/>
  <c r="F2300" i="16"/>
  <c r="F2301" i="16"/>
  <c r="F2302" i="16"/>
  <c r="F2303" i="16"/>
  <c r="F2304" i="16"/>
  <c r="F2305" i="16"/>
  <c r="F2306" i="16"/>
  <c r="F2307" i="16"/>
  <c r="F2308" i="16"/>
  <c r="F2309" i="16"/>
  <c r="F2310" i="16"/>
  <c r="F2311" i="16"/>
  <c r="F2312" i="16"/>
  <c r="F2313" i="16"/>
  <c r="F2314" i="16"/>
  <c r="F2315" i="16"/>
  <c r="F2316" i="16"/>
  <c r="F2317" i="16"/>
  <c r="F2318" i="16"/>
  <c r="F2319" i="16"/>
  <c r="F2320" i="16"/>
  <c r="F2321" i="16"/>
  <c r="F2322" i="16"/>
  <c r="F2323" i="16"/>
  <c r="F2324" i="16"/>
  <c r="F2325" i="16"/>
  <c r="F2326" i="16"/>
  <c r="F2327" i="16"/>
  <c r="F2328" i="16"/>
  <c r="F2329" i="16"/>
  <c r="F2330" i="16"/>
  <c r="F2331" i="16"/>
  <c r="F2332" i="16"/>
  <c r="F2333" i="16"/>
  <c r="F2334" i="16"/>
  <c r="F2335" i="16"/>
  <c r="F2336" i="16"/>
  <c r="F2337" i="16"/>
  <c r="F2338" i="16"/>
  <c r="F2339" i="16"/>
  <c r="F2340" i="16"/>
  <c r="F2341" i="16"/>
  <c r="F2342" i="16"/>
  <c r="F2343" i="16"/>
  <c r="F2344" i="16"/>
  <c r="F2345" i="16"/>
  <c r="F2346" i="16"/>
  <c r="F2347" i="16"/>
  <c r="F2348" i="16"/>
  <c r="F2349" i="16"/>
  <c r="F2350" i="16"/>
  <c r="F2351" i="16"/>
  <c r="F2352" i="16"/>
  <c r="F2353" i="16"/>
  <c r="F2354" i="16"/>
  <c r="F2355" i="16"/>
  <c r="F2356" i="16"/>
  <c r="F2357" i="16"/>
  <c r="F2358" i="16"/>
  <c r="F2359" i="16"/>
  <c r="F2360" i="16"/>
  <c r="F2361" i="16"/>
  <c r="F2362" i="16"/>
  <c r="F2363" i="16"/>
  <c r="F2364" i="16"/>
  <c r="F2365" i="16"/>
  <c r="F2366" i="16"/>
  <c r="F2367" i="16"/>
  <c r="F2368" i="16"/>
  <c r="F2369" i="16"/>
  <c r="F2370" i="16"/>
  <c r="F2371" i="16"/>
  <c r="F2372" i="16"/>
  <c r="F2373" i="16"/>
  <c r="F2374" i="16"/>
  <c r="F2375" i="16"/>
  <c r="F2376" i="16"/>
  <c r="F2377" i="16"/>
  <c r="F2378" i="16"/>
  <c r="F2379" i="16"/>
  <c r="F2380" i="16"/>
  <c r="F2381" i="16"/>
  <c r="F2382" i="16"/>
  <c r="F2383" i="16"/>
  <c r="F2384" i="16"/>
  <c r="F2385" i="16"/>
  <c r="F2386" i="16"/>
  <c r="F2387" i="16"/>
  <c r="F2388" i="16"/>
  <c r="F2389" i="16"/>
  <c r="F2390" i="16"/>
  <c r="F2391" i="16"/>
  <c r="F2392" i="16"/>
  <c r="F2393" i="16"/>
  <c r="F2394" i="16"/>
  <c r="F2395" i="16"/>
  <c r="F2396" i="16"/>
  <c r="F2397" i="16"/>
  <c r="F2398" i="16"/>
  <c r="F2399" i="16"/>
  <c r="F2400" i="16"/>
  <c r="F2401" i="16"/>
  <c r="F2402" i="16"/>
  <c r="F2403" i="16"/>
  <c r="F2404" i="16"/>
  <c r="F2405" i="16"/>
  <c r="F2406" i="16"/>
  <c r="F2407" i="16"/>
  <c r="F2408" i="16"/>
  <c r="F2409" i="16"/>
  <c r="F2410" i="16"/>
  <c r="F2411" i="16"/>
  <c r="F2412" i="16"/>
  <c r="F2413" i="16"/>
  <c r="F2414" i="16"/>
  <c r="F2415" i="16"/>
  <c r="F2416" i="16"/>
  <c r="F2417" i="16"/>
  <c r="F2418" i="16"/>
  <c r="F2419" i="16"/>
  <c r="F2420" i="16"/>
  <c r="F2421" i="16"/>
  <c r="F2422" i="16"/>
  <c r="F2423" i="16"/>
  <c r="F2424" i="16"/>
  <c r="F2425" i="16"/>
  <c r="F2426" i="16"/>
  <c r="F2427" i="16"/>
  <c r="F2428" i="16"/>
  <c r="F2429" i="16"/>
  <c r="F2430" i="16"/>
  <c r="F2431" i="16"/>
  <c r="F2432" i="16"/>
  <c r="F2433" i="16"/>
  <c r="F2434" i="16"/>
  <c r="F2435" i="16"/>
  <c r="F2436" i="16"/>
  <c r="F2437" i="16"/>
  <c r="F2438" i="16"/>
  <c r="F2439" i="16"/>
  <c r="F2440" i="16"/>
  <c r="F2441" i="16"/>
  <c r="F2442" i="16"/>
  <c r="F2443" i="16"/>
  <c r="F2444" i="16"/>
  <c r="F2445" i="16"/>
  <c r="F2446" i="16"/>
  <c r="F2447" i="16"/>
  <c r="F2448" i="16"/>
  <c r="F2449" i="16"/>
  <c r="F2450" i="16"/>
  <c r="F2451" i="16"/>
  <c r="F2452" i="16"/>
  <c r="F2453" i="16"/>
  <c r="F2454" i="16"/>
  <c r="F2455" i="16"/>
  <c r="F2456" i="16"/>
  <c r="F2457" i="16"/>
  <c r="F2458" i="16"/>
  <c r="F2459" i="16"/>
  <c r="F2460" i="16"/>
  <c r="F2461" i="16"/>
  <c r="F2462" i="16"/>
  <c r="F2463" i="16"/>
  <c r="F2464" i="16"/>
  <c r="F2465" i="16"/>
  <c r="F2466" i="16"/>
  <c r="F2467" i="16"/>
  <c r="F2468" i="16"/>
  <c r="F2469" i="16"/>
  <c r="F2470" i="16"/>
  <c r="F2471" i="16"/>
  <c r="F2472" i="16"/>
  <c r="F2473" i="16"/>
  <c r="F2474" i="16"/>
  <c r="F2475" i="16"/>
  <c r="F2476" i="16"/>
  <c r="F2477" i="16"/>
  <c r="F2478" i="16"/>
  <c r="F2479" i="16"/>
  <c r="F2480" i="16"/>
  <c r="F2481" i="16"/>
  <c r="F2482" i="16"/>
  <c r="F2483" i="16"/>
  <c r="F2484" i="16"/>
  <c r="F2485" i="16"/>
  <c r="F2486" i="16"/>
  <c r="F2487" i="16"/>
  <c r="F2488" i="16"/>
  <c r="F2489" i="16"/>
  <c r="F2490" i="16"/>
  <c r="F2491" i="16"/>
  <c r="F2492" i="16"/>
  <c r="F2493" i="16"/>
  <c r="F2494" i="16"/>
  <c r="F2495" i="16"/>
  <c r="F2496" i="16"/>
  <c r="F2497" i="16"/>
  <c r="F2498" i="16"/>
  <c r="F2499" i="16"/>
  <c r="F2500" i="16"/>
  <c r="F2501" i="16"/>
  <c r="F2502" i="16"/>
  <c r="F2503" i="16"/>
  <c r="F2504" i="16"/>
  <c r="F2505" i="16"/>
  <c r="F2506" i="16"/>
  <c r="F2507" i="16"/>
  <c r="F2508" i="16"/>
  <c r="F2509" i="16"/>
  <c r="F2510" i="16"/>
  <c r="F2511" i="16"/>
  <c r="F2512" i="16"/>
  <c r="F2513" i="16"/>
  <c r="F2514" i="16"/>
  <c r="F2515" i="16"/>
  <c r="F2516" i="16"/>
  <c r="F2517" i="16"/>
  <c r="F2518" i="16"/>
  <c r="F2519" i="16"/>
  <c r="F2520" i="16"/>
  <c r="F2521" i="16"/>
  <c r="F2522" i="16"/>
  <c r="F2523" i="16"/>
  <c r="F2524" i="16"/>
  <c r="F2525" i="16"/>
  <c r="F2526" i="16"/>
  <c r="F2527" i="16"/>
  <c r="F2528" i="16"/>
  <c r="F2529" i="16"/>
  <c r="F2530" i="16"/>
  <c r="F2531" i="16"/>
  <c r="F2532" i="16"/>
  <c r="F2533" i="16"/>
  <c r="F2534" i="16"/>
  <c r="F2535" i="16"/>
  <c r="F2536" i="16"/>
  <c r="F2537" i="16"/>
  <c r="F2538" i="16"/>
  <c r="F2539" i="16"/>
  <c r="F2540" i="16"/>
  <c r="F2541" i="16"/>
  <c r="F2542" i="16"/>
  <c r="F2543" i="16"/>
  <c r="F2544" i="16"/>
  <c r="F2545" i="16"/>
  <c r="F2546" i="16"/>
  <c r="F2547" i="16"/>
  <c r="F2548" i="16"/>
  <c r="F2549" i="16"/>
  <c r="F2550" i="16"/>
  <c r="F2551" i="16"/>
  <c r="F2552" i="16"/>
  <c r="F2553" i="16"/>
  <c r="F2554" i="16"/>
  <c r="F2555" i="16"/>
  <c r="F2556" i="16"/>
  <c r="F2557" i="16"/>
  <c r="F2558" i="16"/>
  <c r="F2559" i="16"/>
  <c r="F2560" i="16"/>
  <c r="F2561" i="16"/>
  <c r="F2562" i="16"/>
  <c r="F2563" i="16"/>
  <c r="F2564" i="16"/>
  <c r="F2565" i="16"/>
  <c r="F2566" i="16"/>
  <c r="F2567" i="16"/>
  <c r="F2568" i="16"/>
  <c r="F2569" i="16"/>
  <c r="F2570" i="16"/>
  <c r="F2571" i="16"/>
  <c r="F2572" i="16"/>
  <c r="F2573" i="16"/>
  <c r="F2574" i="16"/>
  <c r="F2575" i="16"/>
  <c r="F2576" i="16"/>
  <c r="F2577" i="16"/>
  <c r="F2578" i="16"/>
  <c r="F2579" i="16"/>
  <c r="F2580" i="16"/>
  <c r="F2581" i="16"/>
  <c r="F2582" i="16"/>
  <c r="F2583" i="16"/>
  <c r="F2584" i="16"/>
  <c r="F2585" i="16"/>
  <c r="F2586" i="16"/>
  <c r="F2587" i="16"/>
  <c r="F2588" i="16"/>
  <c r="F2589" i="16"/>
  <c r="F2590" i="16"/>
  <c r="F2591" i="16"/>
  <c r="F2592" i="16"/>
  <c r="F2593" i="16"/>
  <c r="F2594" i="16"/>
  <c r="F2595" i="16"/>
  <c r="F2596" i="16"/>
  <c r="F2597" i="16"/>
  <c r="F2598" i="16"/>
  <c r="F2599" i="16"/>
  <c r="F2600" i="16"/>
  <c r="F2601" i="16"/>
  <c r="F2602" i="16"/>
  <c r="F2603" i="16"/>
  <c r="F2604" i="16"/>
  <c r="F2605" i="16"/>
  <c r="F2606" i="16"/>
  <c r="F2607" i="16"/>
  <c r="F2608" i="16"/>
  <c r="F2609" i="16"/>
  <c r="F2610" i="16"/>
  <c r="F2611" i="16"/>
  <c r="F2612" i="16"/>
  <c r="F2613" i="16"/>
  <c r="F2614" i="16"/>
  <c r="F2615" i="16"/>
  <c r="F2616" i="16"/>
  <c r="F2617" i="16"/>
  <c r="F2618" i="16"/>
  <c r="F2619" i="16"/>
  <c r="F2620" i="16"/>
  <c r="F2621" i="16"/>
  <c r="F2622" i="16"/>
  <c r="F2623" i="16"/>
  <c r="F2624" i="16"/>
  <c r="F2625" i="16"/>
  <c r="F2626" i="16"/>
  <c r="F2627" i="16"/>
  <c r="F2628" i="16"/>
  <c r="F2629" i="16"/>
  <c r="F2630" i="16"/>
  <c r="F2631" i="16"/>
  <c r="F2632" i="16"/>
  <c r="F2633" i="16"/>
  <c r="F2634" i="16"/>
  <c r="F2635" i="16"/>
  <c r="F2636" i="16"/>
  <c r="F2637" i="16"/>
  <c r="F2638" i="16"/>
  <c r="F2639" i="16"/>
  <c r="F2640" i="16"/>
  <c r="F2641" i="16"/>
  <c r="F2642" i="16"/>
  <c r="F2643" i="16"/>
  <c r="F2644" i="16"/>
  <c r="F2645" i="16"/>
  <c r="F2646" i="16"/>
  <c r="F2647" i="16"/>
  <c r="F2648" i="16"/>
  <c r="F2649" i="16"/>
  <c r="F2650" i="16"/>
  <c r="F2651" i="16"/>
  <c r="F2652" i="16"/>
  <c r="F2653" i="16"/>
  <c r="F2654" i="16"/>
  <c r="F2655" i="16"/>
  <c r="F2656" i="16"/>
  <c r="F2657" i="16"/>
  <c r="F2658" i="16"/>
  <c r="F2659" i="16"/>
  <c r="F2660" i="16"/>
  <c r="F2661" i="16"/>
  <c r="F2662" i="16"/>
  <c r="F2663" i="16"/>
  <c r="F2664" i="16"/>
  <c r="F2665" i="16"/>
  <c r="F2666" i="16"/>
  <c r="F2667" i="16"/>
  <c r="F2668" i="16"/>
  <c r="F2669" i="16"/>
  <c r="F2670" i="16"/>
  <c r="F2671" i="16"/>
  <c r="F2672" i="16"/>
  <c r="F2673" i="16"/>
  <c r="F2674" i="16"/>
  <c r="F2675" i="16"/>
  <c r="F2676" i="16"/>
  <c r="F2677" i="16"/>
  <c r="F2678" i="16"/>
  <c r="F2679" i="16"/>
  <c r="F2680" i="16"/>
  <c r="F2681" i="16"/>
  <c r="F2682" i="16"/>
  <c r="F2285" i="16"/>
  <c r="F2252" i="16"/>
  <c r="F2253" i="16"/>
  <c r="F2254" i="16"/>
  <c r="F2255" i="16"/>
  <c r="F2256" i="16"/>
  <c r="F2257" i="16"/>
  <c r="F2258" i="16"/>
  <c r="F2259" i="16"/>
  <c r="F2260" i="16"/>
  <c r="F2261" i="16"/>
  <c r="F2262" i="16"/>
  <c r="F2263" i="16"/>
  <c r="F2264" i="16"/>
  <c r="F2265" i="16"/>
  <c r="F2266" i="16"/>
  <c r="F2267" i="16"/>
  <c r="F2268" i="16"/>
  <c r="F2269" i="16"/>
  <c r="F2270" i="16"/>
  <c r="F2271" i="16"/>
  <c r="F2272" i="16"/>
  <c r="F2273" i="16"/>
  <c r="F2274" i="16"/>
  <c r="F2275" i="16"/>
  <c r="F2276" i="16"/>
  <c r="F2277" i="16"/>
  <c r="F2278" i="16"/>
  <c r="F2279" i="16"/>
  <c r="F2280" i="16"/>
  <c r="F2281" i="16"/>
  <c r="F2282" i="16"/>
  <c r="F2283" i="16"/>
  <c r="F2284" i="16"/>
  <c r="F2251" i="16"/>
  <c r="F2241" i="16"/>
  <c r="F2242" i="16"/>
  <c r="F2243" i="16"/>
  <c r="F2244" i="16"/>
  <c r="F2245" i="16"/>
  <c r="F2246" i="16"/>
  <c r="F2247" i="16"/>
  <c r="F2248" i="16"/>
  <c r="F2249" i="16"/>
  <c r="F2250" i="16"/>
  <c r="F2240" i="16"/>
  <c r="F1179" i="16"/>
  <c r="F1180" i="16"/>
  <c r="F1181" i="16"/>
  <c r="F1182" i="16"/>
  <c r="F1183" i="16"/>
  <c r="F1184" i="16"/>
  <c r="F1185" i="16"/>
  <c r="F1186" i="16"/>
  <c r="F1187" i="16"/>
  <c r="F1188" i="16"/>
  <c r="F1189" i="16"/>
  <c r="F1190" i="16"/>
  <c r="F1191" i="16"/>
  <c r="F1192" i="16"/>
  <c r="F1193" i="16"/>
  <c r="F1194" i="16"/>
  <c r="F1195" i="16"/>
  <c r="F1196" i="16"/>
  <c r="F1197" i="16"/>
  <c r="F1198" i="16"/>
  <c r="F1199" i="16"/>
  <c r="F1200" i="16"/>
  <c r="F1201" i="16"/>
  <c r="F1202" i="16"/>
  <c r="F1203" i="16"/>
  <c r="F1204" i="16"/>
  <c r="F1205" i="16"/>
  <c r="F1206" i="16"/>
  <c r="F1207" i="16"/>
  <c r="F1208" i="16"/>
  <c r="F1209" i="16"/>
  <c r="F1210" i="16"/>
  <c r="F1211" i="16"/>
  <c r="F1212" i="16"/>
  <c r="F1213" i="16"/>
  <c r="F1214" i="16"/>
  <c r="F1215" i="16"/>
  <c r="F1216" i="16"/>
  <c r="F1217" i="16"/>
  <c r="F1218" i="16"/>
  <c r="F1219" i="16"/>
  <c r="F1220" i="16"/>
  <c r="F1221" i="16"/>
  <c r="F1222" i="16"/>
  <c r="F1223" i="16"/>
  <c r="F1224" i="16"/>
  <c r="F1225" i="16"/>
  <c r="F1226" i="16"/>
  <c r="F1227" i="16"/>
  <c r="F1228" i="16"/>
  <c r="F1229" i="16"/>
  <c r="F1230" i="16"/>
  <c r="F1231" i="16"/>
  <c r="F1232" i="16"/>
  <c r="F1233" i="16"/>
  <c r="F1234" i="16"/>
  <c r="F1235" i="16"/>
  <c r="F1236" i="16"/>
  <c r="F1237" i="16"/>
  <c r="F1238" i="16"/>
  <c r="F1239" i="16"/>
  <c r="F1240" i="16"/>
  <c r="F1241" i="16"/>
  <c r="F1242" i="16"/>
  <c r="F1243" i="16"/>
  <c r="F1244" i="16"/>
  <c r="F1245" i="16"/>
  <c r="F1246" i="16"/>
  <c r="F1247" i="16"/>
  <c r="F1248" i="16"/>
  <c r="F1249" i="16"/>
  <c r="F1250" i="16"/>
  <c r="F1251" i="16"/>
  <c r="F1252" i="16"/>
  <c r="F1253" i="16"/>
  <c r="F1254" i="16"/>
  <c r="F1255" i="16"/>
  <c r="F1256" i="16"/>
  <c r="F1257" i="16"/>
  <c r="F1258" i="16"/>
  <c r="F1259" i="16"/>
  <c r="F1260" i="16"/>
  <c r="F1261" i="16"/>
  <c r="F1262" i="16"/>
  <c r="F1263" i="16"/>
  <c r="F1264" i="16"/>
  <c r="F1265" i="16"/>
  <c r="F1266" i="16"/>
  <c r="F1267" i="16"/>
  <c r="F1268" i="16"/>
  <c r="F1269" i="16"/>
  <c r="F1270" i="16"/>
  <c r="F1271" i="16"/>
  <c r="F1272" i="16"/>
  <c r="F1273" i="16"/>
  <c r="F1274" i="16"/>
  <c r="F1275" i="16"/>
  <c r="F1276" i="16"/>
  <c r="F1277" i="16"/>
  <c r="F1278" i="16"/>
  <c r="F1279" i="16"/>
  <c r="F1280" i="16"/>
  <c r="F1281" i="16"/>
  <c r="F1282" i="16"/>
  <c r="F1283" i="16"/>
  <c r="F1284" i="16"/>
  <c r="F1285" i="16"/>
  <c r="F1286" i="16"/>
  <c r="F1287" i="16"/>
  <c r="F1288" i="16"/>
  <c r="F1289" i="16"/>
  <c r="F1290" i="16"/>
  <c r="F1291" i="16"/>
  <c r="F1292" i="16"/>
  <c r="F1293" i="16"/>
  <c r="F1294" i="16"/>
  <c r="F1295" i="16"/>
  <c r="F1296" i="16"/>
  <c r="F1297" i="16"/>
  <c r="F1298" i="16"/>
  <c r="F1299" i="16"/>
  <c r="F1300" i="16"/>
  <c r="F1301" i="16"/>
  <c r="F1302" i="16"/>
  <c r="F1303" i="16"/>
  <c r="F1304" i="16"/>
  <c r="F1305" i="16"/>
  <c r="F1306" i="16"/>
  <c r="F1307" i="16"/>
  <c r="F1308" i="16"/>
  <c r="F1309" i="16"/>
  <c r="F1310" i="16"/>
  <c r="F1311" i="16"/>
  <c r="F1312" i="16"/>
  <c r="F1313" i="16"/>
  <c r="F1314" i="16"/>
  <c r="F1315" i="16"/>
  <c r="F1316" i="16"/>
  <c r="F1317" i="16"/>
  <c r="F1318" i="16"/>
  <c r="F1319" i="16"/>
  <c r="F1320" i="16"/>
  <c r="F1321" i="16"/>
  <c r="F1322" i="16"/>
  <c r="F1323" i="16"/>
  <c r="F1324" i="16"/>
  <c r="F1325" i="16"/>
  <c r="F1326" i="16"/>
  <c r="F1327" i="16"/>
  <c r="F1328" i="16"/>
  <c r="F1329" i="16"/>
  <c r="F1330" i="16"/>
  <c r="F1331" i="16"/>
  <c r="F1332" i="16"/>
  <c r="F1333" i="16"/>
  <c r="F1334" i="16"/>
  <c r="F1335" i="16"/>
  <c r="F1336" i="16"/>
  <c r="F1337" i="16"/>
  <c r="F1338" i="16"/>
  <c r="F1339" i="16"/>
  <c r="F1340" i="16"/>
  <c r="F1341" i="16"/>
  <c r="F1342" i="16"/>
  <c r="F1343" i="16"/>
  <c r="F1344" i="16"/>
  <c r="F1345" i="16"/>
  <c r="F1346" i="16"/>
  <c r="F1347" i="16"/>
  <c r="F1348" i="16"/>
  <c r="F1349" i="16"/>
  <c r="F1350" i="16"/>
  <c r="F1351" i="16"/>
  <c r="F1352" i="16"/>
  <c r="F1353" i="16"/>
  <c r="F1354" i="16"/>
  <c r="F1355" i="16"/>
  <c r="F1356" i="16"/>
  <c r="F1357" i="16"/>
  <c r="F1358" i="16"/>
  <c r="F1359" i="16"/>
  <c r="F1360" i="16"/>
  <c r="F1361" i="16"/>
  <c r="F1362" i="16"/>
  <c r="F1363" i="16"/>
  <c r="F1364" i="16"/>
  <c r="F1365" i="16"/>
  <c r="F1366" i="16"/>
  <c r="F1367" i="16"/>
  <c r="F1368" i="16"/>
  <c r="F1369" i="16"/>
  <c r="F1370" i="16"/>
  <c r="F1371" i="16"/>
  <c r="F1372" i="16"/>
  <c r="F1373" i="16"/>
  <c r="F1374" i="16"/>
  <c r="F1375" i="16"/>
  <c r="F1376" i="16"/>
  <c r="F1377" i="16"/>
  <c r="F1378" i="16"/>
  <c r="F1379" i="16"/>
  <c r="F1380" i="16"/>
  <c r="F1381" i="16"/>
  <c r="F1382" i="16"/>
  <c r="F1383" i="16"/>
  <c r="F1384" i="16"/>
  <c r="F1385" i="16"/>
  <c r="F1386" i="16"/>
  <c r="F1387" i="16"/>
  <c r="F1388" i="16"/>
  <c r="F1389" i="16"/>
  <c r="F1390" i="16"/>
  <c r="F1391" i="16"/>
  <c r="F1392" i="16"/>
  <c r="F1393" i="16"/>
  <c r="F1394" i="16"/>
  <c r="F1395" i="16"/>
  <c r="F1396" i="16"/>
  <c r="F1397" i="16"/>
  <c r="F1398" i="16"/>
  <c r="F1399" i="16"/>
  <c r="F1400" i="16"/>
  <c r="F1401" i="16"/>
  <c r="F1402" i="16"/>
  <c r="F1403" i="16"/>
  <c r="F1404" i="16"/>
  <c r="F1405" i="16"/>
  <c r="F1406" i="16"/>
  <c r="F1407" i="16"/>
  <c r="F1408" i="16"/>
  <c r="F1409" i="16"/>
  <c r="F1410" i="16"/>
  <c r="F1411" i="16"/>
  <c r="F1412" i="16"/>
  <c r="F1413" i="16"/>
  <c r="F1414" i="16"/>
  <c r="F1415" i="16"/>
  <c r="F1416" i="16"/>
  <c r="F1417" i="16"/>
  <c r="F1418" i="16"/>
  <c r="F1419" i="16"/>
  <c r="F1420" i="16"/>
  <c r="F1421" i="16"/>
  <c r="F1422" i="16"/>
  <c r="F1423" i="16"/>
  <c r="F1424" i="16"/>
  <c r="F1425" i="16"/>
  <c r="F1426" i="16"/>
  <c r="F1427" i="16"/>
  <c r="F1428" i="16"/>
  <c r="F1429" i="16"/>
  <c r="F1430" i="16"/>
  <c r="F1431" i="16"/>
  <c r="F1432" i="16"/>
  <c r="F1433" i="16"/>
  <c r="F1434" i="16"/>
  <c r="F1435" i="16"/>
  <c r="F1436" i="16"/>
  <c r="F1437" i="16"/>
  <c r="F1438" i="16"/>
  <c r="F1439" i="16"/>
  <c r="F1440" i="16"/>
  <c r="F1441" i="16"/>
  <c r="F1442" i="16"/>
  <c r="F1443" i="16"/>
  <c r="F1444" i="16"/>
  <c r="F1445" i="16"/>
  <c r="F1446" i="16"/>
  <c r="F1447" i="16"/>
  <c r="F1448" i="16"/>
  <c r="F1449" i="16"/>
  <c r="F1450" i="16"/>
  <c r="F1451" i="16"/>
  <c r="F1452" i="16"/>
  <c r="F1453" i="16"/>
  <c r="F1454" i="16"/>
  <c r="F1455" i="16"/>
  <c r="F1456" i="16"/>
  <c r="F1457" i="16"/>
  <c r="F1458" i="16"/>
  <c r="F1459" i="16"/>
  <c r="F1460" i="16"/>
  <c r="F1461" i="16"/>
  <c r="F1462" i="16"/>
  <c r="F1463" i="16"/>
  <c r="F1464" i="16"/>
  <c r="F1465" i="16"/>
  <c r="F1466" i="16"/>
  <c r="F1467" i="16"/>
  <c r="F1468" i="16"/>
  <c r="F1469" i="16"/>
  <c r="F1470" i="16"/>
  <c r="F1471" i="16"/>
  <c r="F1472" i="16"/>
  <c r="F1473" i="16"/>
  <c r="F1474" i="16"/>
  <c r="F1475" i="16"/>
  <c r="F1476" i="16"/>
  <c r="F1477" i="16"/>
  <c r="F1478" i="16"/>
  <c r="F1479" i="16"/>
  <c r="F1480" i="16"/>
  <c r="F1481" i="16"/>
  <c r="F1482" i="16"/>
  <c r="F1483" i="16"/>
  <c r="F1484" i="16"/>
  <c r="F1485" i="16"/>
  <c r="F1486" i="16"/>
  <c r="F1487" i="16"/>
  <c r="F1488" i="16"/>
  <c r="F1489" i="16"/>
  <c r="F1490" i="16"/>
  <c r="F1491" i="16"/>
  <c r="F1492" i="16"/>
  <c r="F1493" i="16"/>
  <c r="F1494" i="16"/>
  <c r="F1495" i="16"/>
  <c r="F1496" i="16"/>
  <c r="F1497" i="16"/>
  <c r="F1498" i="16"/>
  <c r="F1499" i="16"/>
  <c r="F1500" i="16"/>
  <c r="F1501" i="16"/>
  <c r="F1502" i="16"/>
  <c r="F1503" i="16"/>
  <c r="F1504" i="16"/>
  <c r="F1505" i="16"/>
  <c r="F1506" i="16"/>
  <c r="F1507" i="16"/>
  <c r="F1508" i="16"/>
  <c r="F1509" i="16"/>
  <c r="F1510" i="16"/>
  <c r="F1511" i="16"/>
  <c r="F1512" i="16"/>
  <c r="F1513" i="16"/>
  <c r="F1514" i="16"/>
  <c r="F1515" i="16"/>
  <c r="F1516" i="16"/>
  <c r="F1517" i="16"/>
  <c r="F1518" i="16"/>
  <c r="F1519" i="16"/>
  <c r="F1520" i="16"/>
  <c r="F1521" i="16"/>
  <c r="F1522" i="16"/>
  <c r="F1523" i="16"/>
  <c r="F1524" i="16"/>
  <c r="F1525" i="16"/>
  <c r="F1526" i="16"/>
  <c r="F1527" i="16"/>
  <c r="F1528" i="16"/>
  <c r="F1529" i="16"/>
  <c r="F1530" i="16"/>
  <c r="F1531" i="16"/>
  <c r="F1532" i="16"/>
  <c r="F1533" i="16"/>
  <c r="F1534" i="16"/>
  <c r="F1535" i="16"/>
  <c r="F1536" i="16"/>
  <c r="F1537" i="16"/>
  <c r="F1538" i="16"/>
  <c r="F1539" i="16"/>
  <c r="F1540" i="16"/>
  <c r="F1541" i="16"/>
  <c r="F1542" i="16"/>
  <c r="F1543" i="16"/>
  <c r="F1544" i="16"/>
  <c r="F1545" i="16"/>
  <c r="F1546" i="16"/>
  <c r="F1547" i="16"/>
  <c r="F1548" i="16"/>
  <c r="F1549" i="16"/>
  <c r="F1550" i="16"/>
  <c r="F1551" i="16"/>
  <c r="F1552" i="16"/>
  <c r="F1553" i="16"/>
  <c r="F1554" i="16"/>
  <c r="F1555" i="16"/>
  <c r="F1556" i="16"/>
  <c r="F1557" i="16"/>
  <c r="F1558" i="16"/>
  <c r="F1559" i="16"/>
  <c r="F1560" i="16"/>
  <c r="F1561" i="16"/>
  <c r="F1562" i="16"/>
  <c r="F1563" i="16"/>
  <c r="F1564" i="16"/>
  <c r="F1565" i="16"/>
  <c r="F1566" i="16"/>
  <c r="F1567" i="16"/>
  <c r="F1568" i="16"/>
  <c r="F1569" i="16"/>
  <c r="F1570" i="16"/>
  <c r="F1571" i="16"/>
  <c r="F1572" i="16"/>
  <c r="F1573" i="16"/>
  <c r="F1574" i="16"/>
  <c r="F1575" i="16"/>
  <c r="F1576" i="16"/>
  <c r="F1577" i="16"/>
  <c r="F1578" i="16"/>
  <c r="F1579" i="16"/>
  <c r="F1580" i="16"/>
  <c r="F1581" i="16"/>
  <c r="F1582" i="16"/>
  <c r="F1583" i="16"/>
  <c r="F1584" i="16"/>
  <c r="F1585" i="16"/>
  <c r="F1586" i="16"/>
  <c r="F1587" i="16"/>
  <c r="F1588" i="16"/>
  <c r="F1589" i="16"/>
  <c r="F1590" i="16"/>
  <c r="F1591" i="16"/>
  <c r="F1592" i="16"/>
  <c r="F1593" i="16"/>
  <c r="F1594" i="16"/>
  <c r="F1595" i="16"/>
  <c r="F1596" i="16"/>
  <c r="F1597" i="16"/>
  <c r="F1598" i="16"/>
  <c r="F1599" i="16"/>
  <c r="F1600" i="16"/>
  <c r="F1601" i="16"/>
  <c r="F1602" i="16"/>
  <c r="F1603" i="16"/>
  <c r="F1604" i="16"/>
  <c r="F1605" i="16"/>
  <c r="F1606" i="16"/>
  <c r="F1607" i="16"/>
  <c r="F1608" i="16"/>
  <c r="F1609" i="16"/>
  <c r="F1610" i="16"/>
  <c r="F1611" i="16"/>
  <c r="F1612" i="16"/>
  <c r="F1613" i="16"/>
  <c r="F1614" i="16"/>
  <c r="F1615" i="16"/>
  <c r="F1616" i="16"/>
  <c r="F1617" i="16"/>
  <c r="F1618" i="16"/>
  <c r="F1619" i="16"/>
  <c r="F1620" i="16"/>
  <c r="F1621" i="16"/>
  <c r="F1622" i="16"/>
  <c r="F1623" i="16"/>
  <c r="F1624" i="16"/>
  <c r="F1625" i="16"/>
  <c r="F1626" i="16"/>
  <c r="F1627" i="16"/>
  <c r="F1628" i="16"/>
  <c r="F1629" i="16"/>
  <c r="F1630" i="16"/>
  <c r="F1631" i="16"/>
  <c r="F1632" i="16"/>
  <c r="F1633" i="16"/>
  <c r="F1634" i="16"/>
  <c r="F1635" i="16"/>
  <c r="F1636" i="16"/>
  <c r="F1637" i="16"/>
  <c r="F1638" i="16"/>
  <c r="F1639" i="16"/>
  <c r="F1640" i="16"/>
  <c r="F1641" i="16"/>
  <c r="F1642" i="16"/>
  <c r="F1643" i="16"/>
  <c r="F1644" i="16"/>
  <c r="F1645" i="16"/>
  <c r="F1646" i="16"/>
  <c r="F1647" i="16"/>
  <c r="F1648" i="16"/>
  <c r="F1649" i="16"/>
  <c r="F1650" i="16"/>
  <c r="F1651" i="16"/>
  <c r="F1652" i="16"/>
  <c r="F1653" i="16"/>
  <c r="F1654" i="16"/>
  <c r="F1655" i="16"/>
  <c r="F1656" i="16"/>
  <c r="F1657" i="16"/>
  <c r="F1658" i="16"/>
  <c r="F1659" i="16"/>
  <c r="F1660" i="16"/>
  <c r="F1661" i="16"/>
  <c r="F1662" i="16"/>
  <c r="F1663" i="16"/>
  <c r="F1664" i="16"/>
  <c r="F1665" i="16"/>
  <c r="F1666" i="16"/>
  <c r="F1667" i="16"/>
  <c r="F1668" i="16"/>
  <c r="F1669" i="16"/>
  <c r="F1670" i="16"/>
  <c r="F1671" i="16"/>
  <c r="F1672" i="16"/>
  <c r="F1673" i="16"/>
  <c r="F1674" i="16"/>
  <c r="F1675" i="16"/>
  <c r="F1676" i="16"/>
  <c r="F1677" i="16"/>
  <c r="F1678" i="16"/>
  <c r="F1679" i="16"/>
  <c r="F1680" i="16"/>
  <c r="F1681" i="16"/>
  <c r="F1682" i="16"/>
  <c r="F1683" i="16"/>
  <c r="F1684" i="16"/>
  <c r="F1685" i="16"/>
  <c r="F1686" i="16"/>
  <c r="F1687" i="16"/>
  <c r="F1688" i="16"/>
  <c r="F1689" i="16"/>
  <c r="F1690" i="16"/>
  <c r="F1691" i="16"/>
  <c r="F1692" i="16"/>
  <c r="F1693" i="16"/>
  <c r="F1694" i="16"/>
  <c r="F1695" i="16"/>
  <c r="F1696" i="16"/>
  <c r="F1697" i="16"/>
  <c r="F1698" i="16"/>
  <c r="F1699" i="16"/>
  <c r="F1700" i="16"/>
  <c r="F1701" i="16"/>
  <c r="F1702" i="16"/>
  <c r="F1703" i="16"/>
  <c r="F1704" i="16"/>
  <c r="F1705" i="16"/>
  <c r="F1706" i="16"/>
  <c r="F1707" i="16"/>
  <c r="F1708" i="16"/>
  <c r="F1709" i="16"/>
  <c r="F1710" i="16"/>
  <c r="F1711" i="16"/>
  <c r="F1712" i="16"/>
  <c r="F1713" i="16"/>
  <c r="F1714" i="16"/>
  <c r="F1715" i="16"/>
  <c r="F1716" i="16"/>
  <c r="F1717" i="16"/>
  <c r="F1718" i="16"/>
  <c r="F1719" i="16"/>
  <c r="F1720" i="16"/>
  <c r="F1721" i="16"/>
  <c r="F1722" i="16"/>
  <c r="F1723" i="16"/>
  <c r="F1724" i="16"/>
  <c r="F1725" i="16"/>
  <c r="F1726" i="16"/>
  <c r="F1727" i="16"/>
  <c r="F1728" i="16"/>
  <c r="F1729" i="16"/>
  <c r="F1730" i="16"/>
  <c r="F1731" i="16"/>
  <c r="F1732" i="16"/>
  <c r="F1733" i="16"/>
  <c r="F1734" i="16"/>
  <c r="F1735" i="16"/>
  <c r="F1736" i="16"/>
  <c r="F1737" i="16"/>
  <c r="F1738" i="16"/>
  <c r="F1739" i="16"/>
  <c r="F1740" i="16"/>
  <c r="F1741" i="16"/>
  <c r="F1742" i="16"/>
  <c r="F1743" i="16"/>
  <c r="F1744" i="16"/>
  <c r="F1745" i="16"/>
  <c r="F1746" i="16"/>
  <c r="F1747" i="16"/>
  <c r="F1748" i="16"/>
  <c r="F1749" i="16"/>
  <c r="F1750" i="16"/>
  <c r="F1751" i="16"/>
  <c r="F1752" i="16"/>
  <c r="F1753" i="16"/>
  <c r="F1754" i="16"/>
  <c r="F1755" i="16"/>
  <c r="F1756" i="16"/>
  <c r="F1757" i="16"/>
  <c r="F1758" i="16"/>
  <c r="F1759" i="16"/>
  <c r="F1760" i="16"/>
  <c r="F1761" i="16"/>
  <c r="F1762" i="16"/>
  <c r="F1763" i="16"/>
  <c r="F1764" i="16"/>
  <c r="F1765" i="16"/>
  <c r="F1766" i="16"/>
  <c r="F1767" i="16"/>
  <c r="F1768" i="16"/>
  <c r="F1769" i="16"/>
  <c r="F1770" i="16"/>
  <c r="F1771" i="16"/>
  <c r="F1772" i="16"/>
  <c r="F1773" i="16"/>
  <c r="F1774" i="16"/>
  <c r="F1775" i="16"/>
  <c r="F1776" i="16"/>
  <c r="F1777" i="16"/>
  <c r="F1778" i="16"/>
  <c r="F1779" i="16"/>
  <c r="F1780" i="16"/>
  <c r="F1781" i="16"/>
  <c r="F1782" i="16"/>
  <c r="F1783" i="16"/>
  <c r="F1784" i="16"/>
  <c r="F1785" i="16"/>
  <c r="F1786" i="16"/>
  <c r="F1787" i="16"/>
  <c r="F1788" i="16"/>
  <c r="F1789" i="16"/>
  <c r="F1790" i="16"/>
  <c r="F1791" i="16"/>
  <c r="F1792" i="16"/>
  <c r="F1793" i="16"/>
  <c r="F1794" i="16"/>
  <c r="F1795" i="16"/>
  <c r="F1796" i="16"/>
  <c r="F1797" i="16"/>
  <c r="F1798" i="16"/>
  <c r="F1799" i="16"/>
  <c r="F1800" i="16"/>
  <c r="F1801" i="16"/>
  <c r="F1802" i="16"/>
  <c r="F1803" i="16"/>
  <c r="F1804" i="16"/>
  <c r="F1805" i="16"/>
  <c r="F1806" i="16"/>
  <c r="F1807" i="16"/>
  <c r="F1808" i="16"/>
  <c r="F1809" i="16"/>
  <c r="F1810" i="16"/>
  <c r="F1811" i="16"/>
  <c r="F1812" i="16"/>
  <c r="F1813" i="16"/>
  <c r="F1814" i="16"/>
  <c r="F1815" i="16"/>
  <c r="F1816" i="16"/>
  <c r="F1817" i="16"/>
  <c r="F1818" i="16"/>
  <c r="F1819" i="16"/>
  <c r="F1820" i="16"/>
  <c r="F1821" i="16"/>
  <c r="F1822" i="16"/>
  <c r="F1823" i="16"/>
  <c r="F1824" i="16"/>
  <c r="F1825" i="16"/>
  <c r="F1826" i="16"/>
  <c r="F1827" i="16"/>
  <c r="F1828" i="16"/>
  <c r="F1829" i="16"/>
  <c r="F1830" i="16"/>
  <c r="F1831" i="16"/>
  <c r="F1832" i="16"/>
  <c r="F1833" i="16"/>
  <c r="F1834" i="16"/>
  <c r="F1835" i="16"/>
  <c r="F1836" i="16"/>
  <c r="F1837" i="16"/>
  <c r="F1838" i="16"/>
  <c r="F1839" i="16"/>
  <c r="F1840" i="16"/>
  <c r="F1841" i="16"/>
  <c r="F1842" i="16"/>
  <c r="F1843" i="16"/>
  <c r="F1844" i="16"/>
  <c r="F1845" i="16"/>
  <c r="F1846" i="16"/>
  <c r="F1847" i="16"/>
  <c r="F1848" i="16"/>
  <c r="F1849" i="16"/>
  <c r="F1850" i="16"/>
  <c r="F1851" i="16"/>
  <c r="F1852" i="16"/>
  <c r="F1853" i="16"/>
  <c r="F1854" i="16"/>
  <c r="F1855" i="16"/>
  <c r="F1856" i="16"/>
  <c r="F1857" i="16"/>
  <c r="F1858" i="16"/>
  <c r="F1859" i="16"/>
  <c r="F1860" i="16"/>
  <c r="F1861" i="16"/>
  <c r="F1862" i="16"/>
  <c r="F1863" i="16"/>
  <c r="F1864" i="16"/>
  <c r="F1865" i="16"/>
  <c r="F1866" i="16"/>
  <c r="F1867" i="16"/>
  <c r="F1868" i="16"/>
  <c r="F1869" i="16"/>
  <c r="F1870" i="16"/>
  <c r="F1871" i="16"/>
  <c r="F1872" i="16"/>
  <c r="F1873" i="16"/>
  <c r="F1874" i="16"/>
  <c r="F1875" i="16"/>
  <c r="F1876" i="16"/>
  <c r="F1877" i="16"/>
  <c r="F1878" i="16"/>
  <c r="F1879" i="16"/>
  <c r="F1880" i="16"/>
  <c r="F1881" i="16"/>
  <c r="F1882" i="16"/>
  <c r="F1883" i="16"/>
  <c r="F1884" i="16"/>
  <c r="F1885" i="16"/>
  <c r="F1886" i="16"/>
  <c r="F1887" i="16"/>
  <c r="F1888" i="16"/>
  <c r="F1889" i="16"/>
  <c r="F1890" i="16"/>
  <c r="F1891" i="16"/>
  <c r="F1892" i="16"/>
  <c r="F1893" i="16"/>
  <c r="F1894" i="16"/>
  <c r="F1895" i="16"/>
  <c r="F1896" i="16"/>
  <c r="F1897" i="16"/>
  <c r="F1898" i="16"/>
  <c r="F1899" i="16"/>
  <c r="F1900" i="16"/>
  <c r="F1901" i="16"/>
  <c r="F1902" i="16"/>
  <c r="F1903" i="16"/>
  <c r="F1904" i="16"/>
  <c r="F1905" i="16"/>
  <c r="F1906" i="16"/>
  <c r="F1907" i="16"/>
  <c r="F1908" i="16"/>
  <c r="F1909" i="16"/>
  <c r="F1910" i="16"/>
  <c r="F1911" i="16"/>
  <c r="F1912" i="16"/>
  <c r="F1913" i="16"/>
  <c r="F1914" i="16"/>
  <c r="F1915" i="16"/>
  <c r="F1916" i="16"/>
  <c r="F1917" i="16"/>
  <c r="F1918" i="16"/>
  <c r="F1919" i="16"/>
  <c r="F1920" i="16"/>
  <c r="F1921" i="16"/>
  <c r="F1922" i="16"/>
  <c r="F1923" i="16"/>
  <c r="F1924" i="16"/>
  <c r="F1925" i="16"/>
  <c r="F1926" i="16"/>
  <c r="F1927" i="16"/>
  <c r="F1928" i="16"/>
  <c r="F1929" i="16"/>
  <c r="F1930" i="16"/>
  <c r="F1931" i="16"/>
  <c r="F1932" i="16"/>
  <c r="F1933" i="16"/>
  <c r="F1934" i="16"/>
  <c r="F1935" i="16"/>
  <c r="F1936" i="16"/>
  <c r="F1937" i="16"/>
  <c r="F1938" i="16"/>
  <c r="F1939" i="16"/>
  <c r="F1940" i="16"/>
  <c r="F1941" i="16"/>
  <c r="F1942" i="16"/>
  <c r="F1943" i="16"/>
  <c r="F1944" i="16"/>
  <c r="F1945" i="16"/>
  <c r="F1946" i="16"/>
  <c r="F1947" i="16"/>
  <c r="F1948" i="16"/>
  <c r="F1949" i="16"/>
  <c r="F1950" i="16"/>
  <c r="F1951" i="16"/>
  <c r="F1952" i="16"/>
  <c r="F1953" i="16"/>
  <c r="F1954" i="16"/>
  <c r="F1955" i="16"/>
  <c r="F1956" i="16"/>
  <c r="F1957" i="16"/>
  <c r="F1958" i="16"/>
  <c r="F1959" i="16"/>
  <c r="F1960" i="16"/>
  <c r="F1961" i="16"/>
  <c r="F1962" i="16"/>
  <c r="F1963" i="16"/>
  <c r="F1964" i="16"/>
  <c r="F1965" i="16"/>
  <c r="F1966" i="16"/>
  <c r="F1967" i="16"/>
  <c r="F1968" i="16"/>
  <c r="F1969" i="16"/>
  <c r="F1970" i="16"/>
  <c r="F1971" i="16"/>
  <c r="F1972" i="16"/>
  <c r="F1973" i="16"/>
  <c r="F1974" i="16"/>
  <c r="F1975" i="16"/>
  <c r="F1976" i="16"/>
  <c r="F1977" i="16"/>
  <c r="F1978" i="16"/>
  <c r="F1979" i="16"/>
  <c r="F1980" i="16"/>
  <c r="F1981" i="16"/>
  <c r="F1982" i="16"/>
  <c r="F1983" i="16"/>
  <c r="F1984" i="16"/>
  <c r="F1985" i="16"/>
  <c r="F1986" i="16"/>
  <c r="F1987" i="16"/>
  <c r="F1988" i="16"/>
  <c r="F1989" i="16"/>
  <c r="F1990" i="16"/>
  <c r="F1991" i="16"/>
  <c r="F1992" i="16"/>
  <c r="F1993" i="16"/>
  <c r="F1994" i="16"/>
  <c r="F1995" i="16"/>
  <c r="F1996" i="16"/>
  <c r="F1997" i="16"/>
  <c r="F1998" i="16"/>
  <c r="F1999" i="16"/>
  <c r="F2000" i="16"/>
  <c r="F2001" i="16"/>
  <c r="F2002" i="16"/>
  <c r="F2003" i="16"/>
  <c r="F2004" i="16"/>
  <c r="F2005" i="16"/>
  <c r="F2006" i="16"/>
  <c r="F2007" i="16"/>
  <c r="F2008" i="16"/>
  <c r="F2009" i="16"/>
  <c r="F2010" i="16"/>
  <c r="F2011" i="16"/>
  <c r="F2012" i="16"/>
  <c r="F2013" i="16"/>
  <c r="F2014" i="16"/>
  <c r="F2015" i="16"/>
  <c r="F2016" i="16"/>
  <c r="F2017" i="16"/>
  <c r="F2018" i="16"/>
  <c r="F2019" i="16"/>
  <c r="F2020" i="16"/>
  <c r="F2021" i="16"/>
  <c r="F2022" i="16"/>
  <c r="F2023" i="16"/>
  <c r="F2024" i="16"/>
  <c r="F2025" i="16"/>
  <c r="F2026" i="16"/>
  <c r="F2027" i="16"/>
  <c r="F2028" i="16"/>
  <c r="F2029" i="16"/>
  <c r="F2030" i="16"/>
  <c r="F2031" i="16"/>
  <c r="F2032" i="16"/>
  <c r="F2033" i="16"/>
  <c r="F2034" i="16"/>
  <c r="F2035" i="16"/>
  <c r="F2036" i="16"/>
  <c r="F2037" i="16"/>
  <c r="F2038" i="16"/>
  <c r="F2039" i="16"/>
  <c r="F2040" i="16"/>
  <c r="F2041" i="16"/>
  <c r="F2042" i="16"/>
  <c r="F2043" i="16"/>
  <c r="F2044" i="16"/>
  <c r="F2045" i="16"/>
  <c r="F2046" i="16"/>
  <c r="F2047" i="16"/>
  <c r="F2048" i="16"/>
  <c r="F2049" i="16"/>
  <c r="F2050" i="16"/>
  <c r="F2051" i="16"/>
  <c r="F2052" i="16"/>
  <c r="F2053" i="16"/>
  <c r="F2054" i="16"/>
  <c r="F2055" i="16"/>
  <c r="F2056" i="16"/>
  <c r="F2057" i="16"/>
  <c r="F2058" i="16"/>
  <c r="F2059" i="16"/>
  <c r="F2060" i="16"/>
  <c r="F2061" i="16"/>
  <c r="F2062" i="16"/>
  <c r="F2063" i="16"/>
  <c r="F2064" i="16"/>
  <c r="F2065" i="16"/>
  <c r="F2066" i="16"/>
  <c r="F2067" i="16"/>
  <c r="F2068" i="16"/>
  <c r="F2069" i="16"/>
  <c r="F2070" i="16"/>
  <c r="F2071" i="16"/>
  <c r="F2072" i="16"/>
  <c r="F2073" i="16"/>
  <c r="F2074" i="16"/>
  <c r="F2075" i="16"/>
  <c r="F2076" i="16"/>
  <c r="F2077" i="16"/>
  <c r="F2078" i="16"/>
  <c r="F2079" i="16"/>
  <c r="F2080" i="16"/>
  <c r="F2081" i="16"/>
  <c r="F2082" i="16"/>
  <c r="F2083" i="16"/>
  <c r="F2084" i="16"/>
  <c r="F2085" i="16"/>
  <c r="F2086" i="16"/>
  <c r="F2087" i="16"/>
  <c r="F2088" i="16"/>
  <c r="F2089" i="16"/>
  <c r="F2090" i="16"/>
  <c r="F2091" i="16"/>
  <c r="F2092" i="16"/>
  <c r="F2093" i="16"/>
  <c r="F2094" i="16"/>
  <c r="F2095" i="16"/>
  <c r="F2096" i="16"/>
  <c r="F2097" i="16"/>
  <c r="F2098" i="16"/>
  <c r="F2099" i="16"/>
  <c r="F2100" i="16"/>
  <c r="F2101" i="16"/>
  <c r="F2102" i="16"/>
  <c r="F2103" i="16"/>
  <c r="F2104" i="16"/>
  <c r="F2105" i="16"/>
  <c r="F2106" i="16"/>
  <c r="F2107" i="16"/>
  <c r="F2108" i="16"/>
  <c r="F2109" i="16"/>
  <c r="F2110" i="16"/>
  <c r="F2111" i="16"/>
  <c r="F2112" i="16"/>
  <c r="F2113" i="16"/>
  <c r="F2114" i="16"/>
  <c r="F2115" i="16"/>
  <c r="F2116" i="16"/>
  <c r="F2117" i="16"/>
  <c r="F2118" i="16"/>
  <c r="F2119" i="16"/>
  <c r="F2120" i="16"/>
  <c r="F2121" i="16"/>
  <c r="F2122" i="16"/>
  <c r="F2123" i="16"/>
  <c r="F2124" i="16"/>
  <c r="F2125" i="16"/>
  <c r="F2126" i="16"/>
  <c r="F2127" i="16"/>
  <c r="F2128" i="16"/>
  <c r="F2129" i="16"/>
  <c r="F2130" i="16"/>
  <c r="F2131" i="16"/>
  <c r="F2132" i="16"/>
  <c r="F2133" i="16"/>
  <c r="F2134" i="16"/>
  <c r="F2135" i="16"/>
  <c r="F2136" i="16"/>
  <c r="F2137" i="16"/>
  <c r="F2138" i="16"/>
  <c r="F2139" i="16"/>
  <c r="F2140" i="16"/>
  <c r="F2141" i="16"/>
  <c r="F2142" i="16"/>
  <c r="F2143" i="16"/>
  <c r="F2144" i="16"/>
  <c r="F2145" i="16"/>
  <c r="F2146" i="16"/>
  <c r="F2147" i="16"/>
  <c r="F2148" i="16"/>
  <c r="F2149" i="16"/>
  <c r="F2150" i="16"/>
  <c r="F2151" i="16"/>
  <c r="F2152" i="16"/>
  <c r="F2153" i="16"/>
  <c r="F2154" i="16"/>
  <c r="F2155" i="16"/>
  <c r="F2156" i="16"/>
  <c r="F2157" i="16"/>
  <c r="F2158" i="16"/>
  <c r="F2159" i="16"/>
  <c r="F2160" i="16"/>
  <c r="F2161" i="16"/>
  <c r="F2162" i="16"/>
  <c r="F2163" i="16"/>
  <c r="F2164" i="16"/>
  <c r="F2165" i="16"/>
  <c r="F2166" i="16"/>
  <c r="F2167" i="16"/>
  <c r="F2168" i="16"/>
  <c r="F2169" i="16"/>
  <c r="F2170" i="16"/>
  <c r="F2171" i="16"/>
  <c r="F2172" i="16"/>
  <c r="F2173" i="16"/>
  <c r="F2174" i="16"/>
  <c r="F2175" i="16"/>
  <c r="F2176" i="16"/>
  <c r="F2177" i="16"/>
  <c r="F2178" i="16"/>
  <c r="F2179" i="16"/>
  <c r="F2180" i="16"/>
  <c r="F2181" i="16"/>
  <c r="F2182" i="16"/>
  <c r="F2183" i="16"/>
  <c r="F2184" i="16"/>
  <c r="F2185" i="16"/>
  <c r="F2186" i="16"/>
  <c r="F2187" i="16"/>
  <c r="F2188" i="16"/>
  <c r="F2189" i="16"/>
  <c r="F2190" i="16"/>
  <c r="F2191" i="16"/>
  <c r="F2192" i="16"/>
  <c r="F2193" i="16"/>
  <c r="F2194" i="16"/>
  <c r="F2195" i="16"/>
  <c r="F2196" i="16"/>
  <c r="F2197" i="16"/>
  <c r="F2198" i="16"/>
  <c r="F2199" i="16"/>
  <c r="F2200" i="16"/>
  <c r="F2201" i="16"/>
  <c r="F2202" i="16"/>
  <c r="F2203" i="16"/>
  <c r="F2204" i="16"/>
  <c r="F2205" i="16"/>
  <c r="F2206" i="16"/>
  <c r="F2207" i="16"/>
  <c r="F2208" i="16"/>
  <c r="F2209" i="16"/>
  <c r="F2210" i="16"/>
  <c r="F2211" i="16"/>
  <c r="F2212" i="16"/>
  <c r="F2213" i="16"/>
  <c r="F2214" i="16"/>
  <c r="F2215" i="16"/>
  <c r="F2216" i="16"/>
  <c r="F2217" i="16"/>
  <c r="F2218" i="16"/>
  <c r="F2219" i="16"/>
  <c r="F2220" i="16"/>
  <c r="F2221" i="16"/>
  <c r="F2222" i="16"/>
  <c r="F2223" i="16"/>
  <c r="F2224" i="16"/>
  <c r="F2225" i="16"/>
  <c r="F2226" i="16"/>
  <c r="F2227" i="16"/>
  <c r="F2228" i="16"/>
  <c r="F2229" i="16"/>
  <c r="F2230" i="16"/>
  <c r="F2231" i="16"/>
  <c r="F2232" i="16"/>
  <c r="F2233" i="16"/>
  <c r="F2234" i="16"/>
  <c r="F2235" i="16"/>
  <c r="F2236" i="16"/>
  <c r="F2237" i="16"/>
  <c r="F2238" i="16"/>
  <c r="F2239" i="16"/>
  <c r="F1178" i="16"/>
  <c r="F1161" i="16"/>
  <c r="F1162" i="16"/>
  <c r="F1163" i="16"/>
  <c r="F1164" i="16"/>
  <c r="F1165" i="16"/>
  <c r="F1166" i="16"/>
  <c r="F1167" i="16"/>
  <c r="F1168" i="16"/>
  <c r="F1169" i="16"/>
  <c r="F1170" i="16"/>
  <c r="F1171" i="16"/>
  <c r="F1172" i="16"/>
  <c r="F1173" i="16"/>
  <c r="F1174" i="16"/>
  <c r="F1175" i="16"/>
  <c r="F1176" i="16"/>
  <c r="F1177" i="16"/>
  <c r="F1160" i="16"/>
  <c r="F1110" i="16"/>
  <c r="F1111" i="16"/>
  <c r="F1112" i="16"/>
  <c r="F1113" i="16"/>
  <c r="F1114" i="16"/>
  <c r="F1115" i="16"/>
  <c r="F1116" i="16"/>
  <c r="F1117" i="16"/>
  <c r="F1118" i="16"/>
  <c r="F1119" i="16"/>
  <c r="F1120" i="16"/>
  <c r="F1121" i="16"/>
  <c r="F1122" i="16"/>
  <c r="F1123" i="16"/>
  <c r="F1124" i="16"/>
  <c r="F1125" i="16"/>
  <c r="F1126" i="16"/>
  <c r="F1127" i="16"/>
  <c r="F1128" i="16"/>
  <c r="F1129" i="16"/>
  <c r="F1130" i="16"/>
  <c r="F1131" i="16"/>
  <c r="F1132" i="16"/>
  <c r="F1133" i="16"/>
  <c r="F1134" i="16"/>
  <c r="F1135" i="16"/>
  <c r="F1136" i="16"/>
  <c r="F1137" i="16"/>
  <c r="F1138" i="16"/>
  <c r="F1139" i="16"/>
  <c r="F1140" i="16"/>
  <c r="F1141" i="16"/>
  <c r="F1142" i="16"/>
  <c r="F1143" i="16"/>
  <c r="F1144" i="16"/>
  <c r="F1145" i="16"/>
  <c r="F1146" i="16"/>
  <c r="F1147" i="16"/>
  <c r="F1148" i="16"/>
  <c r="F1149" i="16"/>
  <c r="F1150" i="16"/>
  <c r="F1151" i="16"/>
  <c r="F1152" i="16"/>
  <c r="F1153" i="16"/>
  <c r="F1154" i="16"/>
  <c r="F1155" i="16"/>
  <c r="F1156" i="16"/>
  <c r="F1157" i="16"/>
  <c r="F1158" i="16"/>
  <c r="F1159" i="16"/>
  <c r="F1109" i="16"/>
  <c r="F1094" i="16"/>
  <c r="F1095" i="16"/>
  <c r="F1096" i="16"/>
  <c r="F1097" i="16"/>
  <c r="F1098" i="16"/>
  <c r="F1099" i="16"/>
  <c r="F1100" i="16"/>
  <c r="F1101" i="16"/>
  <c r="F1102" i="16"/>
  <c r="F1103" i="16"/>
  <c r="F1104" i="16"/>
  <c r="F1105" i="16"/>
  <c r="F1106" i="16"/>
  <c r="F1107" i="16"/>
  <c r="F1108" i="16"/>
  <c r="F1083" i="16"/>
  <c r="F1084" i="16"/>
  <c r="F1085" i="16"/>
  <c r="F1086" i="16"/>
  <c r="F1087" i="16"/>
  <c r="F1088" i="16"/>
  <c r="F1089" i="16"/>
  <c r="F1090" i="16"/>
  <c r="F1091" i="16"/>
  <c r="F1092" i="16"/>
  <c r="F1093" i="16"/>
  <c r="F691" i="16"/>
  <c r="F692" i="16"/>
  <c r="F693" i="16"/>
  <c r="F694" i="16"/>
  <c r="F695" i="16"/>
  <c r="F696" i="16"/>
  <c r="F697" i="16"/>
  <c r="F698" i="16"/>
  <c r="F699" i="16"/>
  <c r="F700" i="16"/>
  <c r="F701" i="16"/>
  <c r="F702" i="16"/>
  <c r="F703" i="16"/>
  <c r="F704" i="16"/>
  <c r="F705" i="16"/>
  <c r="F706" i="16"/>
  <c r="F707" i="16"/>
  <c r="F708" i="16"/>
  <c r="F709" i="16"/>
  <c r="F710" i="16"/>
  <c r="F711" i="16"/>
  <c r="F712" i="16"/>
  <c r="F713" i="16"/>
  <c r="F714" i="16"/>
  <c r="F715" i="16"/>
  <c r="F716" i="16"/>
  <c r="F717" i="16"/>
  <c r="F718" i="16"/>
  <c r="F719" i="16"/>
  <c r="F720" i="16"/>
  <c r="F721" i="16"/>
  <c r="F722" i="16"/>
  <c r="F723" i="16"/>
  <c r="F724" i="16"/>
  <c r="F725" i="16"/>
  <c r="F726" i="16"/>
  <c r="F727" i="16"/>
  <c r="F728" i="16"/>
  <c r="F729" i="16"/>
  <c r="F730" i="16"/>
  <c r="F731" i="16"/>
  <c r="F732" i="16"/>
  <c r="F733" i="16"/>
  <c r="F734" i="16"/>
  <c r="F735" i="16"/>
  <c r="F736" i="16"/>
  <c r="F737" i="16"/>
  <c r="F738" i="16"/>
  <c r="F739" i="16"/>
  <c r="F740" i="16"/>
  <c r="F741" i="16"/>
  <c r="F742" i="16"/>
  <c r="F743" i="16"/>
  <c r="F744" i="16"/>
  <c r="F745" i="16"/>
  <c r="F746" i="16"/>
  <c r="F747" i="16"/>
  <c r="F748" i="16"/>
  <c r="F749" i="16"/>
  <c r="F750" i="16"/>
  <c r="F751" i="16"/>
  <c r="F752" i="16"/>
  <c r="F753" i="16"/>
  <c r="F754" i="16"/>
  <c r="F755" i="16"/>
  <c r="F756" i="16"/>
  <c r="F757" i="16"/>
  <c r="F758" i="16"/>
  <c r="F759" i="16"/>
  <c r="F760" i="16"/>
  <c r="F761" i="16"/>
  <c r="F762" i="16"/>
  <c r="F763" i="16"/>
  <c r="F764" i="16"/>
  <c r="F765" i="16"/>
  <c r="F766" i="16"/>
  <c r="F767" i="16"/>
  <c r="F768" i="16"/>
  <c r="F769" i="16"/>
  <c r="F770" i="16"/>
  <c r="F771" i="16"/>
  <c r="F772" i="16"/>
  <c r="F773" i="16"/>
  <c r="F774" i="16"/>
  <c r="F775" i="16"/>
  <c r="F776" i="16"/>
  <c r="F777" i="16"/>
  <c r="F778" i="16"/>
  <c r="F779" i="16"/>
  <c r="F780" i="16"/>
  <c r="F781" i="16"/>
  <c r="F782" i="16"/>
  <c r="F783" i="16"/>
  <c r="F784" i="16"/>
  <c r="F785" i="16"/>
  <c r="F786" i="16"/>
  <c r="F787" i="16"/>
  <c r="F788" i="16"/>
  <c r="F789" i="16"/>
  <c r="F790" i="16"/>
  <c r="F791" i="16"/>
  <c r="F792" i="16"/>
  <c r="F793" i="16"/>
  <c r="F794" i="16"/>
  <c r="F795" i="16"/>
  <c r="F796" i="16"/>
  <c r="F797" i="16"/>
  <c r="F798" i="16"/>
  <c r="F799" i="16"/>
  <c r="F800" i="16"/>
  <c r="F801" i="16"/>
  <c r="F802" i="16"/>
  <c r="F803" i="16"/>
  <c r="F804" i="16"/>
  <c r="F805" i="16"/>
  <c r="F806" i="16"/>
  <c r="F807" i="16"/>
  <c r="F808" i="16"/>
  <c r="F809" i="16"/>
  <c r="F810" i="16"/>
  <c r="F811" i="16"/>
  <c r="F812" i="16"/>
  <c r="F813" i="16"/>
  <c r="F814" i="16"/>
  <c r="F815" i="16"/>
  <c r="F816" i="16"/>
  <c r="F817" i="16"/>
  <c r="F818" i="16"/>
  <c r="F819" i="16"/>
  <c r="F820" i="16"/>
  <c r="F821" i="16"/>
  <c r="F822" i="16"/>
  <c r="F823" i="16"/>
  <c r="F824" i="16"/>
  <c r="F825" i="16"/>
  <c r="F826" i="16"/>
  <c r="F827" i="16"/>
  <c r="F828" i="16"/>
  <c r="F829" i="16"/>
  <c r="F830" i="16"/>
  <c r="F831" i="16"/>
  <c r="F832" i="16"/>
  <c r="F833" i="16"/>
  <c r="F834" i="16"/>
  <c r="F835" i="16"/>
  <c r="F836" i="16"/>
  <c r="F837" i="16"/>
  <c r="F838" i="16"/>
  <c r="F839" i="16"/>
  <c r="F840" i="16"/>
  <c r="F841" i="16"/>
  <c r="F842" i="16"/>
  <c r="F843" i="16"/>
  <c r="F844" i="16"/>
  <c r="F845" i="16"/>
  <c r="F846" i="16"/>
  <c r="F847" i="16"/>
  <c r="F848" i="16"/>
  <c r="F849" i="16"/>
  <c r="F850" i="16"/>
  <c r="F851" i="16"/>
  <c r="F852" i="16"/>
  <c r="F853" i="16"/>
  <c r="F854" i="16"/>
  <c r="F855" i="16"/>
  <c r="F856" i="16"/>
  <c r="F857" i="16"/>
  <c r="F858" i="16"/>
  <c r="F859" i="16"/>
  <c r="F860" i="16"/>
  <c r="F861" i="16"/>
  <c r="F862" i="16"/>
  <c r="F863" i="16"/>
  <c r="F864" i="16"/>
  <c r="F865" i="16"/>
  <c r="F866" i="16"/>
  <c r="F867" i="16"/>
  <c r="F868" i="16"/>
  <c r="F869" i="16"/>
  <c r="F870" i="16"/>
  <c r="F871" i="16"/>
  <c r="F872" i="16"/>
  <c r="F873" i="16"/>
  <c r="F874" i="16"/>
  <c r="F875" i="16"/>
  <c r="F876" i="16"/>
  <c r="F877" i="16"/>
  <c r="F878" i="16"/>
  <c r="F879" i="16"/>
  <c r="F880" i="16"/>
  <c r="F881" i="16"/>
  <c r="F882" i="16"/>
  <c r="F883" i="16"/>
  <c r="F884" i="16"/>
  <c r="F885" i="16"/>
  <c r="F886" i="16"/>
  <c r="F887" i="16"/>
  <c r="F888" i="16"/>
  <c r="F889" i="16"/>
  <c r="F890" i="16"/>
  <c r="F891" i="16"/>
  <c r="F892" i="16"/>
  <c r="F893" i="16"/>
  <c r="F894" i="16"/>
  <c r="F895" i="16"/>
  <c r="F896" i="16"/>
  <c r="F897" i="16"/>
  <c r="F898" i="16"/>
  <c r="F899" i="16"/>
  <c r="F900" i="16"/>
  <c r="F901" i="16"/>
  <c r="F902" i="16"/>
  <c r="F903" i="16"/>
  <c r="F904" i="16"/>
  <c r="F905" i="16"/>
  <c r="F906" i="16"/>
  <c r="F907" i="16"/>
  <c r="F908" i="16"/>
  <c r="F909" i="16"/>
  <c r="F910" i="16"/>
  <c r="F911" i="16"/>
  <c r="F912" i="16"/>
  <c r="F913" i="16"/>
  <c r="F914" i="16"/>
  <c r="F915" i="16"/>
  <c r="F916" i="16"/>
  <c r="F917" i="16"/>
  <c r="F918" i="16"/>
  <c r="F919" i="16"/>
  <c r="F920" i="16"/>
  <c r="F921" i="16"/>
  <c r="F922" i="16"/>
  <c r="F923" i="16"/>
  <c r="F924" i="16"/>
  <c r="F925" i="16"/>
  <c r="F926" i="16"/>
  <c r="F927" i="16"/>
  <c r="F928" i="16"/>
  <c r="F929" i="16"/>
  <c r="F930" i="16"/>
  <c r="F931" i="16"/>
  <c r="F932" i="16"/>
  <c r="F933" i="16"/>
  <c r="F934" i="16"/>
  <c r="F935" i="16"/>
  <c r="F936" i="16"/>
  <c r="F937" i="16"/>
  <c r="F938" i="16"/>
  <c r="F939" i="16"/>
  <c r="F940" i="16"/>
  <c r="F941" i="16"/>
  <c r="F942" i="16"/>
  <c r="F943" i="16"/>
  <c r="F944" i="16"/>
  <c r="F945" i="16"/>
  <c r="F946" i="16"/>
  <c r="F947" i="16"/>
  <c r="F948" i="16"/>
  <c r="F949" i="16"/>
  <c r="F950" i="16"/>
  <c r="F951" i="16"/>
  <c r="F952" i="16"/>
  <c r="F953" i="16"/>
  <c r="F954" i="16"/>
  <c r="F955" i="16"/>
  <c r="F956" i="16"/>
  <c r="F957" i="16"/>
  <c r="F958" i="16"/>
  <c r="F959" i="16"/>
  <c r="F960" i="16"/>
  <c r="F961" i="16"/>
  <c r="F962" i="16"/>
  <c r="F963" i="16"/>
  <c r="F964" i="16"/>
  <c r="F965" i="16"/>
  <c r="F966" i="16"/>
  <c r="F967" i="16"/>
  <c r="F968" i="16"/>
  <c r="F969" i="16"/>
  <c r="F970" i="16"/>
  <c r="F971" i="16"/>
  <c r="F972" i="16"/>
  <c r="F973" i="16"/>
  <c r="F974" i="16"/>
  <c r="F975" i="16"/>
  <c r="F976" i="16"/>
  <c r="F977" i="16"/>
  <c r="F978" i="16"/>
  <c r="F979" i="16"/>
  <c r="F980" i="16"/>
  <c r="F981" i="16"/>
  <c r="F982" i="16"/>
  <c r="F983" i="16"/>
  <c r="F984" i="16"/>
  <c r="F985" i="16"/>
  <c r="F986" i="16"/>
  <c r="F987" i="16"/>
  <c r="F988" i="16"/>
  <c r="F989" i="16"/>
  <c r="F990" i="16"/>
  <c r="F991" i="16"/>
  <c r="F992" i="16"/>
  <c r="F993" i="16"/>
  <c r="F994" i="16"/>
  <c r="F995" i="16"/>
  <c r="F996" i="16"/>
  <c r="F997" i="16"/>
  <c r="F998" i="16"/>
  <c r="F999" i="16"/>
  <c r="F1000" i="16"/>
  <c r="F1001" i="16"/>
  <c r="F1002" i="16"/>
  <c r="F1003" i="16"/>
  <c r="F1004" i="16"/>
  <c r="F1005" i="16"/>
  <c r="F1006" i="16"/>
  <c r="F1007" i="16"/>
  <c r="F1008" i="16"/>
  <c r="F1009" i="16"/>
  <c r="F1010" i="16"/>
  <c r="F1011" i="16"/>
  <c r="F1012" i="16"/>
  <c r="F1013" i="16"/>
  <c r="F1014" i="16"/>
  <c r="F1015" i="16"/>
  <c r="F1016" i="16"/>
  <c r="F1017" i="16"/>
  <c r="F1018" i="16"/>
  <c r="F1019" i="16"/>
  <c r="F1020" i="16"/>
  <c r="F1021" i="16"/>
  <c r="F1022" i="16"/>
  <c r="F1023" i="16"/>
  <c r="F1024" i="16"/>
  <c r="F1025" i="16"/>
  <c r="F1026" i="16"/>
  <c r="F1027" i="16"/>
  <c r="F1028" i="16"/>
  <c r="F1029" i="16"/>
  <c r="F1030" i="16"/>
  <c r="F1031" i="16"/>
  <c r="F1032" i="16"/>
  <c r="F1033" i="16"/>
  <c r="F1034" i="16"/>
  <c r="F1035" i="16"/>
  <c r="F1036" i="16"/>
  <c r="F1037" i="16"/>
  <c r="F1038" i="16"/>
  <c r="F1039" i="16"/>
  <c r="F1040" i="16"/>
  <c r="F1041" i="16"/>
  <c r="F1042" i="16"/>
  <c r="F1043" i="16"/>
  <c r="F1044" i="16"/>
  <c r="F1045" i="16"/>
  <c r="F1046" i="16"/>
  <c r="F1047" i="16"/>
  <c r="F1048" i="16"/>
  <c r="F1049" i="16"/>
  <c r="F1050" i="16"/>
  <c r="F1051" i="16"/>
  <c r="F1052" i="16"/>
  <c r="F1053" i="16"/>
  <c r="F1054" i="16"/>
  <c r="F1055" i="16"/>
  <c r="F1056" i="16"/>
  <c r="F1057" i="16"/>
  <c r="F1058" i="16"/>
  <c r="F1059" i="16"/>
  <c r="F1060" i="16"/>
  <c r="F1061" i="16"/>
  <c r="F1062" i="16"/>
  <c r="F1063" i="16"/>
  <c r="F1064" i="16"/>
  <c r="F1065" i="16"/>
  <c r="F1066" i="16"/>
  <c r="F1067" i="16"/>
  <c r="F1068" i="16"/>
  <c r="F1069" i="16"/>
  <c r="F1070" i="16"/>
  <c r="F1071" i="16"/>
  <c r="F1072" i="16"/>
  <c r="F1073" i="16"/>
  <c r="F1074" i="16"/>
  <c r="F1075" i="16"/>
  <c r="F1076" i="16"/>
  <c r="F1077" i="16"/>
  <c r="F1078" i="16"/>
  <c r="F1079" i="16"/>
  <c r="F1080" i="16"/>
  <c r="F1081" i="16"/>
  <c r="F1082" i="16"/>
  <c r="F682" i="16"/>
  <c r="F683" i="16"/>
  <c r="F684" i="16"/>
  <c r="F685" i="16"/>
  <c r="F686" i="16"/>
  <c r="F687" i="16"/>
  <c r="F688" i="16"/>
  <c r="F689" i="16"/>
  <c r="F690" i="16"/>
  <c r="F678" i="16"/>
  <c r="F679" i="16"/>
  <c r="F680" i="16"/>
  <c r="F681" i="16"/>
  <c r="F677" i="16"/>
  <c r="F676" i="16"/>
  <c r="F618" i="16"/>
  <c r="F619" i="16"/>
  <c r="F620" i="16"/>
  <c r="F621" i="16"/>
  <c r="F622" i="16"/>
  <c r="F623" i="16"/>
  <c r="F624" i="16"/>
  <c r="F625" i="16"/>
  <c r="F626" i="16"/>
  <c r="F627" i="16"/>
  <c r="F628" i="16"/>
  <c r="F629" i="16"/>
  <c r="F630" i="16"/>
  <c r="F631" i="16"/>
  <c r="F632" i="16"/>
  <c r="F633" i="16"/>
  <c r="F634" i="16"/>
  <c r="F635" i="16"/>
  <c r="F636" i="16"/>
  <c r="F637" i="16"/>
  <c r="F638" i="16"/>
  <c r="F639" i="16"/>
  <c r="F640" i="16"/>
  <c r="F641" i="16"/>
  <c r="F642" i="16"/>
  <c r="F643" i="16"/>
  <c r="F644" i="16"/>
  <c r="F645" i="16"/>
  <c r="F646" i="16"/>
  <c r="F647" i="16"/>
  <c r="F648" i="16"/>
  <c r="F649" i="16"/>
  <c r="F650" i="16"/>
  <c r="F651" i="16"/>
  <c r="F652" i="16"/>
  <c r="F653" i="16"/>
  <c r="F654" i="16"/>
  <c r="F655" i="16"/>
  <c r="F656" i="16"/>
  <c r="F657" i="16"/>
  <c r="F658" i="16"/>
  <c r="F659" i="16"/>
  <c r="F660" i="16"/>
  <c r="F661" i="16"/>
  <c r="F662" i="16"/>
  <c r="F663" i="16"/>
  <c r="F664" i="16"/>
  <c r="F665" i="16"/>
  <c r="F666" i="16"/>
  <c r="F667" i="16"/>
  <c r="F668" i="16"/>
  <c r="F669" i="16"/>
  <c r="F670" i="16"/>
  <c r="F671" i="16"/>
  <c r="F672" i="16"/>
  <c r="F673" i="16"/>
  <c r="F674" i="16"/>
  <c r="F675" i="16"/>
  <c r="F617" i="16"/>
  <c r="A60" i="15" l="1"/>
  <c r="C58" i="9"/>
  <c r="F610" i="16"/>
  <c r="F611" i="16"/>
  <c r="F612" i="16"/>
  <c r="F613" i="16"/>
  <c r="F614" i="16"/>
  <c r="F615" i="16"/>
  <c r="F616" i="16"/>
  <c r="F609" i="16"/>
  <c r="F570" i="16"/>
  <c r="F571" i="16"/>
  <c r="F572" i="16"/>
  <c r="F573" i="16"/>
  <c r="F574" i="16"/>
  <c r="F575" i="16"/>
  <c r="F576" i="16"/>
  <c r="F577" i="16"/>
  <c r="F578" i="16"/>
  <c r="F579" i="16"/>
  <c r="F580" i="16"/>
  <c r="F581" i="16"/>
  <c r="F582" i="16"/>
  <c r="F583" i="16"/>
  <c r="F584" i="16"/>
  <c r="F585" i="16"/>
  <c r="F586" i="16"/>
  <c r="F587" i="16"/>
  <c r="F588" i="16"/>
  <c r="F589" i="16"/>
  <c r="F590" i="16"/>
  <c r="F591" i="16"/>
  <c r="F592" i="16"/>
  <c r="F593" i="16"/>
  <c r="F594" i="16"/>
  <c r="F595" i="16"/>
  <c r="F596" i="16"/>
  <c r="F597" i="16"/>
  <c r="F598" i="16"/>
  <c r="F599" i="16"/>
  <c r="F600" i="16"/>
  <c r="F601" i="16"/>
  <c r="F602" i="16"/>
  <c r="F603" i="16"/>
  <c r="F604" i="16"/>
  <c r="F605" i="16"/>
  <c r="F606" i="16"/>
  <c r="F607" i="16"/>
  <c r="F608" i="16"/>
  <c r="F569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501" i="16"/>
  <c r="F502" i="16"/>
  <c r="F503" i="16"/>
  <c r="F504" i="16"/>
  <c r="F505" i="16"/>
  <c r="F506" i="16"/>
  <c r="F507" i="16"/>
  <c r="F508" i="16"/>
  <c r="F509" i="16"/>
  <c r="F510" i="16"/>
  <c r="F511" i="16"/>
  <c r="F512" i="16"/>
  <c r="F513" i="16"/>
  <c r="F514" i="16"/>
  <c r="F515" i="16"/>
  <c r="F516" i="16"/>
  <c r="F517" i="16"/>
  <c r="F518" i="16"/>
  <c r="F519" i="16"/>
  <c r="F520" i="16"/>
  <c r="F521" i="16"/>
  <c r="F522" i="16"/>
  <c r="F523" i="16"/>
  <c r="F524" i="16"/>
  <c r="F525" i="16"/>
  <c r="F526" i="16"/>
  <c r="F527" i="16"/>
  <c r="F528" i="16"/>
  <c r="F529" i="16"/>
  <c r="F530" i="16"/>
  <c r="F531" i="16"/>
  <c r="F532" i="16"/>
  <c r="F533" i="16"/>
  <c r="F534" i="16"/>
  <c r="F535" i="16"/>
  <c r="F536" i="16"/>
  <c r="F537" i="16"/>
  <c r="F538" i="16"/>
  <c r="F539" i="16"/>
  <c r="F540" i="16"/>
  <c r="F541" i="16"/>
  <c r="F542" i="16"/>
  <c r="F543" i="16"/>
  <c r="F544" i="16"/>
  <c r="F545" i="16"/>
  <c r="F546" i="16"/>
  <c r="F547" i="16"/>
  <c r="F548" i="16"/>
  <c r="F549" i="16"/>
  <c r="F550" i="16"/>
  <c r="F551" i="16"/>
  <c r="F552" i="16"/>
  <c r="F553" i="16"/>
  <c r="F554" i="16"/>
  <c r="F555" i="16"/>
  <c r="F556" i="16"/>
  <c r="F557" i="16"/>
  <c r="F558" i="16"/>
  <c r="F559" i="16"/>
  <c r="F560" i="16"/>
  <c r="F561" i="16"/>
  <c r="F562" i="16"/>
  <c r="F563" i="16"/>
  <c r="F564" i="16"/>
  <c r="F565" i="16"/>
  <c r="F566" i="16"/>
  <c r="F567" i="16"/>
  <c r="F568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65" i="16"/>
  <c r="F66" i="16"/>
  <c r="F67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41" i="16"/>
  <c r="F40" i="16"/>
  <c r="F16" i="16"/>
  <c r="F17" i="16"/>
  <c r="F18" i="16"/>
  <c r="F19" i="16"/>
  <c r="F20" i="16"/>
  <c r="F21" i="16"/>
  <c r="F22" i="16"/>
  <c r="F23" i="16"/>
  <c r="F24" i="16"/>
  <c r="F15" i="16"/>
  <c r="F8" i="16"/>
  <c r="F9" i="16"/>
  <c r="F10" i="16"/>
  <c r="F11" i="16"/>
  <c r="F12" i="16"/>
  <c r="F13" i="16"/>
  <c r="F1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7" i="16"/>
  <c r="F3" i="16"/>
  <c r="F4" i="16"/>
  <c r="F5" i="16"/>
  <c r="F6" i="16"/>
  <c r="F2" i="16"/>
  <c r="H66" i="15" l="1"/>
  <c r="H65" i="15"/>
  <c r="A111" i="15"/>
  <c r="A108" i="15"/>
  <c r="G95" i="15"/>
  <c r="G96" i="15"/>
  <c r="G97" i="15"/>
  <c r="G98" i="15"/>
  <c r="G99" i="15"/>
  <c r="G100" i="15"/>
  <c r="G101" i="15"/>
  <c r="G102" i="15"/>
  <c r="G94" i="15"/>
  <c r="D95" i="15"/>
  <c r="D96" i="15"/>
  <c r="D97" i="15"/>
  <c r="D98" i="15"/>
  <c r="D99" i="15"/>
  <c r="D100" i="15"/>
  <c r="D101" i="15"/>
  <c r="D102" i="15"/>
  <c r="D94" i="15"/>
  <c r="C6" i="15"/>
  <c r="C44" i="15" s="1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C46" i="15"/>
  <c r="C45" i="15"/>
  <c r="C37" i="15"/>
  <c r="C57" i="15" s="1"/>
  <c r="B37" i="15"/>
  <c r="B57" i="15" s="1"/>
  <c r="A37" i="15"/>
  <c r="B36" i="15"/>
  <c r="A36" i="15"/>
  <c r="B35" i="15"/>
  <c r="A35" i="15"/>
  <c r="B34" i="15"/>
  <c r="A34" i="15"/>
  <c r="C33" i="15"/>
  <c r="B33" i="15"/>
  <c r="A33" i="15"/>
  <c r="C32" i="15"/>
  <c r="B32" i="15"/>
  <c r="A32" i="15"/>
  <c r="C31" i="15"/>
  <c r="B31" i="15"/>
  <c r="A31" i="15"/>
  <c r="C30" i="15"/>
  <c r="B30" i="15"/>
  <c r="A30" i="15"/>
  <c r="C28" i="15"/>
  <c r="B28" i="15"/>
  <c r="C27" i="15"/>
  <c r="B27" i="15"/>
  <c r="A27" i="15"/>
  <c r="C24" i="15"/>
  <c r="B24" i="15"/>
  <c r="A24" i="15"/>
  <c r="C26" i="15"/>
  <c r="B26" i="15"/>
  <c r="C25" i="15"/>
  <c r="B25" i="15"/>
  <c r="A25" i="15"/>
  <c r="C23" i="15"/>
  <c r="B23" i="15"/>
  <c r="A23" i="15"/>
  <c r="C22" i="15"/>
  <c r="B22" i="15"/>
  <c r="A22" i="15"/>
  <c r="C21" i="15"/>
  <c r="B21" i="15"/>
  <c r="A21" i="15"/>
  <c r="C20" i="15"/>
  <c r="B20" i="15"/>
  <c r="A20" i="15"/>
  <c r="C19" i="15"/>
  <c r="C55" i="15" s="1"/>
  <c r="B19" i="15"/>
  <c r="B55" i="15" s="1"/>
  <c r="A19" i="15"/>
  <c r="C18" i="15"/>
  <c r="B18" i="15"/>
  <c r="A18" i="15"/>
  <c r="C17" i="15"/>
  <c r="B17" i="15"/>
  <c r="A17" i="15"/>
  <c r="C16" i="15"/>
  <c r="C53" i="15" s="1"/>
  <c r="B16" i="15"/>
  <c r="B53" i="15" s="1"/>
  <c r="A16" i="15"/>
  <c r="A53" i="15" s="1"/>
  <c r="C15" i="15"/>
  <c r="C52" i="15" s="1"/>
  <c r="B15" i="15"/>
  <c r="B52" i="15" s="1"/>
  <c r="A15" i="15"/>
  <c r="A52" i="15" s="1"/>
  <c r="C14" i="15"/>
  <c r="C51" i="15" s="1"/>
  <c r="B14" i="15"/>
  <c r="B51" i="15" s="1"/>
  <c r="A14" i="15"/>
  <c r="A51" i="15" s="1"/>
  <c r="C13" i="15"/>
  <c r="C50" i="15" s="1"/>
  <c r="B13" i="15"/>
  <c r="B50" i="15" s="1"/>
  <c r="A13" i="15"/>
  <c r="A50" i="15" s="1"/>
  <c r="C12" i="15"/>
  <c r="B12" i="15"/>
  <c r="A12" i="15"/>
  <c r="C11" i="15"/>
  <c r="B11" i="15"/>
  <c r="A11" i="15"/>
  <c r="C10" i="15"/>
  <c r="B10" i="15"/>
  <c r="A10" i="15"/>
  <c r="C9" i="15"/>
  <c r="B9" i="15"/>
  <c r="B6" i="15"/>
  <c r="B44" i="15" s="1"/>
  <c r="A6" i="15"/>
  <c r="A44" i="15" s="1"/>
  <c r="A9" i="15"/>
  <c r="B8" i="15"/>
  <c r="B46" i="15" s="1"/>
  <c r="A8" i="15"/>
  <c r="A46" i="15" s="1"/>
  <c r="B7" i="15"/>
  <c r="A7" i="15"/>
  <c r="C5" i="15"/>
  <c r="C43" i="15" s="1"/>
  <c r="B5" i="15"/>
  <c r="B43" i="15" s="1"/>
  <c r="A5" i="15"/>
  <c r="A43" i="15" s="1"/>
  <c r="C4" i="15"/>
  <c r="C42" i="15" s="1"/>
  <c r="B4" i="15"/>
  <c r="B42" i="15" s="1"/>
  <c r="A4" i="15"/>
  <c r="A42" i="15" s="1"/>
  <c r="C3" i="15"/>
  <c r="C41" i="15" s="1"/>
  <c r="B3" i="15"/>
  <c r="B41" i="15" s="1"/>
  <c r="A3" i="15"/>
  <c r="A41" i="15" s="1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01" i="13"/>
  <c r="E558" i="13"/>
  <c r="E559" i="13"/>
  <c r="E560" i="13"/>
  <c r="E561" i="13"/>
  <c r="E562" i="13"/>
  <c r="E564" i="13"/>
  <c r="E565" i="13"/>
  <c r="E566" i="13"/>
  <c r="E567" i="13"/>
  <c r="E568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557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182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36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2" i="13"/>
  <c r="C570" i="13"/>
  <c r="E570" i="13" s="1"/>
  <c r="C571" i="13"/>
  <c r="E571" i="13" s="1"/>
  <c r="C572" i="13"/>
  <c r="E572" i="13" s="1"/>
  <c r="C573" i="13"/>
  <c r="E573" i="13" s="1"/>
  <c r="C574" i="13"/>
  <c r="E574" i="13" s="1"/>
  <c r="C575" i="13"/>
  <c r="E575" i="13" s="1"/>
  <c r="C569" i="13"/>
  <c r="E569" i="13" s="1"/>
  <c r="C563" i="13"/>
  <c r="E563" i="13" s="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229" i="11"/>
  <c r="E221" i="11"/>
  <c r="E222" i="11"/>
  <c r="E223" i="11"/>
  <c r="E224" i="11"/>
  <c r="E225" i="11"/>
  <c r="E226" i="11"/>
  <c r="E227" i="11"/>
  <c r="E228" i="11"/>
  <c r="E220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0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166" i="11"/>
  <c r="E165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2" i="11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203" i="10"/>
  <c r="E196" i="10"/>
  <c r="E197" i="10"/>
  <c r="E198" i="10"/>
  <c r="E199" i="10"/>
  <c r="E200" i="10"/>
  <c r="E201" i="10"/>
  <c r="E202" i="10"/>
  <c r="E195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8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41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2" i="10"/>
  <c r="B42" i="9"/>
  <c r="B41" i="9"/>
  <c r="B40" i="9"/>
  <c r="D29" i="9"/>
  <c r="B29" i="9"/>
  <c r="C29" i="9" s="1"/>
  <c r="D14" i="9"/>
  <c r="B14" i="9"/>
  <c r="C14" i="9" s="1"/>
  <c r="F1869" i="6"/>
  <c r="F1870" i="6"/>
  <c r="F1871" i="6"/>
  <c r="F1872" i="6"/>
  <c r="F1873" i="6"/>
  <c r="F1874" i="6"/>
  <c r="F1875" i="6"/>
  <c r="F1876" i="6"/>
  <c r="F1868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50" i="6"/>
  <c r="F1849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21" i="6"/>
  <c r="F1820" i="6"/>
  <c r="F1819" i="6"/>
  <c r="F1808" i="6"/>
  <c r="F1809" i="6"/>
  <c r="F1810" i="6"/>
  <c r="F1811" i="6"/>
  <c r="F1812" i="6"/>
  <c r="F1813" i="6"/>
  <c r="F1814" i="6"/>
  <c r="F1815" i="6"/>
  <c r="F1816" i="6"/>
  <c r="F1817" i="6"/>
  <c r="F1818" i="6"/>
  <c r="F1807" i="6"/>
  <c r="F1806" i="6"/>
  <c r="F1805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790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61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34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676" i="6"/>
  <c r="F1668" i="6"/>
  <c r="F1669" i="6"/>
  <c r="F1670" i="6"/>
  <c r="F1671" i="6"/>
  <c r="F1672" i="6"/>
  <c r="F1673" i="6"/>
  <c r="F1674" i="6"/>
  <c r="F1675" i="6"/>
  <c r="F1667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291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56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193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920" i="6"/>
  <c r="F918" i="6"/>
  <c r="F919" i="6"/>
  <c r="F917" i="6"/>
  <c r="F910" i="6"/>
  <c r="F911" i="6"/>
  <c r="F912" i="6"/>
  <c r="F913" i="6"/>
  <c r="F914" i="6"/>
  <c r="F915" i="6"/>
  <c r="F916" i="6"/>
  <c r="F909" i="6"/>
  <c r="F904" i="6"/>
  <c r="F905" i="6"/>
  <c r="F907" i="6"/>
  <c r="F908" i="6"/>
  <c r="F903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881" i="6"/>
  <c r="F879" i="6"/>
  <c r="F88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60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12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794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67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50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32" i="6"/>
  <c r="F631" i="6"/>
  <c r="F63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10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595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454" i="6"/>
  <c r="F453" i="6"/>
  <c r="F452" i="6"/>
  <c r="F451" i="6"/>
  <c r="F45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324" i="6"/>
  <c r="F325" i="6"/>
  <c r="F326" i="6"/>
  <c r="F327" i="6"/>
  <c r="F323" i="6"/>
  <c r="F420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8" i="6"/>
  <c r="F419" i="6"/>
  <c r="F388" i="6"/>
  <c r="F383" i="6"/>
  <c r="F384" i="6"/>
  <c r="F385" i="6"/>
  <c r="F386" i="6"/>
  <c r="F387" i="6"/>
  <c r="F382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28" i="6"/>
  <c r="F319" i="6"/>
  <c r="F320" i="6"/>
  <c r="F321" i="6"/>
  <c r="F322" i="6"/>
  <c r="F318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273" i="6"/>
  <c r="F271" i="6"/>
  <c r="F272" i="6"/>
  <c r="F270" i="6"/>
  <c r="F268" i="6"/>
  <c r="F269" i="6"/>
  <c r="F267" i="6"/>
  <c r="F260" i="6"/>
  <c r="F261" i="6"/>
  <c r="F262" i="6"/>
  <c r="F263" i="6"/>
  <c r="F264" i="6"/>
  <c r="F265" i="6"/>
  <c r="F266" i="6"/>
  <c r="F259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33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20" i="6"/>
  <c r="F212" i="6"/>
  <c r="F213" i="6"/>
  <c r="F214" i="6"/>
  <c r="F215" i="6"/>
  <c r="F216" i="6"/>
  <c r="F217" i="6"/>
  <c r="F218" i="6"/>
  <c r="F219" i="6"/>
  <c r="F211" i="6"/>
  <c r="F201" i="6"/>
  <c r="F202" i="6"/>
  <c r="F203" i="6"/>
  <c r="F204" i="6"/>
  <c r="F205" i="6"/>
  <c r="F206" i="6"/>
  <c r="F207" i="6"/>
  <c r="F208" i="6"/>
  <c r="F209" i="6"/>
  <c r="F210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175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47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04" i="6"/>
  <c r="F97" i="6"/>
  <c r="F98" i="6"/>
  <c r="F99" i="6"/>
  <c r="F100" i="6"/>
  <c r="F101" i="6"/>
  <c r="F102" i="6"/>
  <c r="F103" i="6"/>
  <c r="F96" i="6"/>
  <c r="F86" i="6"/>
  <c r="F87" i="6"/>
  <c r="F88" i="6"/>
  <c r="F89" i="6"/>
  <c r="F90" i="6"/>
  <c r="F91" i="6"/>
  <c r="F92" i="6"/>
  <c r="F93" i="6"/>
  <c r="F94" i="6"/>
  <c r="F95" i="6"/>
  <c r="F85" i="6"/>
  <c r="F76" i="6"/>
  <c r="F77" i="6"/>
  <c r="F78" i="6"/>
  <c r="F79" i="6"/>
  <c r="F80" i="6"/>
  <c r="F81" i="6"/>
  <c r="F82" i="6"/>
  <c r="F83" i="6"/>
  <c r="F84" i="6"/>
  <c r="F75" i="6"/>
  <c r="F65" i="6"/>
  <c r="F66" i="6"/>
  <c r="F67" i="6"/>
  <c r="F68" i="6"/>
  <c r="F69" i="6"/>
  <c r="F70" i="6"/>
  <c r="F71" i="6"/>
  <c r="F72" i="6"/>
  <c r="F73" i="6"/>
  <c r="F74" i="6"/>
  <c r="F64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4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20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" i="6"/>
  <c r="D1604" i="6"/>
  <c r="F1604" i="6" s="1"/>
  <c r="D1603" i="6"/>
  <c r="F1603" i="6" s="1"/>
  <c r="D1602" i="6"/>
  <c r="F1602" i="6" s="1"/>
  <c r="D1601" i="6"/>
  <c r="F1601" i="6" s="1"/>
  <c r="D906" i="6"/>
  <c r="F906" i="6" s="1"/>
  <c r="D417" i="6"/>
  <c r="F417" i="6" s="1"/>
  <c r="C30" i="1"/>
  <c r="C29" i="1"/>
  <c r="C28" i="1"/>
  <c r="C27" i="1"/>
  <c r="C26" i="1"/>
  <c r="D30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D26" i="1" s="1"/>
  <c r="C15" i="1"/>
  <c r="D14" i="1"/>
  <c r="C14" i="1"/>
  <c r="D13" i="1"/>
  <c r="C13" i="1"/>
  <c r="D11" i="1"/>
  <c r="C11" i="1"/>
  <c r="D29" i="1" s="1"/>
  <c r="D10" i="1"/>
  <c r="C10" i="1"/>
  <c r="D9" i="1"/>
  <c r="C9" i="1"/>
  <c r="D7" i="1"/>
  <c r="C7" i="1"/>
  <c r="D6" i="1"/>
  <c r="C6" i="1"/>
  <c r="D4" i="1"/>
  <c r="C4" i="1"/>
  <c r="D3" i="1"/>
  <c r="C3" i="1"/>
  <c r="D2" i="1"/>
  <c r="C2" i="1"/>
  <c r="D24" i="5"/>
  <c r="C24" i="5"/>
  <c r="C26" i="5"/>
  <c r="C25" i="5"/>
  <c r="D22" i="5"/>
  <c r="C22" i="5"/>
  <c r="D19" i="5"/>
  <c r="D25" i="5" s="1"/>
  <c r="D9" i="5"/>
  <c r="C23" i="5"/>
  <c r="D6" i="5"/>
  <c r="C6" i="5"/>
  <c r="D23" i="5"/>
  <c r="D10" i="5"/>
  <c r="C10" i="5"/>
  <c r="C11" i="5"/>
  <c r="D8" i="5"/>
  <c r="D7" i="5"/>
  <c r="D11" i="5"/>
  <c r="D5" i="5"/>
  <c r="D4" i="5"/>
  <c r="C4" i="5"/>
  <c r="D17" i="4"/>
  <c r="D19" i="4"/>
  <c r="C19" i="4"/>
  <c r="D20" i="4"/>
  <c r="C20" i="4"/>
  <c r="D16" i="4"/>
  <c r="C17" i="4"/>
  <c r="C16" i="4"/>
  <c r="D7" i="4"/>
  <c r="C7" i="4"/>
  <c r="D18" i="3"/>
  <c r="C18" i="3"/>
  <c r="D19" i="3"/>
  <c r="C19" i="3"/>
  <c r="D20" i="3"/>
  <c r="C20" i="3"/>
  <c r="D17" i="3"/>
  <c r="C17" i="3"/>
  <c r="D16" i="3"/>
  <c r="C16" i="3"/>
  <c r="D6" i="3"/>
  <c r="C6" i="3"/>
  <c r="D9" i="3"/>
  <c r="C9" i="3"/>
  <c r="D3" i="3"/>
  <c r="C3" i="3"/>
  <c r="D11" i="3"/>
  <c r="C12" i="2"/>
  <c r="D5" i="2"/>
  <c r="C5" i="2"/>
  <c r="C11" i="3"/>
  <c r="D7" i="3"/>
  <c r="C7" i="3"/>
  <c r="D2" i="3"/>
  <c r="C2" i="3"/>
  <c r="C7" i="2"/>
  <c r="C14" i="2" s="1"/>
  <c r="D7" i="2"/>
  <c r="D14" i="2" s="1"/>
  <c r="C11" i="2"/>
  <c r="D10" i="2"/>
  <c r="C10" i="2"/>
  <c r="D12" i="2"/>
  <c r="D6" i="2"/>
  <c r="D13" i="2" s="1"/>
  <c r="C6" i="2"/>
  <c r="C13" i="2" s="1"/>
  <c r="H95" i="15" l="1"/>
  <c r="C47" i="15"/>
  <c r="B47" i="15"/>
  <c r="C56" i="15"/>
  <c r="F52" i="15"/>
  <c r="F55" i="15"/>
  <c r="H94" i="15"/>
  <c r="C54" i="15"/>
  <c r="C49" i="15"/>
  <c r="H102" i="15"/>
  <c r="B49" i="15"/>
  <c r="F41" i="15"/>
  <c r="F50" i="15"/>
  <c r="F42" i="15"/>
  <c r="C40" i="15"/>
  <c r="F56" i="15"/>
  <c r="F44" i="15"/>
  <c r="H101" i="15"/>
  <c r="H100" i="15"/>
  <c r="B48" i="15"/>
  <c r="B40" i="15"/>
  <c r="H99" i="15"/>
  <c r="F53" i="15"/>
  <c r="F46" i="15"/>
  <c r="F43" i="15"/>
  <c r="C48" i="15"/>
  <c r="F51" i="15"/>
  <c r="H98" i="15"/>
  <c r="F45" i="15"/>
  <c r="A45" i="15"/>
  <c r="B54" i="15"/>
  <c r="F54" i="15" s="1"/>
  <c r="H97" i="15"/>
  <c r="H96" i="15"/>
  <c r="F57" i="15"/>
  <c r="D27" i="1"/>
  <c r="D28" i="1"/>
  <c r="D26" i="5"/>
  <c r="F49" i="15" l="1"/>
  <c r="F47" i="15"/>
  <c r="F48" i="15"/>
  <c r="C60" i="15"/>
  <c r="H108" i="15"/>
  <c r="H111" i="15"/>
  <c r="H105" i="15"/>
  <c r="F60" i="15"/>
  <c r="C61" i="15" l="1"/>
  <c r="H61" i="15"/>
  <c r="H60" i="15"/>
</calcChain>
</file>

<file path=xl/sharedStrings.xml><?xml version="1.0" encoding="utf-8"?>
<sst xmlns="http://schemas.openxmlformats.org/spreadsheetml/2006/main" count="1269" uniqueCount="612">
  <si>
    <t>soil</t>
  </si>
  <si>
    <t>agricultural land</t>
  </si>
  <si>
    <t>river</t>
  </si>
  <si>
    <t>atmosphere</t>
  </si>
  <si>
    <t>lake</t>
  </si>
  <si>
    <t>shoreline</t>
  </si>
  <si>
    <t>sea surface</t>
  </si>
  <si>
    <t>sea ice</t>
  </si>
  <si>
    <t>deep sea water</t>
  </si>
  <si>
    <t>deep sea sediment</t>
  </si>
  <si>
    <t>seabirds</t>
  </si>
  <si>
    <t>350-1604 MP/kg</t>
  </si>
  <si>
    <t>88-2830 MP/kg</t>
  </si>
  <si>
    <t>3.5e-4-0.32 MP/L</t>
  </si>
  <si>
    <t>2-1008 MP/m2/day fallout</t>
  </si>
  <si>
    <t>2.7e-4-0.03 MP/L</t>
  </si>
  <si>
    <t>0.008-0.124 MP/kg</t>
  </si>
  <si>
    <t>0-2500 g/km-2</t>
  </si>
  <si>
    <t>38-234 MP/m3</t>
  </si>
  <si>
    <t>70.8 particles/m3</t>
  </si>
  <si>
    <t>0.028-0.8 MP/mL</t>
  </si>
  <si>
    <t>26.5±2.1 plastic pieces/bird</t>
  </si>
  <si>
    <t>notes</t>
  </si>
  <si>
    <t>references</t>
  </si>
  <si>
    <t>Thompson, R. C. et al. Twenty years of microplastic pollution research—what have we learned? Science 386, eadl2746 (2024).</t>
  </si>
  <si>
    <t>O’Brien, S. et al. There’s something in the air: A review of sources, prevalence and behaviour of microplastics in the atmosphere. Science of The Total Environment 874, 162193 (2023).</t>
  </si>
  <si>
    <t>indoor air</t>
  </si>
  <si>
    <t>&lt;1 - 1583±1181 MP/m3</t>
  </si>
  <si>
    <t>outdoor air</t>
  </si>
  <si>
    <t>&lt;1 - &gt;1000 MP/m3</t>
  </si>
  <si>
    <t>sludge</t>
  </si>
  <si>
    <t>113 MP/g (dw)</t>
  </si>
  <si>
    <t>4.2-28.7 MP/g (dw)</t>
  </si>
  <si>
    <t>4.4 MP/g (dw)</t>
  </si>
  <si>
    <t>1000-24000 MP/g (dw)</t>
  </si>
  <si>
    <t>1701-19837 MP/g (dw)</t>
  </si>
  <si>
    <t>4196-15385 MP/g (dw)</t>
  </si>
  <si>
    <t>16700 MP/g (dw)</t>
  </si>
  <si>
    <t>1565-56386 MP/kg (dw)</t>
  </si>
  <si>
    <t>9.6-14.9 MP/g (dw)</t>
  </si>
  <si>
    <t>Hassan, F. et al. Microplastic contamination in sewage sludge: Abundance, characteristics, and impacts on the environment and human health. Environmental Technology &amp; Innovation 31, 103176 (2023).</t>
  </si>
  <si>
    <t>summary</t>
  </si>
  <si>
    <t>soil/agricultural land</t>
  </si>
  <si>
    <t>water</t>
  </si>
  <si>
    <t>air</t>
  </si>
  <si>
    <t>sediment</t>
  </si>
  <si>
    <t>from MDPI, need to double check cited sources</t>
  </si>
  <si>
    <t>low [ng/g]</t>
  </si>
  <si>
    <t>high [ng/g]</t>
  </si>
  <si>
    <t>&lt;0.01</t>
  </si>
  <si>
    <t>Pascu, L. F. et al. Managing PFAS in Sewage Sludge: Exposure Pathways, Impacts, and Treatment Innovations. Journal of Xenobiotics 15, 135 (2025).</t>
  </si>
  <si>
    <t>&lt;0.01-17000 ng/g (dw)</t>
  </si>
  <si>
    <t>36.8-2990 ng/kg (dw)</t>
  </si>
  <si>
    <t>Pulster, E. L. et al. Assessing per- and polyfluoroalkyl substances (PFAS) in sediments and fishes in a large, urbanized estuary and the potential human health implications. Front. Mar. Sci. 9, (2022).</t>
  </si>
  <si>
    <t>0.000203304-27777680 ng/L</t>
  </si>
  <si>
    <t>4.2 to 280 pg/m3</t>
  </si>
  <si>
    <t>Li, W.-L. et al. Assessing the Shifts in Atmospheric Per- and Polyfluoroalkyl Substances (PFAS) Levels in the Great Lakes and Implications for the Environmental Transport and Fate. ACS EST Air 2, 1927–1938 (2025).</t>
  </si>
  <si>
    <t>&lt;0.001-237 µg/kg</t>
  </si>
  <si>
    <t>&lt;0.001</t>
  </si>
  <si>
    <t>Brusseau, M. L., Anderson, R. H. &amp; Guo, B. PFAS concentrations in soils: Background levels versus contaminated sites. Science of The Total Environment 740, 140017 (2020).</t>
  </si>
  <si>
    <t>5.4-22.4 ng/g</t>
  </si>
  <si>
    <t>Biswas, B. et al. Contamination of per- and poly-fluoroalkyl substances in agricultural soils: A review. Journal of Environmental Management 380, 124993 (2025).</t>
  </si>
  <si>
    <t>assume the density of air is 1.225 kg/m3</t>
  </si>
  <si>
    <t>assume the density of sea ice is 900 kg/m3</t>
  </si>
  <si>
    <t>assume the density of deep sea water is 1050 kg/m3</t>
  </si>
  <si>
    <t>assume the density of deep sea sediment is 1700 kg/m3</t>
  </si>
  <si>
    <t>Ackerman Grunfeld, D. et al. Underestimated burden of per- and polyfluoroalkyl substances in global surface waters and groundwaters. Nat. Geosci. 17, 340–346 (2024).</t>
  </si>
  <si>
    <t>assume the density of water is 1000 kg/m3, data from the extended data of the paper</t>
  </si>
  <si>
    <t>&lt;0.03-4800 ng/L</t>
  </si>
  <si>
    <t>&lt;0.01-8067 ng/g (dw)</t>
  </si>
  <si>
    <t>there is one anomalous value mentioned in the abstract</t>
  </si>
  <si>
    <t>Swansborough, C. et al. Trend analysis of environmental concentrations of Bisphenol A in European waters and sediments. Environmental Research 282, 121946 (2025).</t>
  </si>
  <si>
    <t>0.104-0.312 µg/g</t>
  </si>
  <si>
    <t>Mohapatra, D. P., Brar, S. K., Tyagi, R. D. &amp; Surampalli, R. Y. Occurrence of Bisphenol A in Wastewater and Wastewater Sludge of CUQ Treatment Plant. Journal of Xenobiotics 1, e3 (2011).</t>
  </si>
  <si>
    <t>Lee, H.-B. &amp; Peart, T. E. Bisphenol A Contamination in Canadian Municipal and Industrial Wastewater and Sludge Samples. Water Quality Research Journal 35, 283–298 (2000).</t>
  </si>
  <si>
    <t>0.033-36.7 µg/g (dw)</t>
  </si>
  <si>
    <t>not indicating dry weight or not</t>
  </si>
  <si>
    <t>12.8-4730 ng/g (dw)</t>
  </si>
  <si>
    <t>bisphenols, may not just be BPA</t>
  </si>
  <si>
    <t>Yu, X. et al. Occurrence and estrogenic potency of eight bisphenol analogs in sewage sludge from the U.S. EPA targeted national sewage sludge survey. Journal of Hazardous Materials 299, 733–739 (2015).</t>
  </si>
  <si>
    <t>4.6-38.7 µg/g</t>
  </si>
  <si>
    <t>Petrie, B. et al. Assessment of bisphenol-A in the urban water cycle. Science of The Total Environment 650, 900–907 (2019).</t>
  </si>
  <si>
    <t>~50-~3000 ng/g</t>
  </si>
  <si>
    <t>estimation from Fig. 1, not indicating dry weight or not</t>
  </si>
  <si>
    <t>Guerra, P., Kim, M., Teslic, S., Alaee, M. &amp; Smyth, S. A. Bisphenol-A removal in various wastewater treatment processes: Operational conditions, mass balance, and optimization. Journal of Environmental Management 152, 192–200 (2015).</t>
  </si>
  <si>
    <t>1-17400 pg/m3</t>
  </si>
  <si>
    <t>Fu, P. &amp; Kawamura, K. Ubiquity of bisphenol A in the atmosphere. Environmental Pollution 158, 3138–3143 (2010).</t>
  </si>
  <si>
    <t>4-~140 µg/kg (dw)</t>
  </si>
  <si>
    <t>Kwak, J. I., Moon, J., Kim, D., Cui, R. &amp; An, Y.-J. Determination of the soil hazardous concentrations of bisphenol A using the species sensitivity approach. Journal of Hazardous Materials 344, 390–397 (2018).</t>
  </si>
  <si>
    <t>agricultural land/soil</t>
  </si>
  <si>
    <t>26.97-3817.28 ng/g</t>
  </si>
  <si>
    <t>6.92-91.42 ng/L</t>
  </si>
  <si>
    <t>12.3-23500 ng/g</t>
  </si>
  <si>
    <t>23500 is based on dry weight according the original source, the other one not indicating dry weight or not</t>
  </si>
  <si>
    <t>Qin, Y. et al. Medium distribution, source characteristics and ecological risk of bisphenol compounds in agricultural environment. Emerging Contaminants 10, 100292 (2024).</t>
  </si>
  <si>
    <t>280-4898 µg/kg (dw)</t>
  </si>
  <si>
    <t>Aydın, S., Ulvi, A., Bedük, F. &amp; Aydın, M. E. Pharmaceutical residues in digested sewage sludge: Occurrence, seasonal variation and risk assessment for soil. Science of The Total Environment 817, 152864 (2022).</t>
  </si>
  <si>
    <t>0.25-272200 ng/L</t>
  </si>
  <si>
    <t>individual chemicals</t>
  </si>
  <si>
    <t>Ortúzar, M., Esterhuizen, M., Olicón-Hernández, D. R., González-López, J. &amp; Aranda, E. Pharmaceutical Pollution in Aquatic Environments: A Concise Review of Environmental Impacts and Bioremediation Systems. Front. Microbiol. 13, (2022).</t>
  </si>
  <si>
    <t>0-297 µg/L</t>
  </si>
  <si>
    <t>Wilkinson, J. L. et al. Pharmaceutical pollution of the world’s rivers. Proceedings of the National Academy of Sciences 119, e2113947119 (2022).</t>
  </si>
  <si>
    <t>0 from Dataset S6</t>
  </si>
  <si>
    <t>N/A</t>
  </si>
  <si>
    <t>Dawood, A., Drage, D. S., Harrad, S. &amp; Abdallah, M. A.-E. Concentrations, partitioning and ecological risk of pharmaceuticals and personal care products in UK freshwater sediment. Environmental Pollution and Management 1, 87–98 (2024).</t>
  </si>
  <si>
    <t>1-44.77 ng/g (dw)</t>
  </si>
  <si>
    <t>individual chemicals (not indicating dw), the average values of the sum of 30 chemicals are 62-129 ng/g (dw)</t>
  </si>
  <si>
    <t>0.03-309 ng/g (probably dw)</t>
  </si>
  <si>
    <t>Becerra-Rueda, O. F., Rodríguez-Figueroa, G. M., Marmolejo-Rodríguez, A. J., Aguíñiga-García, S. &amp; Durán-Álvarez, J. C. Pharmaceutical Residues in Sediments of a Coastal Lagoon in Northwest Mexico—Occurrence and Environmental Risk Assessment. Journal of Xenobiotics 14, 1757–1770 (2024).</t>
  </si>
  <si>
    <t>0.01-3111 ng/g (dw)</t>
  </si>
  <si>
    <t>Wanjeri, V. W. O., Okuku, E., Ngila, J. C., Ouma, J. &amp; Ndungu, P. G. Distribution of pharmaceuticals in marine surface sediment and macroalgae (ulvophyceae) around Mombasa peri-urban creeks and Gazi Bay, Kenya. Environ Sci Pollut Res 32, 4103–4123 (2025).</t>
  </si>
  <si>
    <t>0-3237 µg/kg (dw)</t>
  </si>
  <si>
    <t>Martín, J., Camacho-Muñoz, D., Santos, J. L., Aparicio, I. &amp; Alonso, E. Occurrence of pharmaceutical compounds in wastewater and sludge from wastewater treatment plants: Removal and ecotoxicological impact of wastewater discharges and sludge disposal. Journal of Hazardous Materials 239–240, 40–47 (2012).</t>
  </si>
  <si>
    <t>Jelic, A. et al. Occurrence, partition and removal of pharmaceuticals in sewage water and sludge during wastewater treatment. Water Research 45, 1165–1176 (2011).</t>
  </si>
  <si>
    <t>up to 1958 µg/kg (dw)</t>
  </si>
  <si>
    <t>up to 100 ng/g (dw)</t>
  </si>
  <si>
    <t>Nieto, A., Borrull, F., Pocurull, E. &amp; Marcé, R. M. Occurrence of pharmaceuticals and hormones in sewage sludge. Environmental Toxicology and Chemistry 29, 1484–1489 (2010).</t>
  </si>
  <si>
    <t>up to 24760 µg/kg</t>
  </si>
  <si>
    <t>individual chemicals (not indicating dw)</t>
  </si>
  <si>
    <t>Chen, Y. et al. Occurrence and environmental implications of pharmaceuticals in Chinese municipal sewage sludge. Chemosphere 93, 1765–1772 (2013).</t>
  </si>
  <si>
    <t>0-728.4 ng/g</t>
  </si>
  <si>
    <t>Gworek, B., Kijeńska, M., Wrzosek, J. &amp; Graniewska, M. Pharmaceuticals in the Soil and Plant Environment: a Review. Water Air Soil Pollut 232, 145 (2021).</t>
  </si>
  <si>
    <t>Nguyen, M.-K. et al. Occurrence, fate, and potential risk of pharmaceutical pollutants in agriculture: Challenges and environmentally friendly solutions. Science of The Total Environment 899, 165323 (2023).</t>
  </si>
  <si>
    <t>0.048-50000 ng/g</t>
  </si>
  <si>
    <r>
      <t xml:space="preserve">individual chemicals (not indicating dw), </t>
    </r>
    <r>
      <rPr>
        <sz val="12"/>
        <color rgb="FFC00000"/>
        <rFont val="Aptos Narrow (Body)"/>
      </rPr>
      <t>178000 ng/g for biosolid-enriched agricultural soils, 50000 for agricultural soils (not mentioning biosolids</t>
    </r>
  </si>
  <si>
    <t>&lt;1-1044.7 µg/kg (dw)</t>
  </si>
  <si>
    <t>Nas, B. et al. Fate and removal of pesticides in solid and liquid phases of metropolitan, urban and rural-scale wastewater treatment plants. Journal of Water Process Engineering 53, 103680 (2023).</t>
  </si>
  <si>
    <t>0-10370 ng/L</t>
  </si>
  <si>
    <t>Syafrudin, M. et al. Pesticides in Drinking Water—A Review. International Journal of Environmental Research and Public Health 18, 468 (2021).</t>
  </si>
  <si>
    <t>assume the density of water is 1 kg/L</t>
  </si>
  <si>
    <t>up to 136680 ng/L</t>
  </si>
  <si>
    <t>assume the density of water is 1 kg/L, individual chemicals</t>
  </si>
  <si>
    <t>Stackpoole, S. M., Shoda, M. E., Medalie, L. &amp; Stone, W. W. Pesticides in US Rivers: Regional differences in use, occurrence, and environmental toxicity, 2013 to 2017. Science of The Total Environment 787, 147147 (2021).</t>
  </si>
  <si>
    <t>marine atmosphere</t>
  </si>
  <si>
    <t>1.6-417 pg/m3</t>
  </si>
  <si>
    <t>Debler, F. et al. Currently used and legacy pesticides in the marine atmosphere from Patagonia to Europe. Environmental Pollution 373, 126175 (2025).</t>
  </si>
  <si>
    <t>surface water</t>
  </si>
  <si>
    <t>0-2295 µg/L</t>
  </si>
  <si>
    <t>groundwater</t>
  </si>
  <si>
    <t>0-17163 µg/L</t>
  </si>
  <si>
    <r>
      <t xml:space="preserve">assume the density of water is 1 kg/L, individual chemicals, from </t>
    </r>
    <r>
      <rPr>
        <b/>
        <sz val="12"/>
        <color theme="1"/>
        <rFont val="Aptos Narrow"/>
        <scheme val="minor"/>
      </rPr>
      <t>Table S2</t>
    </r>
    <r>
      <rPr>
        <sz val="12"/>
        <color theme="1"/>
        <rFont val="Aptos Narrow"/>
        <family val="2"/>
        <scheme val="minor"/>
      </rPr>
      <t>, note Trichloromethane was not considered as a pesticide</t>
    </r>
  </si>
  <si>
    <r>
      <t xml:space="preserve">assume the density of water is 1 kg/L, from </t>
    </r>
    <r>
      <rPr>
        <b/>
        <sz val="12"/>
        <color theme="1"/>
        <rFont val="Aptos Narrow"/>
        <scheme val="minor"/>
      </rPr>
      <t>Table S1</t>
    </r>
  </si>
  <si>
    <t>Huang, Y. &amp; Li, Z. Global mapping of freshwater contamination by pesticides and implications for agriculture and water resource protection. iScience 28, 112861 (2025).</t>
  </si>
  <si>
    <t>1.02-251.28 µg/kg</t>
  </si>
  <si>
    <t>Bhandari, G., Atreya, K., Scheepers, P. T. J. &amp; Geissen, V. Concentration and distribution of pesticide residues in soil: Non-dietary human health risk assessment. Chemosphere 253, 126594 (2020).</t>
  </si>
  <si>
    <t>agricultural soil</t>
  </si>
  <si>
    <t>0-2045 µg/kg (dw)</t>
  </si>
  <si>
    <t>Hagner, M. et al. Pesticide residues in boreal arable soils: Countrywide study of occurrence and risks. Environmental Pollution 357, 124430 (2024).</t>
  </si>
  <si>
    <t>0.0273-193 pg/m3</t>
  </si>
  <si>
    <t>seawater</t>
  </si>
  <si>
    <t>0.0251-530 pg/L</t>
  </si>
  <si>
    <t>Zhang, X. et al. Pesticides in the atmosphere and seawater in a transect study from the Western Pacific to the Southern Ocean: The importance of continental discharges and air-seawater exchange. Water Research 217, 118439 (2022).</t>
  </si>
  <si>
    <t>0.288-12700 µg/kg</t>
  </si>
  <si>
    <t>individual chemicals, read from figures, assume the density of air is 1.225 kg/m3</t>
  </si>
  <si>
    <t>Knuth, D. et al. Pesticide Residues in Organic and Conventional Agricultural Soils across Europe: Measured and Predicted Concentrations. Environ. Sci. Technol. 58, 6744–6752 (2024).</t>
  </si>
  <si>
    <t>0.3-430 µg/kg (dw)</t>
  </si>
  <si>
    <t>Riedo, J. et al. Pesticide residues in agricultural soils in light of their on-farm application history. Environmental Pollution 331, 121892 (2023).</t>
  </si>
  <si>
    <t>assume the density of seawater is 1.025 kg/L, individual chemicals, read from figures</t>
  </si>
  <si>
    <t>80-1200 µg/kg</t>
  </si>
  <si>
    <t>Khurshid, C. et al. Pesticide residues in European sediments: A significant concern for the aquatic systems? Environmental Research 261, 119754 (2024).</t>
  </si>
  <si>
    <t>0-64.15 ng/g (dw)</t>
  </si>
  <si>
    <t>Pereira, P. C. G. et al. Occurrence of current-use pesticides in sediment cores from lakes and peatlands in pristine mountain areas of Brazilian national parks. Environmental Pollution 372, 126005 (2025).</t>
  </si>
  <si>
    <t>0-3610 ng/L</t>
  </si>
  <si>
    <t>0-33.2 ng/L</t>
  </si>
  <si>
    <t>0-90210 µg/kg (dw)</t>
  </si>
  <si>
    <t>not PCB is not a pesticide</t>
  </si>
  <si>
    <t>Clarke, B. O., Porter, N. A., Marriott, P. J. &amp; Blackbeard, J. R. Investigating the levels and trends of organochlorine pesticides and polychlorinated biphenyl in sewage sludge. Environment International 36, 323–329 (2010).</t>
  </si>
  <si>
    <t>Uychutin, M. et al. Pesticide Concentrations of Surface Water and Suspended Sediment in Yolo By-Pass and Cache Slough Complex, California, 2019–2021. Data Report https://pubs.usgs.gov/publication/dr1195/full (2024) doi:10.3133/dr1195.</t>
  </si>
  <si>
    <t>Jimenez, A. 2023 Air Monitoring Report Finds No Detectable Pesticides in 95% of Sample Analyses. Department of Pesticide Regulation https://www.cdpr.ca.gov/2024/10/14/2023-air-monitoring-report-finds-no-detectable-pesticides-in-95-of-sample-analyses/ (2024).</t>
  </si>
  <si>
    <t>no detectable in 95% of samples</t>
  </si>
  <si>
    <t>low [MP/g]</t>
  </si>
  <si>
    <t>high [MP/g]</t>
  </si>
  <si>
    <t>assume the density of water is 1000 kg/m3</t>
  </si>
  <si>
    <t>year</t>
  </si>
  <si>
    <t>title</t>
  </si>
  <si>
    <t>compartment</t>
  </si>
  <si>
    <t>concentration</t>
  </si>
  <si>
    <t>unit</t>
  </si>
  <si>
    <t>note</t>
  </si>
  <si>
    <t>Fate of microplastics in the drinking water production</t>
  </si>
  <si>
    <t>MP/m3</t>
  </si>
  <si>
    <t>Horizontal distribution of surface microplastic concentrations and water-column microplastic inventories in the Chukchi Sea, western Arctic Ocean</t>
  </si>
  <si>
    <t>author</t>
  </si>
  <si>
    <t>Bäuerlein et al.</t>
  </si>
  <si>
    <t>Ikenoue et al.</t>
  </si>
  <si>
    <t>*10^-3 MP/m3</t>
  </si>
  <si>
    <t>Estahbanati et al.</t>
  </si>
  <si>
    <t>Influence of wastewater treatment plant discharges on microplastic concentrations in surface water</t>
  </si>
  <si>
    <t>Microplastics in drinking water: A review and assessment</t>
  </si>
  <si>
    <t>Eerkes-Medrano et al.</t>
  </si>
  <si>
    <t>MP/L</t>
  </si>
  <si>
    <t>Low numbers of microplastics detected in drinking water from ground water sources</t>
  </si>
  <si>
    <t>Mintenig et al.</t>
  </si>
  <si>
    <t>Comparative assessment of microplastics in water and sediment of a large European river</t>
  </si>
  <si>
    <t>Scherer et al.</t>
  </si>
  <si>
    <t>MP/kg (dry)</t>
  </si>
  <si>
    <t>Microplastic concentrations, size distribution, and polymer types in the surface waters of a northern European lake</t>
  </si>
  <si>
    <t>Uurasjärvi et al.</t>
  </si>
  <si>
    <t>Microplastics Baseline Surveys at the Water Surface and in Sediments of the North-East Atlantic</t>
  </si>
  <si>
    <t>Assessment of the sources and inflow processes of microplastics in the river environments of Japan</t>
  </si>
  <si>
    <t>Kataoka</t>
  </si>
  <si>
    <t>Distribution and characteristics of microplastics in urban waters of seven cities in the Tuojiang River basin, China</t>
  </si>
  <si>
    <t>Zhou et al.</t>
  </si>
  <si>
    <t>First evaluation of neustonic microplastics in Black Sea waters</t>
  </si>
  <si>
    <t>Aytan et al.</t>
  </si>
  <si>
    <t>*10^3 MP/m3</t>
  </si>
  <si>
    <t>Vertical Distribution of Microplastics in the Water Column and Surficial Sediment from the Milwaukee River Basin to Lake Michigan</t>
  </si>
  <si>
    <t>Lenaker et al.</t>
  </si>
  <si>
    <t>Microplastics in the surface water of Wuliangsuhai Lake, northern China</t>
  </si>
  <si>
    <t>Mao et al.</t>
  </si>
  <si>
    <t>The abundance and characteristics of microplastics in surface water in the transboundary Ganges River</t>
  </si>
  <si>
    <t>Napper et al.</t>
  </si>
  <si>
    <t>Microplastics and their possible sources: The example of Ofanto river in southeast Italy</t>
  </si>
  <si>
    <t>Campanale et al.</t>
  </si>
  <si>
    <t>The Presence of Microplastics in Water, Sediment, and Milkfish (Chanos chanos) at the Downstream Area of Citarum River, Indonesia</t>
  </si>
  <si>
    <t>Sembiring et al.</t>
  </si>
  <si>
    <t>MP/g (dry)</t>
  </si>
  <si>
    <t>MP/100 g (dry)</t>
  </si>
  <si>
    <t>Standardization of monitoring data reassesses spatial distribution of aquatic microplastics concentrations worldwide</t>
  </si>
  <si>
    <t>Xue et al.</t>
  </si>
  <si>
    <t>Microplastics pollution in inland freshwaters of China: A case study in urban surface waters of Wuhan, China</t>
  </si>
  <si>
    <t>Wang et al.</t>
  </si>
  <si>
    <t>Microplastic in surface waters of urban rivers: concentration, sources, and associated bacterial assemblages</t>
  </si>
  <si>
    <t>McCormick et al.</t>
  </si>
  <si>
    <t>Human Consumption of Microplastics</t>
  </si>
  <si>
    <t>Cox et al.</t>
  </si>
  <si>
    <t>Microplastics in the Southern Ocean</t>
  </si>
  <si>
    <t>Isobe et al.</t>
  </si>
  <si>
    <t>Widespread distribution of microplastics in subsurface seawater in the NE Pacific Ocean</t>
  </si>
  <si>
    <t>Desforges et al.</t>
  </si>
  <si>
    <t>The Abundance of Microplastics in the World’s Oceans: A Systematic Review</t>
  </si>
  <si>
    <t>Mutuku et al.</t>
  </si>
  <si>
    <t>Marine microplastics as vectors of major ocean pollutants and its hazards to the marine ecosystem and humans</t>
  </si>
  <si>
    <t>Amelia et al.</t>
  </si>
  <si>
    <t>Abundance, size and polymer composition of marine microplastics ≥ 10 μm in the Atlantic Ocean and their modelled vertical distribution</t>
  </si>
  <si>
    <t>Enders et al.</t>
  </si>
  <si>
    <t>Coastal ocean dynamics reduce the export of microplastics to the open ocean</t>
  </si>
  <si>
    <t>Zhang et al.</t>
  </si>
  <si>
    <t>Microplastic Contamination in Aquatic Environments, Chapter 1 - Marine Microplastics: Abundance, Distribution, and Composition</t>
  </si>
  <si>
    <t>Shim et al.</t>
  </si>
  <si>
    <t>Microplastics in Australian indoor air: Abundance, characteristics, and implications for human exposure</t>
  </si>
  <si>
    <t>Perera et al.</t>
  </si>
  <si>
    <t>First overview of microplastics in indoor and outdoor air</t>
  </si>
  <si>
    <t>Gasperi et al.</t>
  </si>
  <si>
    <t>Airborne microplastics: a review study on method for analysis, occurrence, movement and risks</t>
  </si>
  <si>
    <t>Enyoh et al.</t>
  </si>
  <si>
    <t>MP/200 mL</t>
  </si>
  <si>
    <t>Microplastics in the atmosphere: a review</t>
  </si>
  <si>
    <t>Habibi et al.</t>
  </si>
  <si>
    <t>Airborne microplastics in indoor and outdoor environments of a coastal city in Eastern China</t>
  </si>
  <si>
    <t>Liao et al.</t>
  </si>
  <si>
    <t>Mini-review of microplastics in the atmosphere and their risks to humans</t>
  </si>
  <si>
    <t>Chen et al.</t>
  </si>
  <si>
    <t>Exploration of microplastic concentration in indoor and outdoor air samples: Morphological, polymeric, and elemental analysis</t>
  </si>
  <si>
    <t>Din et al.</t>
  </si>
  <si>
    <t>Overview on the occurrence of microplastics in air and implications from the use of face masks during the COVID-19 pandemic</t>
  </si>
  <si>
    <t>Torres-Agullo et al.</t>
  </si>
  <si>
    <t>A Flow-through Passive Sampler for Microplastics in Air</t>
  </si>
  <si>
    <t>Dong et al.</t>
  </si>
  <si>
    <t>Human exposure to PM10 microplastics in indoor air</t>
  </si>
  <si>
    <t>Airborne microplastic particle concentrations and characterization in indoor urban microenvironments</t>
  </si>
  <si>
    <t>Yakovenko etal.</t>
  </si>
  <si>
    <t>Vertical distribution and transport of microplastics in the urban atmosphere: New insights from field observations</t>
  </si>
  <si>
    <t>Yuan et al.</t>
  </si>
  <si>
    <t>Concentrations of Airborne Microplastics during the Dry Season at Five Locations in Bangkok Metropolitan Region, Thailand</t>
  </si>
  <si>
    <t>Sarathana et al.</t>
  </si>
  <si>
    <t>Microplastics in indoor air from Birmingham, UK: Implications for inhalation exposure</t>
  </si>
  <si>
    <t>Ageel et al.</t>
  </si>
  <si>
    <t>Microplastics comparison of indoor and outdoor air and ventilation rate effect in outskirts of the Seoul metropolitan city</t>
  </si>
  <si>
    <t>Jahanzaib et al.</t>
  </si>
  <si>
    <t>WWRS</t>
  </si>
  <si>
    <t>Higher concentrations of microplastics in runoff from biosolid-amended croplands than manure-amended croplands</t>
  </si>
  <si>
    <t>Beni et al.</t>
  </si>
  <si>
    <t>Transfer and transport of microplastics from biosolids to agricultural soils and the wider environment</t>
  </si>
  <si>
    <t>Crossman et al.</t>
  </si>
  <si>
    <t>Yu et al.</t>
  </si>
  <si>
    <t>Abundance and characteristics of microplastics in the surface water and sediment of parks in Xi'an city, Northwest China</t>
  </si>
  <si>
    <t>The occurrence and effect of altitude on microplastics distribution in agricultural soils of Qinghai Province, northwest China</t>
  </si>
  <si>
    <t>Land et al.</t>
  </si>
  <si>
    <t>Amount, distribution and composition of large microplastics in typical agricultural soils in Northern Germany</t>
  </si>
  <si>
    <t>Harms et al.</t>
  </si>
  <si>
    <t>Microplastics in agricultural soils from a semi-arid region and their transport by wind erosion</t>
  </si>
  <si>
    <t>Rezaei et al.</t>
  </si>
  <si>
    <t>Global concentrations of microplastics in soils – a review</t>
  </si>
  <si>
    <t>Büks and Kaupenjohann</t>
  </si>
  <si>
    <t>Microplastics in agricultural soils on the coastal plain: Spatial characteristics, influencing factors and sources</t>
  </si>
  <si>
    <t>Identification and quantification of macro- and microplastics on an agricultural farmland</t>
  </si>
  <si>
    <t>Piehl et al.</t>
  </si>
  <si>
    <t>Examining Soil Microplastics: Prevalence and Consequences Across Varied Land Use Contexts</t>
  </si>
  <si>
    <t>Walenna et al.</t>
  </si>
  <si>
    <t>Microplastics in sewage sludge from the wastewater treatment plants in China</t>
  </si>
  <si>
    <t>Li et al.</t>
  </si>
  <si>
    <t>*10^3 MP/kg (dry)</t>
  </si>
  <si>
    <t>The distribution and morphology of microplastics in coastal soils adjacent to the Bohai Sea and the Yellow Sea</t>
  </si>
  <si>
    <t>Investigation and analysis of microplastics in sewage sludge and biosolids: A case study from one wastewater treatment works in the UK</t>
  </si>
  <si>
    <t>Harley-Nyang et al.</t>
  </si>
  <si>
    <t>Distribution characteristics of microplastics in agricultural soils from the largest vegetable production base in ChinaDistribution characteristics of microplastics in agricultural soils from the largest vegetable production base in China</t>
  </si>
  <si>
    <t>Unaccounted Microplastics in Wastewater Sludge: Where Do They Go?</t>
  </si>
  <si>
    <t>Koutnik et al.</t>
  </si>
  <si>
    <t>estimate total MPs can be as high as 444106 MP/kg (dw)</t>
  </si>
  <si>
    <t>Microplastics in Sewage Sludge: Effects of Treatment</t>
  </si>
  <si>
    <t>Mahon et al.</t>
  </si>
  <si>
    <t>Sources of microplastics pollution in the marine environment: Importance of wastewater treatment plant and coastal landfill</t>
  </si>
  <si>
    <t>Kazour et al.</t>
  </si>
  <si>
    <t>Investigation of the microplastics profile in sludge from China’s largest Water reclamation plant using a feasible isolation device</t>
  </si>
  <si>
    <t>Xu et al.</t>
  </si>
  <si>
    <t>Variation in microplastic concentration, characteristics and distribution in sewage sludge &amp; biosolids around the world</t>
  </si>
  <si>
    <t>Harley-Nyang</t>
  </si>
  <si>
    <t>Municipal sewage sludge as a source of microplastics in the environment</t>
  </si>
  <si>
    <t>Rolsky et al.</t>
  </si>
  <si>
    <t>How many microplastic particles are present in Canadian biosolids?</t>
  </si>
  <si>
    <t>Comprehensive assessment of microplastics in Australian biosolids: Abundance, seasonal variation and potential transport to agroecosystems</t>
  </si>
  <si>
    <t>Ziajahromi et al.</t>
  </si>
  <si>
    <t>Sivarajah et al.</t>
  </si>
  <si>
    <t>The fate of microplastics in an Italian Wastewater Treatment Plant</t>
  </si>
  <si>
    <t>Magni et al.</t>
  </si>
  <si>
    <t>A Study of Microplastics in Wastewater, Sludge, and Biosolids</t>
  </si>
  <si>
    <t>Microplastics in Sewage Sludge: Worldwide Presence in Biosolids, Environmental Impact, Identification Methods and Possible Routes of Degradation, Including the Hydrothermal Carbonization Process</t>
  </si>
  <si>
    <t>Prus and Wilk</t>
  </si>
  <si>
    <t>Assessment and accumulation of microplastics in sewage sludge at wastewater treatment plants located in Cádiz, Spain</t>
  </si>
  <si>
    <t>Franco et al.</t>
  </si>
  <si>
    <t>Characterizing the Microplastic Content of Biosolids in Southern Ontario, Canada</t>
  </si>
  <si>
    <t>Letwin et al.</t>
  </si>
  <si>
    <t>Abundance of Microplastics in Wastewater Treatment Sludge</t>
  </si>
  <si>
    <t>Ho</t>
  </si>
  <si>
    <t>Accumulation of microplastics in soil after long-term application of biosolids and atmospheric deposition</t>
  </si>
  <si>
    <t>Adhikari et al.</t>
  </si>
  <si>
    <t>An audit of microplastic abundance throughout three Australian wastewater treatment plants</t>
  </si>
  <si>
    <t>Quantification of microplastics in biowastes including biosolids, compost, and vermicompost destined for land application</t>
  </si>
  <si>
    <t>Ruffell et al.</t>
  </si>
  <si>
    <t>Microplastics and pollutants in biosolids have contaminated agricultural soils: An analytical study and a proposal to cease the use of biosolids in farmlands and utilise them in sustainable bricks</t>
  </si>
  <si>
    <t>Mohajerani and Karabatak</t>
  </si>
  <si>
    <t>A review of microplastics in sediments: Spatial and temporal occurrences, biological effects, and analytic methods</t>
  </si>
  <si>
    <t>Yao et al.</t>
  </si>
  <si>
    <t>A review of microplastic distribution in sediment profiles</t>
  </si>
  <si>
    <t>Uddin et al.</t>
  </si>
  <si>
    <t>Different stories told by small and large microplastics in sediment - first report of microplastic concentrations in an urban recipient in Norway</t>
  </si>
  <si>
    <t>Haave et al.</t>
  </si>
  <si>
    <t>Occurrence and distribution of microplastics in marine sediments along the Belgian coast</t>
  </si>
  <si>
    <t>Claessens et al.</t>
  </si>
  <si>
    <t>Microplastics in sediments of the Changjiang Estuary, China</t>
  </si>
  <si>
    <t>Peng et al.</t>
  </si>
  <si>
    <t>Maes et al.</t>
  </si>
  <si>
    <t>Microplastics in sediments from Amazon rivers, Brazil</t>
  </si>
  <si>
    <t>Gerolin et al.</t>
  </si>
  <si>
    <t>Microplastic concentrations in beach sediments along the German Baltic coast</t>
  </si>
  <si>
    <t>Stolte et al.</t>
  </si>
  <si>
    <t>Occurrence and Spatial Distribution of Microplastics in River Shore Sediments of the Rhine-Main Area in Germany</t>
  </si>
  <si>
    <t>Klein et al.</t>
  </si>
  <si>
    <t>Spatial distribution of microplastics in sediments and surface waters of the southern North Sea</t>
  </si>
  <si>
    <t>Lorenz et al.</t>
  </si>
  <si>
    <t>Distribution and sedimentation of microplastics in Taihu Lake</t>
  </si>
  <si>
    <t>Microplastics in Baltic bottom sediments: Quantification procedures and first results</t>
  </si>
  <si>
    <t>Zobkov and Esiukova</t>
  </si>
  <si>
    <t>New techniques for the detection of microplastics in sediments and field collected organisms</t>
  </si>
  <si>
    <t>indicating an average sediment density of 1600 kg m−3 (Fettweis et al., 2007) and 1.25 as average wet sediment/dry sediment ratio</t>
  </si>
  <si>
    <t>Microplastics in sediments: A review of techniques, occurrence and effects</t>
  </si>
  <si>
    <t>Cauwenberghe et al.</t>
  </si>
  <si>
    <t>MP/250 g (dw)</t>
  </si>
  <si>
    <t>Screening for microplastics in sediment, water, marine invertebrates and fish: Method development and microplastic accumulation</t>
  </si>
  <si>
    <t>Karlsson et al.</t>
  </si>
  <si>
    <t>Baseline concentration of microplastics in surface water and sediment of the northern branches of the Mekong River Delta, Vietnam</t>
  </si>
  <si>
    <t>Kieu-Le et al.</t>
  </si>
  <si>
    <t>MP/g</t>
  </si>
  <si>
    <t>MP/g (dw)</t>
  </si>
  <si>
    <t>MPs_data</t>
  </si>
  <si>
    <t>MPs_summary</t>
  </si>
  <si>
    <t>tab</t>
  </si>
  <si>
    <t>ready for plotting?</t>
  </si>
  <si>
    <t>duplicated publications removed?</t>
  </si>
  <si>
    <t>Y</t>
  </si>
  <si>
    <t>personal card products</t>
  </si>
  <si>
    <t>region</t>
  </si>
  <si>
    <t>treated in WRRFs</t>
  </si>
  <si>
    <t>removal rate in WRRFs</t>
  </si>
  <si>
    <t>NAFTA</t>
  </si>
  <si>
    <t>Western Europe</t>
  </si>
  <si>
    <t>Japan</t>
  </si>
  <si>
    <t>Central Europe &amp; CIS</t>
  </si>
  <si>
    <t>Aisa (excl. Japan, India, and China)</t>
  </si>
  <si>
    <t>Africa</t>
  </si>
  <si>
    <t>Latin America &amp; Caribbean</t>
  </si>
  <si>
    <t>Oceania</t>
  </si>
  <si>
    <t>India</t>
  </si>
  <si>
    <t>China</t>
  </si>
  <si>
    <t>Middle East</t>
  </si>
  <si>
    <t>production [tonne/year]</t>
  </si>
  <si>
    <t>total / weighted average</t>
  </si>
  <si>
    <t>textile</t>
  </si>
  <si>
    <t>vehicle tires, road markings, city dust</t>
  </si>
  <si>
    <t>https://www.unep.org/resources/report/mapping-global-plastics-value-chain-and-plastics-losses-environment-particular</t>
  </si>
  <si>
    <t>vehicle tires</t>
  </si>
  <si>
    <t>road markings</t>
  </si>
  <si>
    <t>10% (can be uncertain) go to wind, the rest go with rain run-off (https://portals.iucn.org/library/sites/library/files/documents/2017-002-En.pdf)</t>
  </si>
  <si>
    <t>go to run-off</t>
  </si>
  <si>
    <t>captured by WWRS</t>
  </si>
  <si>
    <t>https://www.sciencedirect.com/science/article/pii/S0048969722008270</t>
  </si>
  <si>
    <t>5th</t>
  </si>
  <si>
    <t>50th</t>
  </si>
  <si>
    <t>95th</t>
  </si>
  <si>
    <t>https://pubs.acs.org/doi/full/10.1021/acsestwater.0c00267</t>
  </si>
  <si>
    <t>Per- and polyfluoroalkyl substances in commercially available biosolid-based products: The effect of treatment processes</t>
  </si>
  <si>
    <t>Lazcano et al.</t>
  </si>
  <si>
    <t>µg/kg (dw)</t>
  </si>
  <si>
    <t>Perfluoroalkyl sulfonates and perfluorocarboxylates in two wastewater treatment facilities in Kentucky and Georgia</t>
  </si>
  <si>
    <t>Loganathan et al.</t>
  </si>
  <si>
    <t>ng/g (dw)</t>
  </si>
  <si>
    <t>Side-chain fluorinated polymer surfactants in biosolids from wastewater treatment plants</t>
  </si>
  <si>
    <t>Letcher et al.</t>
  </si>
  <si>
    <t>Temporal trends of perfluoroalkyl substances in limed biosolids from a large municipal water resource recovery facility</t>
  </si>
  <si>
    <t>Armstrong et al.</t>
  </si>
  <si>
    <t>Legacy and emerging per- and polyfluoroalkyl substances (PFASs) in Australian biosolids</t>
  </si>
  <si>
    <t>Moodie et al.</t>
  </si>
  <si>
    <t>National inventory of perfluoroalkyl substances in archived U.S. biosolids from the 2001 EPA National Sewage Sludge Survey</t>
  </si>
  <si>
    <t>Venkatesan and Halden</t>
  </si>
  <si>
    <t>Perfluorooctane sulfonate (PFOS) and perfluorooctanoic acid (PFOA) in sewage treatment plants</t>
  </si>
  <si>
    <t>Nationwide occurrence and discharge mass load of per- and polyfluoroalkyl substances in effluent and biosolids: A snapshot from 75 wastewater treatment plants across Australia</t>
  </si>
  <si>
    <t>Nguyen et al.</t>
  </si>
  <si>
    <t>Per- and polyfluoroalkyl substances in untreated and treated sludge/biosolids from 27 water resource recovery facilities across the United States and Canada</t>
  </si>
  <si>
    <t>Oza et al.</t>
  </si>
  <si>
    <t>Occurrence of emerging contaminants in biosolids in northern Queensland, Australia</t>
  </si>
  <si>
    <t>Kumar et al.</t>
  </si>
  <si>
    <t>Extraction, analysis, and occurrence of per- and polyfluoroalkyl substances (PFAS) in wastewater and after municipal biosolids land application to determine agricultural loading</t>
  </si>
  <si>
    <t>Caniglia et al.</t>
  </si>
  <si>
    <t>Concentrations and Distribution Patterns of Perfluoroalkyl Acids in Sewage Sludge and in Biowaste in Hesse, Germany</t>
  </si>
  <si>
    <t>Stahl et al.</t>
  </si>
  <si>
    <t>Contaminants of environmental concern in sewage sludge in the Nordic countries</t>
  </si>
  <si>
    <t>Leino et al.</t>
  </si>
  <si>
    <t>mg/kg (dw)</t>
  </si>
  <si>
    <t>Incidence of Pfas in soil following long-term application of class B biosolids</t>
  </si>
  <si>
    <t>Pepper et al.</t>
  </si>
  <si>
    <t>Target and Nontarget Screening of PFAS in Biosolids, Composts, and Other Organic Waste Products for Land Application in France</t>
  </si>
  <si>
    <t>Munoz et al.</t>
  </si>
  <si>
    <t>Review of ‘emerging’ organic contaminants in biosolids and assessment of international research priorities for the agricultural use of biosolids</t>
  </si>
  <si>
    <t>Clarke and Smith</t>
  </si>
  <si>
    <t>Pollution pathways and release estimation of perfluorooctane sulfonate (PFOS) and perfluorooctanoic acid (PFOA) in central and eastern China</t>
  </si>
  <si>
    <t>Liu et al.</t>
  </si>
  <si>
    <t>Quantitative Determination of Perfluorochemicals in Sediments and Domestic Sludge</t>
  </si>
  <si>
    <t>Higgins et al.</t>
  </si>
  <si>
    <t>Advanced PFAS precursor digestion methods for biosolids</t>
  </si>
  <si>
    <t>Hutchinson et al.</t>
  </si>
  <si>
    <t>Release of poly- and perfluoroalkyl substances from finished biosolids in soil mesocosms</t>
  </si>
  <si>
    <t>Schaefer et al.</t>
  </si>
  <si>
    <t>Identification of Novel Polyfluorinated Ether Sulfonates as PFOS Alternatives in Municipal Sewage Sludge in China</t>
  </si>
  <si>
    <t>Ruan et al.</t>
  </si>
  <si>
    <t>Quantification of PFAS in soils treated with biosolids in ten northeastern US farms</t>
  </si>
  <si>
    <t>Oviedo-Vargas et al.</t>
  </si>
  <si>
    <t>Determination of perfluoroalkyl acid isomers in biosolids, biosolids-amended soils and plants using ultra-high performance liquid chromatography tandem mass spectrometry</t>
  </si>
  <si>
    <t>Short- and long-chain perfluorinated acids in sewage sludge from Shanghai, China</t>
  </si>
  <si>
    <t>Yan et al.</t>
  </si>
  <si>
    <t>Removal and formation of perfluoroalkyl substances in Canadian sludge treatment systems – A mass balance approach</t>
  </si>
  <si>
    <t>Lakshminarasimman et al.</t>
  </si>
  <si>
    <t>PFOA</t>
  </si>
  <si>
    <t>PFOS</t>
  </si>
  <si>
    <t>PFOA_WWRS_data</t>
  </si>
  <si>
    <t>PFOS_WWRS_data</t>
  </si>
  <si>
    <t>PFAS_summary</t>
  </si>
  <si>
    <t>Pharmaceuticals and other anthropogenic chemicals in atmospheric particulates and precipitation</t>
  </si>
  <si>
    <t>Ferrey et al.</t>
  </si>
  <si>
    <t>ng/m3</t>
  </si>
  <si>
    <t>Occurrence of cocaine in the air of the World’s cities: An emerging problem? A new tool to investigate the social incidence of drugs?</t>
  </si>
  <si>
    <t>Cecinato et al.</t>
  </si>
  <si>
    <t>pg/m3</t>
  </si>
  <si>
    <t>Illicit psychotropic substance contents in the air of Italy</t>
  </si>
  <si>
    <t>Drugs of abuse in airborne particulates in urban environments</t>
  </si>
  <si>
    <t>Viana et al.</t>
  </si>
  <si>
    <t>Occurrence, potential sources, and risk assessment of pharmaceuticals and personal care products in atmospheric particulate matter in Hanoi, Vietnam</t>
  </si>
  <si>
    <t>Duong et al.</t>
  </si>
  <si>
    <t>Pharmaceutical substances in ambient particulates: A preliminary assessment</t>
  </si>
  <si>
    <t>PhACs_air_Data</t>
  </si>
  <si>
    <t>PhACs_summary</t>
  </si>
  <si>
    <t>take-back</t>
  </si>
  <si>
    <t>trash</t>
  </si>
  <si>
    <t>toilet</t>
  </si>
  <si>
    <t>https://link.springer.com/article/10.1007/s10163-022-01494-7</t>
  </si>
  <si>
    <t>https://pmc.ncbi.nlm.nih.gov/articles/PMC5201063/</t>
  </si>
  <si>
    <t>https://www.sciencedirect.com/science/article/pii/S0048969719313324?via%3Dihub</t>
  </si>
  <si>
    <t>read from Figure 2, Australia</t>
  </si>
  <si>
    <t>read from Figure 2, South Korea</t>
  </si>
  <si>
    <t>Brazil</t>
  </si>
  <si>
    <t>UK</t>
  </si>
  <si>
    <t>read from Figure 2, Sweden</t>
  </si>
  <si>
    <t>read from Figure 2, Portugal</t>
  </si>
  <si>
    <t>read from Figure 2, Netherlands</t>
  </si>
  <si>
    <t>read from Figure 2, New Zealand</t>
  </si>
  <si>
    <t>read from Figure 2, UK</t>
  </si>
  <si>
    <t>read from Figure 2, USA</t>
  </si>
  <si>
    <t>read from Figure 2, Poland</t>
  </si>
  <si>
    <t>read from Figure 2, Ireland</t>
  </si>
  <si>
    <t>read from Figure 2, Israel</t>
  </si>
  <si>
    <t>read from Figure 2, Latvia</t>
  </si>
  <si>
    <t>read from Figure 2, Lithuania</t>
  </si>
  <si>
    <t>https://www.oecd.org/content/dam/oecd/en/publications/support-materials/2022/05/management-of-pharmaceutical-household-waste_00c2e697/Policy-Highlights-Management-of-Pharmaceutical-Household-Waste.pdf</t>
  </si>
  <si>
    <t>https://ehp.niehs.nih.gov/doi/10.1289/ehp.8315</t>
  </si>
  <si>
    <t>https://www.frontiersin.org/journals/public-health/articles/10.3389/fpubh.2025.1516809/full</t>
  </si>
  <si>
    <t>Ethiopia</t>
  </si>
  <si>
    <t>Netherlands</t>
  </si>
  <si>
    <t>USA</t>
  </si>
  <si>
    <t>Kuwait</t>
  </si>
  <si>
    <t>Lithuania</t>
  </si>
  <si>
    <t>New Zealand</t>
  </si>
  <si>
    <t>Sweden</t>
  </si>
  <si>
    <t>https://www.sciencedirect.com/science/article/pii/S0160412010002011?via%3Dihub</t>
  </si>
  <si>
    <t>population_2024_million</t>
  </si>
  <si>
    <t>Liberia</t>
  </si>
  <si>
    <t>https://www.sciencedirect.com/science/article/pii/S2667276623001506?via%3Dihub</t>
  </si>
  <si>
    <t>Australia</t>
  </si>
  <si>
    <t>South Korea</t>
  </si>
  <si>
    <t>Portugal</t>
  </si>
  <si>
    <t>Poland</t>
  </si>
  <si>
    <t>Ireland</t>
  </si>
  <si>
    <t>Israel</t>
  </si>
  <si>
    <t>Latvia</t>
  </si>
  <si>
    <t>Summary by country - raw</t>
  </si>
  <si>
    <t>toilet_trash_ratio</t>
  </si>
  <si>
    <t>weighted average</t>
  </si>
  <si>
    <t>minimum</t>
  </si>
  <si>
    <t>maximum</t>
  </si>
  <si>
    <r>
      <t xml:space="preserve">WITHIN WRRFS (data from Cook </t>
    </r>
    <r>
      <rPr>
        <b/>
        <i/>
        <sz val="12"/>
        <color theme="1"/>
        <rFont val="Aptos Narrow"/>
        <scheme val="minor"/>
      </rPr>
      <t>et al.</t>
    </r>
    <r>
      <rPr>
        <b/>
        <sz val="12"/>
        <color theme="1"/>
        <rFont val="Aptos Narrow"/>
        <scheme val="minor"/>
      </rPr>
      <t xml:space="preserve"> 2012)</t>
    </r>
  </si>
  <si>
    <t>removal</t>
  </si>
  <si>
    <t>sorption_min</t>
  </si>
  <si>
    <t>sorption_max</t>
  </si>
  <si>
    <t>biotransformation_min</t>
  </si>
  <si>
    <t>biotransformation_max</t>
  </si>
  <si>
    <t>average</t>
  </si>
  <si>
    <t>sorption_average</t>
  </si>
  <si>
    <t>biotransformation_average</t>
  </si>
  <si>
    <t>sorption-biotransformation ratio</t>
  </si>
  <si>
    <t>excretion</t>
  </si>
  <si>
    <t>median</t>
  </si>
  <si>
    <t>https://pubs-acs-org.proxy2.library.illinois.edu/doi/10.1021/acs.chemrev.8b00299</t>
  </si>
  <si>
    <t>Effect of pyrolysis on the removal of antibiotic resistance genes and class I integrons from municipal wastewater biosolids</t>
  </si>
  <si>
    <t>Kimbell et al.</t>
  </si>
  <si>
    <t>Prevalence and proliferation of antibiotic resistance genes in two municipal wastewater treatment plants</t>
  </si>
  <si>
    <t>The impact of municipal sewage sludge stabilization processes on the abundance, field persistence, and transmission of antibiotic resistant bacteria and antibiotic resistance genes to vegetables at harvest</t>
  </si>
  <si>
    <t>Murray et al.</t>
  </si>
  <si>
    <t>Biosolids for safe land application: does wastewater treatment plant size matters when considering antibiotics, pollutants, microbiome, mobile genetic elements and associated resistance genes?</t>
  </si>
  <si>
    <t>Wolters et al.</t>
  </si>
  <si>
    <t>Impact of pre-application treatment on municipal sludge composition, soil dynamics of antibiotic resistance genes, and abundance of antibiotic-resistance genes on vegetables at harvest</t>
  </si>
  <si>
    <t>Lau et al.</t>
  </si>
  <si>
    <t>log 10 copies/g (dw)</t>
  </si>
  <si>
    <t>copies/g (dw)</t>
  </si>
  <si>
    <t>Fate of antibiotic resistant E. coli and antibiotic resistance genes during full scale conventional and advanced anaerobic digestion of sewage sludge</t>
  </si>
  <si>
    <t>Redhead et al.</t>
  </si>
  <si>
    <t>copies/mL</t>
  </si>
  <si>
    <t>copies/m3</t>
  </si>
  <si>
    <t>Abundance, occurrence, and degradation of airborne antibiotic resistance genes in coastal and marine atmospheres</t>
  </si>
  <si>
    <t>Jia et al.</t>
  </si>
  <si>
    <t>Global Survey of Antibiotic Resistance Genes in Air</t>
  </si>
  <si>
    <t>Disparate Antibiotic Resistance Gene Quantities Revealed across 4 Major Cities in California: A Survey in Drinking Water, Air, and Soil at 24 Public Parks</t>
  </si>
  <si>
    <t>Echeverria-Palencia et al.</t>
  </si>
  <si>
    <t>Distribution of antibiotic resistance genes and bacteria from six atmospheric environments: Exposure risk to human</t>
  </si>
  <si>
    <t>Bioaerosol is an important transmission route of antibiotic resistance genes in pig farms</t>
  </si>
  <si>
    <t>Song et al.</t>
  </si>
  <si>
    <t>log 10 copies/m3</t>
  </si>
  <si>
    <t>Abundance and diversity of antibiotic resistance genes possibly released to ambient air by experiments in biology laboratories</t>
  </si>
  <si>
    <t>Tao et al.</t>
  </si>
  <si>
    <t>Rainfall facilitates the transmission and proliferation of antibiotic resistance genes from ambient air to soil</t>
  </si>
  <si>
    <t>Quantification of antibiotic resistance genes (ARGs) in clouds at a mountain site (puy de Dôme, central France)</t>
  </si>
  <si>
    <t>Rossi et al.</t>
  </si>
  <si>
    <t>Municipal Solid Waste Treatment System Increases Ambient Airborne Bacteria and Antibiotic Resistance Genes</t>
  </si>
  <si>
    <t>Quantifying Dissemination of Antibiotic Resistance Genes in Air from a Dairy Farm and Swine Farm</t>
  </si>
  <si>
    <t>Kormos et al.</t>
  </si>
  <si>
    <t>Seasonal and spatial distribution of antibiotic resistance genes in the sediments along the Yangtze Estuary, China</t>
  </si>
  <si>
    <t>Guo et al.</t>
  </si>
  <si>
    <t>Biofilms as a sink for antibiotic resistance genes (ARGs) in the Yangtze Estuary</t>
  </si>
  <si>
    <t>Conjugative multi-resistant plasmids in Haihe River and their impacts on the abundance and spatial distribution of antibiotic resistance genes</t>
  </si>
  <si>
    <t>Dang et al.</t>
  </si>
  <si>
    <t>Contamination profiles of antibiotic resistance genes in the sediments at a catchment scale</t>
  </si>
  <si>
    <t>Su et al.</t>
  </si>
  <si>
    <t>Antibiotics and Antibiotic Resistance Genes in Sediment of Honghu Lake and East Dongting Lake, China</t>
  </si>
  <si>
    <t>Yang et al.</t>
  </si>
  <si>
    <t>Decay of elevated antibiotic resistance genes in natural river sediments after sedimentation of wastewater particles</t>
  </si>
  <si>
    <t>Brown et al.</t>
  </si>
  <si>
    <t>Occurrence of antibiotic resistance genes and bacterial pathogens in water and sediment in urban recreational water</t>
  </si>
  <si>
    <t>Occurrence and distribution of antibiotic resistance genes in the sediments of drinking water sources, urban rivers, and coastal areas in Zhuhai, China</t>
  </si>
  <si>
    <t>Determination of antibiotic resistance genes in a WWTP-impacted river in surface water, sediment, and biofilm: Influence of seasonality and water quality</t>
  </si>
  <si>
    <t>Reichert et al.</t>
  </si>
  <si>
    <t>Resilience of agricultural soils to antibiotic resistance genes introduced by agricultural management practices</t>
  </si>
  <si>
    <t>Radu et al.</t>
  </si>
  <si>
    <t>Increasing prevalence of antibiotic resistance genes in manured agricultural soils in northern China</t>
  </si>
  <si>
    <t>Wu et al.</t>
  </si>
  <si>
    <t>Evidence of Increasing Antibiotic Resistance Gene Abundances in Archived Soils since 1940</t>
  </si>
  <si>
    <t>Knapp et al.</t>
  </si>
  <si>
    <t>Sulfonamide antibiotics in the Northern Yellow Sea are related to resistant bacteria: Implications for antibiotic resistance genes</t>
  </si>
  <si>
    <t>Na et al.</t>
  </si>
  <si>
    <t>water (ocean)</t>
  </si>
  <si>
    <t>Occurrence and possible sources of antibiotic resistance genes in seawater of the South China Sea</t>
  </si>
  <si>
    <t>Lu et al.</t>
  </si>
  <si>
    <t>Antibiotic resistance genes and bacterial community dynamics in the seawater environment of Dapeng Cove, South China</t>
  </si>
  <si>
    <t>Occurrence and spatial distribution of antibiotic resistance genes in the Bohai Sea and Yellow Sea areas, China</t>
  </si>
  <si>
    <t>ocean</t>
  </si>
  <si>
    <t>ARGs_data</t>
  </si>
  <si>
    <t>ARGs_Summary</t>
  </si>
  <si>
    <t>combined sewer ratio</t>
  </si>
  <si>
    <t>ratio</t>
  </si>
  <si>
    <t>https://www.epa.gov/caddis/urbanization-wastewater-inputs</t>
  </si>
  <si>
    <t>use weighted average ± 20%</t>
  </si>
  <si>
    <t>France</t>
  </si>
  <si>
    <t>Germany</t>
  </si>
  <si>
    <t>Denmark</t>
  </si>
  <si>
    <t>https://wires.onlinelibrary.wiley.com/doi/full/10.1002/wat2.1635</t>
  </si>
  <si>
    <t>Italy</t>
  </si>
  <si>
    <t>https://www.nilim.go.jp/lab/bcg/siryou/tnn/tnn0123pdf/ks0123013.pdf</t>
  </si>
  <si>
    <t>https://www.mdpi.com/2073-4433/11/6/667</t>
  </si>
  <si>
    <t>ratio source</t>
  </si>
  <si>
    <t>population (2024)</t>
  </si>
  <si>
    <t>population connected to wastewater collection systems (2018)</t>
  </si>
  <si>
    <t>https://www.statista.com/statistics/1016760/population-connected-to-wastewater-collection-system-globally-by-region/</t>
  </si>
  <si>
    <t>country</t>
  </si>
  <si>
    <t>ng/g</t>
  </si>
  <si>
    <t>copies/g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</si>
</sst>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222222"/>
      <name val="Arial"/>
      <family val="2"/>
    </font>
    <font>
      <b/>
      <sz val="12"/>
      <color rgb="FF222222"/>
      <name val="Arial"/>
      <family val="2"/>
    </font>
    <font>
      <sz val="12"/>
      <color rgb="FFC00000"/>
      <name val="Aptos Narrow (Body)"/>
    </font>
    <font>
      <sz val="12"/>
      <color theme="8"/>
      <name val="Aptos Narrow"/>
      <family val="2"/>
      <scheme val="minor"/>
    </font>
    <font>
      <sz val="12"/>
      <color rgb="FF222222"/>
      <name val="Helvetica Neue"/>
      <family val="2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2" borderId="0" xfId="0" applyFill="1"/>
    <xf numFmtId="0" fontId="2" fillId="0" borderId="0" xfId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3" borderId="0" xfId="0" applyFill="1"/>
    <xf numFmtId="0" fontId="7" fillId="0" borderId="0" xfId="0" applyFont="1"/>
    <xf numFmtId="9" fontId="0" fillId="0" borderId="0" xfId="0" applyNumberFormat="1"/>
    <xf numFmtId="0" fontId="9" fillId="0" borderId="0" xfId="0" applyFont="1"/>
    <xf numFmtId="9" fontId="9" fillId="0" borderId="0" xfId="0" applyNumberFormat="1" applyFon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ires.onlinelibrary.wiley.com/doi/full/10.1002/wat2.1635" TargetMode="External"/><Relationship Id="rId13" Type="http://schemas.openxmlformats.org/officeDocument/2006/relationships/hyperlink" Target="https://www.unep.org/resources/report/mapping-global-plastics-value-chain-and-plastics-losses-environment-particular" TargetMode="External"/><Relationship Id="rId3" Type="http://schemas.openxmlformats.org/officeDocument/2006/relationships/hyperlink" Target="https://wires.onlinelibrary.wiley.com/doi/full/10.1002/wat2.1635" TargetMode="External"/><Relationship Id="rId7" Type="http://schemas.openxmlformats.org/officeDocument/2006/relationships/hyperlink" Target="https://wires.onlinelibrary.wiley.com/doi/full/10.1002/wat2.1635" TargetMode="External"/><Relationship Id="rId12" Type="http://schemas.openxmlformats.org/officeDocument/2006/relationships/hyperlink" Target="https://www.statista.com/statistics/1016760/population-connected-to-wastewater-collection-system-globally-by-region/" TargetMode="External"/><Relationship Id="rId2" Type="http://schemas.openxmlformats.org/officeDocument/2006/relationships/hyperlink" Target="https://www.epa.gov/caddis/urbanization-wastewater-inputs" TargetMode="External"/><Relationship Id="rId1" Type="http://schemas.openxmlformats.org/officeDocument/2006/relationships/hyperlink" Target="https://www.sciencedirect.com/science/article/pii/S0048969722008270" TargetMode="External"/><Relationship Id="rId6" Type="http://schemas.openxmlformats.org/officeDocument/2006/relationships/hyperlink" Target="https://wires.onlinelibrary.wiley.com/doi/full/10.1002/wat2.1635" TargetMode="External"/><Relationship Id="rId11" Type="http://schemas.openxmlformats.org/officeDocument/2006/relationships/hyperlink" Target="https://www.mdpi.com/2073-4433/11/6/667" TargetMode="External"/><Relationship Id="rId5" Type="http://schemas.openxmlformats.org/officeDocument/2006/relationships/hyperlink" Target="https://wires.onlinelibrary.wiley.com/doi/full/10.1002/wat2.1635" TargetMode="External"/><Relationship Id="rId10" Type="http://schemas.openxmlformats.org/officeDocument/2006/relationships/hyperlink" Target="https://www.nilim.go.jp/lab/bcg/siryou/tnn/tnn0123pdf/ks0123013.pdf" TargetMode="External"/><Relationship Id="rId4" Type="http://schemas.openxmlformats.org/officeDocument/2006/relationships/hyperlink" Target="https://wires.onlinelibrary.wiley.com/doi/full/10.1002/wat2.1635" TargetMode="External"/><Relationship Id="rId9" Type="http://schemas.openxmlformats.org/officeDocument/2006/relationships/hyperlink" Target="https://wires.onlinelibrary.wiley.com/doi/full/10.1002/wat2.1635" TargetMode="External"/><Relationship Id="rId14" Type="http://schemas.openxmlformats.org/officeDocument/2006/relationships/hyperlink" Target="https://pubs.acs.org/doi/full/10.1021/acsestwater.0c00267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18" Type="http://schemas.openxmlformats.org/officeDocument/2006/relationships/hyperlink" Target="https://www.frontiersin.org/journals/public-health/articles/10.3389/fpubh.2025.1516809/full" TargetMode="External"/><Relationship Id="rId26" Type="http://schemas.openxmlformats.org/officeDocument/2006/relationships/hyperlink" Target="https://www.sciencedirect.com/science/article/pii/S0160412010002011?via%3Dihub" TargetMode="External"/><Relationship Id="rId3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21" Type="http://schemas.openxmlformats.org/officeDocument/2006/relationships/hyperlink" Target="https://www.sciencedirect.com/science/article/pii/S0160412010002011?via%3Dihub" TargetMode="External"/><Relationship Id="rId34" Type="http://schemas.openxmlformats.org/officeDocument/2006/relationships/hyperlink" Target="https://www.sciencedirect.com/science/article/pii/S0160412010002011?via%3Dihub" TargetMode="External"/><Relationship Id="rId7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12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17" Type="http://schemas.openxmlformats.org/officeDocument/2006/relationships/hyperlink" Target="https://ehp.niehs.nih.gov/doi/10.1289/ehp.8315" TargetMode="External"/><Relationship Id="rId25" Type="http://schemas.openxmlformats.org/officeDocument/2006/relationships/hyperlink" Target="https://www.sciencedirect.com/science/article/pii/S0160412010002011?via%3Dihub" TargetMode="External"/><Relationship Id="rId33" Type="http://schemas.openxmlformats.org/officeDocument/2006/relationships/hyperlink" Target="https://www.sciencedirect.com/science/article/pii/S0160412010002011?via%3Dihub" TargetMode="External"/><Relationship Id="rId2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16" Type="http://schemas.openxmlformats.org/officeDocument/2006/relationships/hyperlink" Target="https://pmc.ncbi.nlm.nih.gov/articles/PMC5201063/" TargetMode="External"/><Relationship Id="rId20" Type="http://schemas.openxmlformats.org/officeDocument/2006/relationships/hyperlink" Target="https://www.sciencedirect.com/science/article/pii/S2667276623001506?via%3Dihub" TargetMode="External"/><Relationship Id="rId29" Type="http://schemas.openxmlformats.org/officeDocument/2006/relationships/hyperlink" Target="https://www.sciencedirect.com/science/article/pii/S0160412010002011?via%3Dihub" TargetMode="External"/><Relationship Id="rId1" Type="http://schemas.openxmlformats.org/officeDocument/2006/relationships/hyperlink" Target="https://link.springer.com/article/10.1007/s10163-022-01494-7" TargetMode="External"/><Relationship Id="rId6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11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24" Type="http://schemas.openxmlformats.org/officeDocument/2006/relationships/hyperlink" Target="https://www.sciencedirect.com/science/article/pii/S0160412010002011?via%3Dihub" TargetMode="External"/><Relationship Id="rId32" Type="http://schemas.openxmlformats.org/officeDocument/2006/relationships/hyperlink" Target="https://www.sciencedirect.com/science/article/pii/S0160412010002011?via%3Dihub" TargetMode="External"/><Relationship Id="rId5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15" Type="http://schemas.openxmlformats.org/officeDocument/2006/relationships/hyperlink" Target="https://www.sciencedirect.com/science/article/pii/S0048969719313324?via%3Dihub" TargetMode="External"/><Relationship Id="rId23" Type="http://schemas.openxmlformats.org/officeDocument/2006/relationships/hyperlink" Target="https://www.sciencedirect.com/science/article/pii/S0160412010002011?via%3Dihub" TargetMode="External"/><Relationship Id="rId28" Type="http://schemas.openxmlformats.org/officeDocument/2006/relationships/hyperlink" Target="https://www.sciencedirect.com/science/article/pii/S0160412010002011?via%3Dihub" TargetMode="External"/><Relationship Id="rId36" Type="http://schemas.openxmlformats.org/officeDocument/2006/relationships/hyperlink" Target="https://www.sciencedirect.com/science/article/pii/S0160412010002011?via%3Dihub" TargetMode="External"/><Relationship Id="rId10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19" Type="http://schemas.openxmlformats.org/officeDocument/2006/relationships/hyperlink" Target="https://www.sciencedirect.com/science/article/pii/S0160412010002011?via%3Dihub" TargetMode="External"/><Relationship Id="rId31" Type="http://schemas.openxmlformats.org/officeDocument/2006/relationships/hyperlink" Target="https://www.sciencedirect.com/science/article/pii/S0160412010002011?via%3Dihub" TargetMode="External"/><Relationship Id="rId4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9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14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Relationship Id="rId22" Type="http://schemas.openxmlformats.org/officeDocument/2006/relationships/hyperlink" Target="https://www.sciencedirect.com/science/article/pii/S0160412010002011?via%3Dihub" TargetMode="External"/><Relationship Id="rId27" Type="http://schemas.openxmlformats.org/officeDocument/2006/relationships/hyperlink" Target="https://www.sciencedirect.com/science/article/pii/S0160412010002011?via%3Dihub" TargetMode="External"/><Relationship Id="rId30" Type="http://schemas.openxmlformats.org/officeDocument/2006/relationships/hyperlink" Target="https://www.sciencedirect.com/science/article/pii/S0160412010002011?via%3Dihub" TargetMode="External"/><Relationship Id="rId35" Type="http://schemas.openxmlformats.org/officeDocument/2006/relationships/hyperlink" Target="https://www.sciencedirect.com/science/article/pii/S0160412010002011?via%3Dihub" TargetMode="External"/><Relationship Id="rId8" Type="http://schemas.openxmlformats.org/officeDocument/2006/relationships/hyperlink" Target="https://www.oecd.org/content/dam/oecd/en/publications/support-materials/2022/05/management-of-pharmaceutical-household-waste_00c2e697/Policy-Highlights-Management-of-Pharmaceutical-Household-Wast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1DE6-78F2-6648-AE5F-D5983A3FBBF9}">
  <dimension ref="A1:C10"/>
  <sheetViews>
    <sheetView zoomScaleNormal="100" workbookViewId="0">
      <selection activeCell="S47" sqref="S47"/>
    </sheetView>
  </sheetViews>
  <sheetFormatPr baseColWidth="10" defaultRowHeight="16" x14ac:dyDescent="0.2"/>
  <cols>
    <col min="1" max="1" width="16.5" bestFit="1" customWidth="1"/>
    <col min="2" max="2" width="28.83203125" bestFit="1" customWidth="1"/>
    <col min="3" max="3" width="15.5" bestFit="1" customWidth="1"/>
  </cols>
  <sheetData>
    <row r="1" spans="1:3" x14ac:dyDescent="0.2">
      <c r="A1" t="s">
        <v>367</v>
      </c>
      <c r="B1" t="s">
        <v>369</v>
      </c>
      <c r="C1" t="s">
        <v>368</v>
      </c>
    </row>
    <row r="2" spans="1:3" x14ac:dyDescent="0.2">
      <c r="A2" t="s">
        <v>365</v>
      </c>
      <c r="B2" t="s">
        <v>370</v>
      </c>
      <c r="C2" t="s">
        <v>103</v>
      </c>
    </row>
    <row r="3" spans="1:3" x14ac:dyDescent="0.2">
      <c r="A3" t="s">
        <v>366</v>
      </c>
      <c r="B3" t="s">
        <v>370</v>
      </c>
      <c r="C3" t="s">
        <v>370</v>
      </c>
    </row>
    <row r="4" spans="1:3" x14ac:dyDescent="0.2">
      <c r="A4" t="s">
        <v>454</v>
      </c>
      <c r="B4" t="s">
        <v>370</v>
      </c>
      <c r="C4" t="s">
        <v>103</v>
      </c>
    </row>
    <row r="5" spans="1:3" x14ac:dyDescent="0.2">
      <c r="A5" t="s">
        <v>455</v>
      </c>
      <c r="B5" t="s">
        <v>370</v>
      </c>
      <c r="C5" t="s">
        <v>103</v>
      </c>
    </row>
    <row r="6" spans="1:3" x14ac:dyDescent="0.2">
      <c r="A6" t="s">
        <v>456</v>
      </c>
      <c r="B6" t="s">
        <v>370</v>
      </c>
      <c r="C6" t="s">
        <v>370</v>
      </c>
    </row>
    <row r="7" spans="1:3" x14ac:dyDescent="0.2">
      <c r="A7" t="s">
        <v>469</v>
      </c>
      <c r="B7" t="s">
        <v>370</v>
      </c>
      <c r="C7" t="s">
        <v>103</v>
      </c>
    </row>
    <row r="8" spans="1:3" x14ac:dyDescent="0.2">
      <c r="A8" t="s">
        <v>470</v>
      </c>
      <c r="B8" t="s">
        <v>370</v>
      </c>
      <c r="C8" t="s">
        <v>370</v>
      </c>
    </row>
    <row r="9" spans="1:3" x14ac:dyDescent="0.2">
      <c r="A9" t="s">
        <v>592</v>
      </c>
      <c r="B9" t="s">
        <v>370</v>
      </c>
      <c r="C9" t="s">
        <v>103</v>
      </c>
    </row>
    <row r="10" spans="1:3" x14ac:dyDescent="0.2">
      <c r="A10" t="s">
        <v>593</v>
      </c>
      <c r="B10" t="s">
        <v>370</v>
      </c>
      <c r="C10" t="s">
        <v>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A166-D567-8B45-AF88-E43490881A2A}">
  <dimension ref="A1:H1876"/>
  <sheetViews>
    <sheetView topLeftCell="A778" zoomScaleNormal="100" workbookViewId="0">
      <selection activeCell="H808" sqref="H808"/>
    </sheetView>
  </sheetViews>
  <sheetFormatPr baseColWidth="10" defaultRowHeight="16" x14ac:dyDescent="0.2"/>
  <cols>
    <col min="1" max="1" width="22.5" bestFit="1" customWidth="1"/>
    <col min="3" max="3" width="12.1640625" bestFit="1" customWidth="1"/>
    <col min="4" max="4" width="12.6640625" bestFit="1" customWidth="1"/>
    <col min="5" max="5" width="15.5" bestFit="1" customWidth="1"/>
    <col min="6" max="6" width="10.83203125" customWidth="1"/>
    <col min="8" max="8" width="122.33203125" bestFit="1" customWidth="1"/>
  </cols>
  <sheetData>
    <row r="1" spans="1:8" x14ac:dyDescent="0.2">
      <c r="A1" t="s">
        <v>182</v>
      </c>
      <c r="B1" t="s">
        <v>173</v>
      </c>
      <c r="C1" t="s">
        <v>175</v>
      </c>
      <c r="D1" t="s">
        <v>176</v>
      </c>
      <c r="E1" t="s">
        <v>177</v>
      </c>
      <c r="F1" t="s">
        <v>363</v>
      </c>
      <c r="G1" t="s">
        <v>178</v>
      </c>
      <c r="H1" t="s">
        <v>174</v>
      </c>
    </row>
    <row r="2" spans="1:8" x14ac:dyDescent="0.2">
      <c r="A2" t="s">
        <v>183</v>
      </c>
      <c r="B2">
        <v>2022</v>
      </c>
      <c r="C2" t="s">
        <v>43</v>
      </c>
      <c r="D2">
        <v>81249</v>
      </c>
      <c r="E2" t="s">
        <v>180</v>
      </c>
      <c r="F2">
        <f>D2/1000000</f>
        <v>8.1249000000000002E-2</v>
      </c>
      <c r="H2" t="s">
        <v>179</v>
      </c>
    </row>
    <row r="3" spans="1:8" x14ac:dyDescent="0.2">
      <c r="D3">
        <v>17215</v>
      </c>
      <c r="F3">
        <f t="shared" ref="F3:F19" si="0">D3/1000000</f>
        <v>1.7215000000000001E-2</v>
      </c>
    </row>
    <row r="4" spans="1:8" x14ac:dyDescent="0.2">
      <c r="D4">
        <v>3287</v>
      </c>
      <c r="F4">
        <f t="shared" si="0"/>
        <v>3.287E-3</v>
      </c>
    </row>
    <row r="5" spans="1:8" x14ac:dyDescent="0.2">
      <c r="D5">
        <v>18765</v>
      </c>
      <c r="F5">
        <f t="shared" si="0"/>
        <v>1.8765E-2</v>
      </c>
    </row>
    <row r="6" spans="1:8" x14ac:dyDescent="0.2">
      <c r="D6">
        <v>456881</v>
      </c>
      <c r="F6">
        <f t="shared" si="0"/>
        <v>0.45688099999999998</v>
      </c>
    </row>
    <row r="7" spans="1:8" x14ac:dyDescent="0.2">
      <c r="D7">
        <v>900</v>
      </c>
      <c r="F7">
        <f t="shared" si="0"/>
        <v>8.9999999999999998E-4</v>
      </c>
    </row>
    <row r="8" spans="1:8" x14ac:dyDescent="0.2">
      <c r="D8">
        <v>14112</v>
      </c>
      <c r="F8">
        <f t="shared" si="0"/>
        <v>1.4112E-2</v>
      </c>
    </row>
    <row r="9" spans="1:8" x14ac:dyDescent="0.2">
      <c r="D9">
        <v>241</v>
      </c>
      <c r="F9">
        <f t="shared" si="0"/>
        <v>2.41E-4</v>
      </c>
    </row>
    <row r="10" spans="1:8" x14ac:dyDescent="0.2">
      <c r="D10">
        <v>12882</v>
      </c>
      <c r="F10">
        <f t="shared" si="0"/>
        <v>1.2881999999999999E-2</v>
      </c>
    </row>
    <row r="11" spans="1:8" x14ac:dyDescent="0.2">
      <c r="D11">
        <v>2911</v>
      </c>
      <c r="F11">
        <f t="shared" si="0"/>
        <v>2.911E-3</v>
      </c>
    </row>
    <row r="12" spans="1:8" x14ac:dyDescent="0.2">
      <c r="D12">
        <v>515</v>
      </c>
      <c r="F12">
        <f t="shared" si="0"/>
        <v>5.1500000000000005E-4</v>
      </c>
    </row>
    <row r="13" spans="1:8" x14ac:dyDescent="0.2">
      <c r="D13">
        <v>850</v>
      </c>
      <c r="F13">
        <f t="shared" si="0"/>
        <v>8.4999999999999995E-4</v>
      </c>
    </row>
    <row r="14" spans="1:8" x14ac:dyDescent="0.2">
      <c r="D14">
        <v>231</v>
      </c>
      <c r="F14">
        <f t="shared" si="0"/>
        <v>2.31E-4</v>
      </c>
    </row>
    <row r="15" spans="1:8" x14ac:dyDescent="0.2">
      <c r="D15">
        <v>1584</v>
      </c>
      <c r="F15">
        <f t="shared" si="0"/>
        <v>1.5839999999999999E-3</v>
      </c>
    </row>
    <row r="16" spans="1:8" x14ac:dyDescent="0.2">
      <c r="D16">
        <v>2223</v>
      </c>
      <c r="F16">
        <f t="shared" si="0"/>
        <v>2.2230000000000001E-3</v>
      </c>
    </row>
    <row r="17" spans="1:8" x14ac:dyDescent="0.2">
      <c r="D17">
        <v>519</v>
      </c>
      <c r="F17">
        <f t="shared" si="0"/>
        <v>5.1900000000000004E-4</v>
      </c>
    </row>
    <row r="18" spans="1:8" x14ac:dyDescent="0.2">
      <c r="D18">
        <v>1387</v>
      </c>
      <c r="F18">
        <f t="shared" si="0"/>
        <v>1.387E-3</v>
      </c>
    </row>
    <row r="19" spans="1:8" x14ac:dyDescent="0.2">
      <c r="D19">
        <v>1484</v>
      </c>
      <c r="F19">
        <f t="shared" si="0"/>
        <v>1.4840000000000001E-3</v>
      </c>
    </row>
    <row r="20" spans="1:8" x14ac:dyDescent="0.2">
      <c r="A20" t="s">
        <v>184</v>
      </c>
      <c r="B20">
        <v>2023</v>
      </c>
      <c r="C20" t="s">
        <v>43</v>
      </c>
      <c r="D20">
        <v>18</v>
      </c>
      <c r="E20" t="s">
        <v>185</v>
      </c>
      <c r="F20">
        <f>D20/1000000000</f>
        <v>1.7999999999999999E-8</v>
      </c>
      <c r="H20" t="s">
        <v>181</v>
      </c>
    </row>
    <row r="21" spans="1:8" x14ac:dyDescent="0.2">
      <c r="D21">
        <v>7.4</v>
      </c>
      <c r="F21">
        <f t="shared" ref="F21:F39" si="1">D21/1000000000</f>
        <v>7.4000000000000001E-9</v>
      </c>
    </row>
    <row r="22" spans="1:8" x14ac:dyDescent="0.2">
      <c r="D22">
        <v>9.9</v>
      </c>
      <c r="F22">
        <f t="shared" si="1"/>
        <v>9.900000000000001E-9</v>
      </c>
    </row>
    <row r="23" spans="1:8" x14ac:dyDescent="0.2">
      <c r="D23">
        <v>9.1</v>
      </c>
      <c r="F23">
        <f t="shared" si="1"/>
        <v>9.1000000000000004E-9</v>
      </c>
    </row>
    <row r="24" spans="1:8" x14ac:dyDescent="0.2">
      <c r="D24">
        <v>20</v>
      </c>
      <c r="F24">
        <f t="shared" si="1"/>
        <v>2E-8</v>
      </c>
    </row>
    <row r="25" spans="1:8" x14ac:dyDescent="0.2">
      <c r="D25">
        <v>8.6</v>
      </c>
      <c r="F25">
        <f t="shared" si="1"/>
        <v>8.5999999999999993E-9</v>
      </c>
    </row>
    <row r="26" spans="1:8" x14ac:dyDescent="0.2">
      <c r="D26">
        <v>0</v>
      </c>
      <c r="F26">
        <f t="shared" si="1"/>
        <v>0</v>
      </c>
    </row>
    <row r="27" spans="1:8" x14ac:dyDescent="0.2">
      <c r="D27">
        <v>5.7</v>
      </c>
      <c r="F27">
        <f t="shared" si="1"/>
        <v>5.7000000000000006E-9</v>
      </c>
    </row>
    <row r="28" spans="1:8" x14ac:dyDescent="0.2">
      <c r="D28">
        <v>16</v>
      </c>
      <c r="F28">
        <f t="shared" si="1"/>
        <v>1.6000000000000001E-8</v>
      </c>
    </row>
    <row r="29" spans="1:8" x14ac:dyDescent="0.2">
      <c r="D29">
        <v>16</v>
      </c>
      <c r="F29">
        <f t="shared" si="1"/>
        <v>1.6000000000000001E-8</v>
      </c>
    </row>
    <row r="30" spans="1:8" x14ac:dyDescent="0.2">
      <c r="D30">
        <v>6.3</v>
      </c>
      <c r="F30">
        <f t="shared" si="1"/>
        <v>6.3000000000000002E-9</v>
      </c>
    </row>
    <row r="31" spans="1:8" x14ac:dyDescent="0.2">
      <c r="D31">
        <v>0</v>
      </c>
      <c r="F31">
        <f t="shared" si="1"/>
        <v>0</v>
      </c>
    </row>
    <row r="32" spans="1:8" x14ac:dyDescent="0.2">
      <c r="D32">
        <v>0</v>
      </c>
      <c r="F32">
        <f t="shared" si="1"/>
        <v>0</v>
      </c>
    </row>
    <row r="33" spans="4:6" x14ac:dyDescent="0.2">
      <c r="D33">
        <v>0</v>
      </c>
      <c r="F33">
        <f t="shared" si="1"/>
        <v>0</v>
      </c>
    </row>
    <row r="34" spans="4:6" x14ac:dyDescent="0.2">
      <c r="D34">
        <v>4</v>
      </c>
      <c r="F34">
        <f t="shared" si="1"/>
        <v>4.0000000000000002E-9</v>
      </c>
    </row>
    <row r="35" spans="4:6" x14ac:dyDescent="0.2">
      <c r="D35">
        <v>4.7</v>
      </c>
      <c r="F35">
        <f t="shared" si="1"/>
        <v>4.6999999999999999E-9</v>
      </c>
    </row>
    <row r="36" spans="4:6" x14ac:dyDescent="0.2">
      <c r="D36">
        <v>0</v>
      </c>
      <c r="F36">
        <f t="shared" si="1"/>
        <v>0</v>
      </c>
    </row>
    <row r="37" spans="4:6" x14ac:dyDescent="0.2">
      <c r="D37">
        <v>5.0999999999999996</v>
      </c>
      <c r="F37">
        <f t="shared" si="1"/>
        <v>5.0999999999999993E-9</v>
      </c>
    </row>
    <row r="38" spans="4:6" x14ac:dyDescent="0.2">
      <c r="D38">
        <v>8.9</v>
      </c>
      <c r="F38">
        <f t="shared" si="1"/>
        <v>8.9000000000000003E-9</v>
      </c>
    </row>
    <row r="39" spans="4:6" x14ac:dyDescent="0.2">
      <c r="D39">
        <v>4.2</v>
      </c>
      <c r="F39">
        <f t="shared" si="1"/>
        <v>4.2000000000000004E-9</v>
      </c>
    </row>
    <row r="40" spans="4:6" x14ac:dyDescent="0.2">
      <c r="D40">
        <v>7.0000000000000001E-3</v>
      </c>
      <c r="E40" t="s">
        <v>180</v>
      </c>
      <c r="F40">
        <f>D40/1000000</f>
        <v>6.9999999999999998E-9</v>
      </c>
    </row>
    <row r="41" spans="4:6" x14ac:dyDescent="0.2">
      <c r="D41">
        <v>8.9999999999999993E-3</v>
      </c>
      <c r="F41">
        <f t="shared" ref="F41:F63" si="2">D41/1000000</f>
        <v>8.9999999999999995E-9</v>
      </c>
    </row>
    <row r="42" spans="4:6" x14ac:dyDescent="0.2">
      <c r="D42">
        <v>0.04</v>
      </c>
      <c r="F42">
        <f t="shared" si="2"/>
        <v>4.0000000000000001E-8</v>
      </c>
    </row>
    <row r="43" spans="4:6" x14ac:dyDescent="0.2">
      <c r="D43">
        <v>0.02</v>
      </c>
      <c r="F43">
        <f t="shared" si="2"/>
        <v>2E-8</v>
      </c>
    </row>
    <row r="44" spans="4:6" x14ac:dyDescent="0.2">
      <c r="D44">
        <v>3.0000000000000001E-3</v>
      </c>
      <c r="F44">
        <f t="shared" si="2"/>
        <v>3E-9</v>
      </c>
    </row>
    <row r="45" spans="4:6" x14ac:dyDescent="0.2">
      <c r="D45">
        <v>0.03</v>
      </c>
      <c r="F45">
        <f t="shared" si="2"/>
        <v>2.9999999999999997E-8</v>
      </c>
    </row>
    <row r="46" spans="4:6" x14ac:dyDescent="0.2">
      <c r="D46">
        <v>0.03</v>
      </c>
      <c r="F46">
        <f t="shared" si="2"/>
        <v>2.9999999999999997E-8</v>
      </c>
    </row>
    <row r="47" spans="4:6" x14ac:dyDescent="0.2">
      <c r="D47">
        <v>0.11</v>
      </c>
      <c r="F47">
        <f t="shared" si="2"/>
        <v>1.1000000000000001E-7</v>
      </c>
    </row>
    <row r="48" spans="4:6" x14ac:dyDescent="0.2">
      <c r="D48">
        <v>0.46</v>
      </c>
      <c r="F48">
        <f t="shared" si="2"/>
        <v>4.6000000000000004E-7</v>
      </c>
    </row>
    <row r="49" spans="1:8" x14ac:dyDescent="0.2">
      <c r="D49">
        <v>0.15</v>
      </c>
      <c r="F49">
        <f t="shared" si="2"/>
        <v>1.4999999999999999E-7</v>
      </c>
    </row>
    <row r="50" spans="1:8" x14ac:dyDescent="0.2">
      <c r="A50" t="s">
        <v>186</v>
      </c>
      <c r="B50">
        <v>2016</v>
      </c>
      <c r="C50" t="s">
        <v>43</v>
      </c>
      <c r="D50">
        <v>24</v>
      </c>
      <c r="E50" t="s">
        <v>180</v>
      </c>
      <c r="F50">
        <f t="shared" si="2"/>
        <v>2.4000000000000001E-5</v>
      </c>
      <c r="H50" t="s">
        <v>187</v>
      </c>
    </row>
    <row r="51" spans="1:8" x14ac:dyDescent="0.2">
      <c r="D51">
        <v>71.7</v>
      </c>
      <c r="F51">
        <f t="shared" si="2"/>
        <v>7.1700000000000008E-5</v>
      </c>
    </row>
    <row r="52" spans="1:8" x14ac:dyDescent="0.2">
      <c r="D52">
        <v>1.9</v>
      </c>
      <c r="F52">
        <f t="shared" si="2"/>
        <v>1.8999999999999998E-6</v>
      </c>
    </row>
    <row r="53" spans="1:8" x14ac:dyDescent="0.2">
      <c r="D53">
        <v>17.899999999999999</v>
      </c>
      <c r="F53">
        <f t="shared" si="2"/>
        <v>1.7899999999999998E-5</v>
      </c>
    </row>
    <row r="54" spans="1:8" x14ac:dyDescent="0.2">
      <c r="D54">
        <v>3.2000000000000001E-2</v>
      </c>
      <c r="F54">
        <f t="shared" si="2"/>
        <v>3.2000000000000002E-8</v>
      </c>
    </row>
    <row r="55" spans="1:8" x14ac:dyDescent="0.2">
      <c r="D55">
        <v>102550</v>
      </c>
      <c r="F55">
        <f t="shared" si="2"/>
        <v>0.10255</v>
      </c>
    </row>
    <row r="56" spans="1:8" x14ac:dyDescent="0.2">
      <c r="D56">
        <v>3.9</v>
      </c>
      <c r="F56">
        <f t="shared" si="2"/>
        <v>3.8999999999999999E-6</v>
      </c>
    </row>
    <row r="57" spans="1:8" x14ac:dyDescent="0.2">
      <c r="D57">
        <v>7.3</v>
      </c>
      <c r="F57">
        <f t="shared" si="2"/>
        <v>7.2999999999999996E-6</v>
      </c>
    </row>
    <row r="58" spans="1:8" x14ac:dyDescent="0.2">
      <c r="D58">
        <v>2.2000000000000002</v>
      </c>
      <c r="F58">
        <f t="shared" si="2"/>
        <v>2.2000000000000001E-6</v>
      </c>
    </row>
    <row r="59" spans="1:8" x14ac:dyDescent="0.2">
      <c r="D59">
        <v>1.2699999999999999E-6</v>
      </c>
      <c r="F59">
        <f t="shared" si="2"/>
        <v>1.2699999999999998E-12</v>
      </c>
    </row>
    <row r="60" spans="1:8" x14ac:dyDescent="0.2">
      <c r="D60">
        <v>2.7E-6</v>
      </c>
      <c r="F60">
        <f t="shared" si="2"/>
        <v>2.6999999999999998E-12</v>
      </c>
    </row>
    <row r="61" spans="1:8" x14ac:dyDescent="0.2">
      <c r="D61">
        <v>2.8000000000000001E-2</v>
      </c>
      <c r="F61">
        <f t="shared" si="2"/>
        <v>2.7999999999999999E-8</v>
      </c>
    </row>
    <row r="62" spans="1:8" x14ac:dyDescent="0.2">
      <c r="A62" t="s">
        <v>192</v>
      </c>
      <c r="D62">
        <v>0</v>
      </c>
      <c r="E62" t="s">
        <v>180</v>
      </c>
      <c r="F62">
        <f t="shared" si="2"/>
        <v>0</v>
      </c>
      <c r="H62" t="s">
        <v>191</v>
      </c>
    </row>
    <row r="63" spans="1:8" x14ac:dyDescent="0.2">
      <c r="D63">
        <v>7</v>
      </c>
      <c r="F63">
        <f t="shared" si="2"/>
        <v>6.9999999999999999E-6</v>
      </c>
    </row>
    <row r="64" spans="1:8" x14ac:dyDescent="0.2">
      <c r="A64" t="s">
        <v>189</v>
      </c>
      <c r="B64">
        <v>2019</v>
      </c>
      <c r="C64" t="s">
        <v>43</v>
      </c>
      <c r="D64">
        <v>9.24</v>
      </c>
      <c r="E64" t="s">
        <v>190</v>
      </c>
      <c r="F64">
        <f>D64/1000</f>
        <v>9.2399999999999999E-3</v>
      </c>
      <c r="H64" t="s">
        <v>188</v>
      </c>
    </row>
    <row r="65" spans="1:8" x14ac:dyDescent="0.2">
      <c r="D65">
        <v>0.91</v>
      </c>
      <c r="F65">
        <f t="shared" ref="F65:F74" si="3">D65/1000</f>
        <v>9.1E-4</v>
      </c>
    </row>
    <row r="66" spans="1:8" x14ac:dyDescent="0.2">
      <c r="D66">
        <v>118</v>
      </c>
      <c r="F66">
        <f t="shared" si="3"/>
        <v>0.11799999999999999</v>
      </c>
    </row>
    <row r="67" spans="1:8" x14ac:dyDescent="0.2">
      <c r="D67">
        <v>4889</v>
      </c>
      <c r="F67">
        <f t="shared" si="3"/>
        <v>4.8890000000000002</v>
      </c>
    </row>
    <row r="68" spans="1:8" x14ac:dyDescent="0.2">
      <c r="D68">
        <v>1383</v>
      </c>
      <c r="F68">
        <f t="shared" si="3"/>
        <v>1.383</v>
      </c>
    </row>
    <row r="69" spans="1:8" x14ac:dyDescent="0.2">
      <c r="D69">
        <v>4464</v>
      </c>
      <c r="F69">
        <f t="shared" si="3"/>
        <v>4.4640000000000004</v>
      </c>
    </row>
    <row r="70" spans="1:8" x14ac:dyDescent="0.2">
      <c r="D70">
        <v>243</v>
      </c>
      <c r="F70">
        <f t="shared" si="3"/>
        <v>0.24299999999999999</v>
      </c>
    </row>
    <row r="71" spans="1:8" x14ac:dyDescent="0.2">
      <c r="D71">
        <v>684</v>
      </c>
      <c r="F71">
        <f t="shared" si="3"/>
        <v>0.68400000000000005</v>
      </c>
    </row>
    <row r="72" spans="1:8" x14ac:dyDescent="0.2">
      <c r="D72">
        <v>628</v>
      </c>
      <c r="F72">
        <f t="shared" si="3"/>
        <v>0.628</v>
      </c>
    </row>
    <row r="73" spans="1:8" x14ac:dyDescent="0.2">
      <c r="D73">
        <v>2649</v>
      </c>
      <c r="F73">
        <f t="shared" si="3"/>
        <v>2.649</v>
      </c>
    </row>
    <row r="74" spans="1:8" x14ac:dyDescent="0.2">
      <c r="D74">
        <v>6292</v>
      </c>
      <c r="F74">
        <f t="shared" si="3"/>
        <v>6.2919999999999998</v>
      </c>
    </row>
    <row r="75" spans="1:8" x14ac:dyDescent="0.2">
      <c r="A75" t="s">
        <v>194</v>
      </c>
      <c r="B75">
        <v>2020</v>
      </c>
      <c r="C75" t="s">
        <v>43</v>
      </c>
      <c r="D75">
        <v>5.48</v>
      </c>
      <c r="E75" t="s">
        <v>180</v>
      </c>
      <c r="F75">
        <f>D75/1000000</f>
        <v>5.48E-6</v>
      </c>
      <c r="H75" t="s">
        <v>193</v>
      </c>
    </row>
    <row r="76" spans="1:8" x14ac:dyDescent="0.2">
      <c r="D76">
        <v>11.56</v>
      </c>
      <c r="F76">
        <f t="shared" ref="F76:F84" si="4">D76/1000000</f>
        <v>1.1560000000000001E-5</v>
      </c>
    </row>
    <row r="77" spans="1:8" x14ac:dyDescent="0.2">
      <c r="D77">
        <v>4.01</v>
      </c>
      <c r="F77">
        <f t="shared" si="4"/>
        <v>4.0099999999999997E-6</v>
      </c>
    </row>
    <row r="78" spans="1:8" x14ac:dyDescent="0.2">
      <c r="D78">
        <v>8.26</v>
      </c>
      <c r="F78">
        <f t="shared" si="4"/>
        <v>8.2600000000000005E-6</v>
      </c>
    </row>
    <row r="79" spans="1:8" x14ac:dyDescent="0.2">
      <c r="D79">
        <v>13.24</v>
      </c>
      <c r="F79">
        <f t="shared" si="4"/>
        <v>1.324E-5</v>
      </c>
    </row>
    <row r="80" spans="1:8" x14ac:dyDescent="0.2">
      <c r="D80">
        <v>0.88</v>
      </c>
      <c r="F80">
        <f t="shared" si="4"/>
        <v>8.8000000000000004E-7</v>
      </c>
    </row>
    <row r="81" spans="1:8" x14ac:dyDescent="0.2">
      <c r="D81">
        <v>4.7300000000000004</v>
      </c>
      <c r="F81">
        <f t="shared" si="4"/>
        <v>4.7300000000000005E-6</v>
      </c>
    </row>
    <row r="82" spans="1:8" x14ac:dyDescent="0.2">
      <c r="D82">
        <v>0.95</v>
      </c>
      <c r="F82">
        <f t="shared" si="4"/>
        <v>9.499999999999999E-7</v>
      </c>
    </row>
    <row r="83" spans="1:8" x14ac:dyDescent="0.2">
      <c r="D83">
        <v>5.51</v>
      </c>
      <c r="F83">
        <f t="shared" si="4"/>
        <v>5.5099999999999998E-6</v>
      </c>
    </row>
    <row r="84" spans="1:8" x14ac:dyDescent="0.2">
      <c r="D84">
        <v>1.1000000000000001</v>
      </c>
      <c r="F84">
        <f t="shared" si="4"/>
        <v>1.1000000000000001E-6</v>
      </c>
    </row>
    <row r="85" spans="1:8" x14ac:dyDescent="0.2">
      <c r="C85" t="s">
        <v>45</v>
      </c>
      <c r="D85">
        <v>868</v>
      </c>
      <c r="E85" t="s">
        <v>195</v>
      </c>
      <c r="F85">
        <f>D85/1000</f>
        <v>0.86799999999999999</v>
      </c>
    </row>
    <row r="86" spans="1:8" x14ac:dyDescent="0.2">
      <c r="D86">
        <v>15962</v>
      </c>
      <c r="F86">
        <f t="shared" ref="F86:F95" si="5">D86/1000</f>
        <v>15.962</v>
      </c>
    </row>
    <row r="87" spans="1:8" x14ac:dyDescent="0.2">
      <c r="D87">
        <v>1678</v>
      </c>
      <c r="F87">
        <f t="shared" si="5"/>
        <v>1.6779999999999999</v>
      </c>
    </row>
    <row r="88" spans="1:8" x14ac:dyDescent="0.2">
      <c r="D88">
        <v>323</v>
      </c>
      <c r="F88">
        <f t="shared" si="5"/>
        <v>0.32300000000000001</v>
      </c>
    </row>
    <row r="89" spans="1:8" x14ac:dyDescent="0.2">
      <c r="D89">
        <v>2281</v>
      </c>
      <c r="F89">
        <f t="shared" si="5"/>
        <v>2.2810000000000001</v>
      </c>
    </row>
    <row r="90" spans="1:8" x14ac:dyDescent="0.2">
      <c r="D90">
        <v>1385</v>
      </c>
      <c r="F90">
        <f t="shared" si="5"/>
        <v>1.385</v>
      </c>
    </row>
    <row r="91" spans="1:8" x14ac:dyDescent="0.2">
      <c r="D91">
        <v>272</v>
      </c>
      <c r="F91">
        <f t="shared" si="5"/>
        <v>0.27200000000000002</v>
      </c>
    </row>
    <row r="92" spans="1:8" x14ac:dyDescent="0.2">
      <c r="D92">
        <v>48</v>
      </c>
      <c r="F92">
        <f t="shared" si="5"/>
        <v>4.8000000000000001E-2</v>
      </c>
    </row>
    <row r="93" spans="1:8" x14ac:dyDescent="0.2">
      <c r="D93">
        <v>50</v>
      </c>
      <c r="F93">
        <f t="shared" si="5"/>
        <v>0.05</v>
      </c>
    </row>
    <row r="94" spans="1:8" x14ac:dyDescent="0.2">
      <c r="D94">
        <v>27</v>
      </c>
      <c r="F94">
        <f t="shared" si="5"/>
        <v>2.7E-2</v>
      </c>
    </row>
    <row r="95" spans="1:8" x14ac:dyDescent="0.2">
      <c r="D95">
        <v>9</v>
      </c>
      <c r="F95">
        <f t="shared" si="5"/>
        <v>8.9999999999999993E-3</v>
      </c>
    </row>
    <row r="96" spans="1:8" x14ac:dyDescent="0.2">
      <c r="A96" t="s">
        <v>197</v>
      </c>
      <c r="B96">
        <v>2019</v>
      </c>
      <c r="C96" t="s">
        <v>43</v>
      </c>
      <c r="D96">
        <v>3.6999999999999998E-2</v>
      </c>
      <c r="E96" t="s">
        <v>180</v>
      </c>
      <c r="F96">
        <f>D96/1000000</f>
        <v>3.7E-8</v>
      </c>
      <c r="H96" t="s">
        <v>196</v>
      </c>
    </row>
    <row r="97" spans="1:8" x14ac:dyDescent="0.2">
      <c r="D97">
        <v>0.1</v>
      </c>
      <c r="F97">
        <f t="shared" ref="F97:F103" si="6">D97/1000000</f>
        <v>1.0000000000000001E-7</v>
      </c>
    </row>
    <row r="98" spans="1:8" x14ac:dyDescent="0.2">
      <c r="D98">
        <v>0.2</v>
      </c>
      <c r="F98">
        <f t="shared" si="6"/>
        <v>2.0000000000000002E-7</v>
      </c>
    </row>
    <row r="99" spans="1:8" x14ac:dyDescent="0.2">
      <c r="D99">
        <v>0.2</v>
      </c>
      <c r="F99">
        <f t="shared" si="6"/>
        <v>2.0000000000000002E-7</v>
      </c>
    </row>
    <row r="100" spans="1:8" x14ac:dyDescent="0.2">
      <c r="D100">
        <v>0.25</v>
      </c>
      <c r="F100">
        <f t="shared" si="6"/>
        <v>2.4999999999999999E-7</v>
      </c>
    </row>
    <row r="101" spans="1:8" x14ac:dyDescent="0.2">
      <c r="D101">
        <v>0.38</v>
      </c>
      <c r="F101">
        <f t="shared" si="6"/>
        <v>3.8000000000000001E-7</v>
      </c>
    </row>
    <row r="102" spans="1:8" x14ac:dyDescent="0.2">
      <c r="D102">
        <v>0.38</v>
      </c>
      <c r="F102">
        <f t="shared" si="6"/>
        <v>3.8000000000000001E-7</v>
      </c>
    </row>
    <row r="103" spans="1:8" x14ac:dyDescent="0.2">
      <c r="D103">
        <v>0.66</v>
      </c>
      <c r="F103">
        <f t="shared" si="6"/>
        <v>6.6000000000000003E-7</v>
      </c>
    </row>
    <row r="104" spans="1:8" x14ac:dyDescent="0.2">
      <c r="A104" t="s">
        <v>200</v>
      </c>
      <c r="B104">
        <v>2019</v>
      </c>
      <c r="C104" t="s">
        <v>43</v>
      </c>
      <c r="D104">
        <v>1.21</v>
      </c>
      <c r="E104" t="s">
        <v>180</v>
      </c>
      <c r="F104">
        <f>D104/1000000</f>
        <v>1.2100000000000001E-6</v>
      </c>
      <c r="H104" t="s">
        <v>199</v>
      </c>
    </row>
    <row r="105" spans="1:8" x14ac:dyDescent="0.2">
      <c r="D105">
        <v>0</v>
      </c>
      <c r="F105">
        <f t="shared" ref="F105:F146" si="7">D105/1000000</f>
        <v>0</v>
      </c>
    </row>
    <row r="106" spans="1:8" x14ac:dyDescent="0.2">
      <c r="D106">
        <v>7.22E-2</v>
      </c>
      <c r="F106">
        <f t="shared" si="7"/>
        <v>7.2199999999999998E-8</v>
      </c>
    </row>
    <row r="107" spans="1:8" x14ac:dyDescent="0.2">
      <c r="D107">
        <v>0.36</v>
      </c>
      <c r="F107">
        <f t="shared" si="7"/>
        <v>3.5999999999999999E-7</v>
      </c>
    </row>
    <row r="108" spans="1:8" x14ac:dyDescent="0.2">
      <c r="D108">
        <v>0.54900000000000004</v>
      </c>
      <c r="F108">
        <f t="shared" si="7"/>
        <v>5.4900000000000006E-7</v>
      </c>
    </row>
    <row r="109" spans="1:8" x14ac:dyDescent="0.2">
      <c r="D109">
        <v>2.9499999999999998E-2</v>
      </c>
      <c r="F109">
        <f t="shared" si="7"/>
        <v>2.9499999999999999E-8</v>
      </c>
    </row>
    <row r="110" spans="1:8" x14ac:dyDescent="0.2">
      <c r="D110">
        <v>0.497</v>
      </c>
      <c r="F110">
        <f t="shared" si="7"/>
        <v>4.9699999999999996E-7</v>
      </c>
    </row>
    <row r="111" spans="1:8" x14ac:dyDescent="0.2">
      <c r="D111">
        <v>0.17100000000000001</v>
      </c>
      <c r="F111">
        <f t="shared" si="7"/>
        <v>1.7100000000000001E-7</v>
      </c>
    </row>
    <row r="112" spans="1:8" x14ac:dyDescent="0.2">
      <c r="D112">
        <v>1.33</v>
      </c>
      <c r="F112">
        <f t="shared" si="7"/>
        <v>1.33E-6</v>
      </c>
    </row>
    <row r="113" spans="4:6" x14ac:dyDescent="0.2">
      <c r="D113">
        <v>0.36499999999999999</v>
      </c>
      <c r="F113">
        <f t="shared" si="7"/>
        <v>3.65E-7</v>
      </c>
    </row>
    <row r="114" spans="4:6" x14ac:dyDescent="0.2">
      <c r="D114">
        <v>11.9</v>
      </c>
      <c r="F114">
        <f t="shared" si="7"/>
        <v>1.19E-5</v>
      </c>
    </row>
    <row r="115" spans="4:6" x14ac:dyDescent="0.2">
      <c r="D115">
        <v>3.87</v>
      </c>
      <c r="F115">
        <f t="shared" si="7"/>
        <v>3.8700000000000002E-6</v>
      </c>
    </row>
    <row r="116" spans="4:6" x14ac:dyDescent="0.2">
      <c r="D116">
        <v>2.77</v>
      </c>
      <c r="F116">
        <f t="shared" si="7"/>
        <v>2.7700000000000002E-6</v>
      </c>
    </row>
    <row r="117" spans="4:6" x14ac:dyDescent="0.2">
      <c r="D117">
        <v>2.67</v>
      </c>
      <c r="F117">
        <f t="shared" si="7"/>
        <v>2.6699999999999998E-6</v>
      </c>
    </row>
    <row r="118" spans="4:6" x14ac:dyDescent="0.2">
      <c r="D118">
        <v>2.1800000000000002</v>
      </c>
      <c r="F118">
        <f t="shared" si="7"/>
        <v>2.1800000000000003E-6</v>
      </c>
    </row>
    <row r="119" spans="4:6" x14ac:dyDescent="0.2">
      <c r="D119">
        <v>0</v>
      </c>
      <c r="F119">
        <f t="shared" si="7"/>
        <v>0</v>
      </c>
    </row>
    <row r="120" spans="4:6" x14ac:dyDescent="0.2">
      <c r="D120">
        <v>2.2599999999999998</v>
      </c>
      <c r="F120">
        <f t="shared" si="7"/>
        <v>2.26E-6</v>
      </c>
    </row>
    <row r="121" spans="4:6" x14ac:dyDescent="0.2">
      <c r="D121">
        <v>23.4</v>
      </c>
      <c r="F121">
        <f t="shared" si="7"/>
        <v>2.34E-5</v>
      </c>
    </row>
    <row r="122" spans="4:6" x14ac:dyDescent="0.2">
      <c r="D122">
        <v>4.8499999999999996</v>
      </c>
      <c r="F122">
        <f t="shared" si="7"/>
        <v>4.8499999999999993E-6</v>
      </c>
    </row>
    <row r="123" spans="4:6" x14ac:dyDescent="0.2">
      <c r="D123">
        <v>0.26600000000000001</v>
      </c>
      <c r="F123">
        <f t="shared" si="7"/>
        <v>2.6600000000000003E-7</v>
      </c>
    </row>
    <row r="124" spans="4:6" x14ac:dyDescent="0.2">
      <c r="D124">
        <v>0.71099999999999997</v>
      </c>
      <c r="F124">
        <f t="shared" si="7"/>
        <v>7.1099999999999995E-7</v>
      </c>
    </row>
    <row r="125" spans="4:6" x14ac:dyDescent="0.2">
      <c r="D125">
        <v>3.29</v>
      </c>
      <c r="F125">
        <f t="shared" si="7"/>
        <v>3.2899999999999998E-6</v>
      </c>
    </row>
    <row r="126" spans="4:6" x14ac:dyDescent="0.2">
      <c r="D126">
        <v>0.78900000000000003</v>
      </c>
      <c r="F126">
        <f t="shared" si="7"/>
        <v>7.8899999999999998E-7</v>
      </c>
    </row>
    <row r="127" spans="4:6" x14ac:dyDescent="0.2">
      <c r="D127">
        <v>0.9</v>
      </c>
      <c r="F127">
        <f t="shared" si="7"/>
        <v>9.0000000000000007E-7</v>
      </c>
    </row>
    <row r="128" spans="4:6" x14ac:dyDescent="0.2">
      <c r="D128">
        <v>1.48</v>
      </c>
      <c r="F128">
        <f t="shared" si="7"/>
        <v>1.48E-6</v>
      </c>
    </row>
    <row r="129" spans="1:8" x14ac:dyDescent="0.2">
      <c r="D129">
        <v>0</v>
      </c>
      <c r="F129">
        <f t="shared" si="7"/>
        <v>0</v>
      </c>
    </row>
    <row r="130" spans="1:8" x14ac:dyDescent="0.2">
      <c r="D130">
        <v>0</v>
      </c>
      <c r="F130">
        <f t="shared" si="7"/>
        <v>0</v>
      </c>
    </row>
    <row r="131" spans="1:8" x14ac:dyDescent="0.2">
      <c r="D131">
        <v>0.86499999999999999</v>
      </c>
      <c r="F131">
        <f t="shared" si="7"/>
        <v>8.6499999999999998E-7</v>
      </c>
    </row>
    <row r="132" spans="1:8" x14ac:dyDescent="0.2">
      <c r="D132">
        <v>0.42699999999999999</v>
      </c>
      <c r="F132">
        <f t="shared" si="7"/>
        <v>4.27E-7</v>
      </c>
    </row>
    <row r="133" spans="1:8" x14ac:dyDescent="0.2">
      <c r="D133">
        <v>1.25</v>
      </c>
      <c r="F133">
        <f t="shared" si="7"/>
        <v>1.2500000000000001E-6</v>
      </c>
    </row>
    <row r="134" spans="1:8" x14ac:dyDescent="0.2">
      <c r="D134">
        <v>0.21</v>
      </c>
      <c r="F134">
        <f t="shared" si="7"/>
        <v>2.1E-7</v>
      </c>
    </row>
    <row r="135" spans="1:8" x14ac:dyDescent="0.2">
      <c r="D135">
        <v>4.9400000000000004</v>
      </c>
      <c r="F135">
        <f t="shared" si="7"/>
        <v>4.9400000000000001E-6</v>
      </c>
    </row>
    <row r="136" spans="1:8" x14ac:dyDescent="0.2">
      <c r="D136">
        <v>2.06</v>
      </c>
      <c r="F136">
        <f t="shared" si="7"/>
        <v>2.0600000000000002E-6</v>
      </c>
    </row>
    <row r="137" spans="1:8" x14ac:dyDescent="0.2">
      <c r="D137">
        <v>0</v>
      </c>
      <c r="F137">
        <f t="shared" si="7"/>
        <v>0</v>
      </c>
    </row>
    <row r="138" spans="1:8" x14ac:dyDescent="0.2">
      <c r="D138">
        <v>0.93500000000000005</v>
      </c>
      <c r="F138">
        <f t="shared" si="7"/>
        <v>9.3500000000000005E-7</v>
      </c>
    </row>
    <row r="139" spans="1:8" x14ac:dyDescent="0.2">
      <c r="D139">
        <v>0.32300000000000001</v>
      </c>
      <c r="F139">
        <f t="shared" si="7"/>
        <v>3.2300000000000002E-7</v>
      </c>
    </row>
    <row r="140" spans="1:8" x14ac:dyDescent="0.2">
      <c r="A140" t="s">
        <v>202</v>
      </c>
      <c r="B140">
        <v>2020</v>
      </c>
      <c r="C140" t="s">
        <v>43</v>
      </c>
      <c r="D140">
        <v>2490.9899999999998</v>
      </c>
      <c r="E140" t="s">
        <v>180</v>
      </c>
      <c r="F140">
        <f t="shared" si="7"/>
        <v>2.4909899999999998E-3</v>
      </c>
      <c r="H140" t="s">
        <v>201</v>
      </c>
    </row>
    <row r="141" spans="1:8" x14ac:dyDescent="0.2">
      <c r="D141">
        <v>1823.2</v>
      </c>
      <c r="F141">
        <f t="shared" si="7"/>
        <v>1.8232000000000001E-3</v>
      </c>
    </row>
    <row r="142" spans="1:8" x14ac:dyDescent="0.2">
      <c r="D142">
        <v>3395.27</v>
      </c>
      <c r="F142">
        <f t="shared" si="7"/>
        <v>3.3952700000000001E-3</v>
      </c>
    </row>
    <row r="143" spans="1:8" x14ac:dyDescent="0.2">
      <c r="D143">
        <v>1740.51</v>
      </c>
      <c r="F143">
        <f t="shared" si="7"/>
        <v>1.74051E-3</v>
      </c>
    </row>
    <row r="144" spans="1:8" x14ac:dyDescent="0.2">
      <c r="D144">
        <v>911.57</v>
      </c>
      <c r="F144">
        <f t="shared" si="7"/>
        <v>9.1157E-4</v>
      </c>
    </row>
    <row r="145" spans="1:8" x14ac:dyDescent="0.2">
      <c r="D145">
        <v>1518.46</v>
      </c>
      <c r="F145">
        <f t="shared" si="7"/>
        <v>1.5184600000000001E-3</v>
      </c>
    </row>
    <row r="146" spans="1:8" x14ac:dyDescent="0.2">
      <c r="D146">
        <v>1747.91</v>
      </c>
      <c r="F146">
        <f t="shared" si="7"/>
        <v>1.7479100000000001E-3</v>
      </c>
    </row>
    <row r="147" spans="1:8" x14ac:dyDescent="0.2">
      <c r="A147" t="s">
        <v>204</v>
      </c>
      <c r="B147">
        <v>2016</v>
      </c>
      <c r="C147" t="s">
        <v>43</v>
      </c>
      <c r="D147">
        <v>0.31</v>
      </c>
      <c r="E147" t="s">
        <v>205</v>
      </c>
      <c r="F147">
        <f>D147*1000/1000000</f>
        <v>3.1E-4</v>
      </c>
      <c r="H147" t="s">
        <v>203</v>
      </c>
    </row>
    <row r="148" spans="1:8" x14ac:dyDescent="0.2">
      <c r="D148">
        <v>1.88</v>
      </c>
      <c r="F148">
        <f t="shared" ref="F148:F174" si="8">D148*1000/1000000</f>
        <v>1.8799999999999999E-3</v>
      </c>
    </row>
    <row r="149" spans="1:8" x14ac:dyDescent="0.2">
      <c r="D149">
        <v>1.02</v>
      </c>
      <c r="F149">
        <f t="shared" si="8"/>
        <v>1.0200000000000001E-3</v>
      </c>
    </row>
    <row r="150" spans="1:8" x14ac:dyDescent="0.2">
      <c r="D150">
        <v>0.41</v>
      </c>
      <c r="F150">
        <f t="shared" si="8"/>
        <v>4.0999999999999999E-4</v>
      </c>
    </row>
    <row r="151" spans="1:8" x14ac:dyDescent="0.2">
      <c r="D151">
        <v>1.24</v>
      </c>
      <c r="F151">
        <f t="shared" si="8"/>
        <v>1.24E-3</v>
      </c>
    </row>
    <row r="152" spans="1:8" x14ac:dyDescent="0.2">
      <c r="D152">
        <v>0.6</v>
      </c>
      <c r="F152">
        <f t="shared" si="8"/>
        <v>5.9999999999999995E-4</v>
      </c>
    </row>
    <row r="153" spans="1:8" x14ac:dyDescent="0.2">
      <c r="D153">
        <v>0.48</v>
      </c>
      <c r="F153">
        <f t="shared" si="8"/>
        <v>4.8000000000000001E-4</v>
      </c>
    </row>
    <row r="154" spans="1:8" x14ac:dyDescent="0.2">
      <c r="D154">
        <v>0.21</v>
      </c>
      <c r="F154">
        <f t="shared" si="8"/>
        <v>2.1000000000000001E-4</v>
      </c>
    </row>
    <row r="155" spans="1:8" x14ac:dyDescent="0.2">
      <c r="D155">
        <v>0.39</v>
      </c>
      <c r="F155">
        <f t="shared" si="8"/>
        <v>3.8999999999999999E-4</v>
      </c>
    </row>
    <row r="156" spans="1:8" x14ac:dyDescent="0.2">
      <c r="D156">
        <v>0.2</v>
      </c>
      <c r="F156">
        <f t="shared" si="8"/>
        <v>2.0000000000000001E-4</v>
      </c>
    </row>
    <row r="157" spans="1:8" x14ac:dyDescent="0.2">
      <c r="D157">
        <v>2.59</v>
      </c>
      <c r="F157">
        <f t="shared" si="8"/>
        <v>2.5899999999999999E-3</v>
      </c>
    </row>
    <row r="158" spans="1:8" x14ac:dyDescent="0.2">
      <c r="D158">
        <v>1.01</v>
      </c>
      <c r="F158">
        <f t="shared" si="8"/>
        <v>1.01E-3</v>
      </c>
    </row>
    <row r="159" spans="1:8" x14ac:dyDescent="0.2">
      <c r="D159">
        <v>0.16</v>
      </c>
      <c r="F159">
        <f t="shared" si="8"/>
        <v>1.6000000000000001E-4</v>
      </c>
    </row>
    <row r="160" spans="1:8" x14ac:dyDescent="0.2">
      <c r="D160">
        <v>1.38</v>
      </c>
      <c r="F160">
        <f t="shared" si="8"/>
        <v>1.3799999999999999E-3</v>
      </c>
    </row>
    <row r="161" spans="4:6" x14ac:dyDescent="0.2">
      <c r="D161">
        <v>0.98</v>
      </c>
      <c r="F161">
        <f t="shared" si="8"/>
        <v>9.7999999999999997E-4</v>
      </c>
    </row>
    <row r="162" spans="4:6" x14ac:dyDescent="0.2">
      <c r="D162">
        <v>3.28</v>
      </c>
      <c r="F162">
        <f t="shared" si="8"/>
        <v>3.2799999999999999E-3</v>
      </c>
    </row>
    <row r="163" spans="4:6" x14ac:dyDescent="0.2">
      <c r="D163">
        <v>1.0900000000000001</v>
      </c>
      <c r="F163">
        <f t="shared" si="8"/>
        <v>1.09E-3</v>
      </c>
    </row>
    <row r="164" spans="4:6" x14ac:dyDescent="0.2">
      <c r="D164">
        <v>0.67</v>
      </c>
      <c r="F164">
        <f t="shared" si="8"/>
        <v>6.7000000000000002E-4</v>
      </c>
    </row>
    <row r="165" spans="4:6" x14ac:dyDescent="0.2">
      <c r="D165">
        <v>0.16</v>
      </c>
      <c r="F165">
        <f t="shared" si="8"/>
        <v>1.6000000000000001E-4</v>
      </c>
    </row>
    <row r="166" spans="4:6" x14ac:dyDescent="0.2">
      <c r="D166">
        <v>0.38</v>
      </c>
      <c r="F166">
        <f t="shared" si="8"/>
        <v>3.8000000000000002E-4</v>
      </c>
    </row>
    <row r="167" spans="4:6" x14ac:dyDescent="0.2">
      <c r="D167">
        <v>2.68</v>
      </c>
      <c r="F167">
        <f t="shared" si="8"/>
        <v>2.6800000000000001E-3</v>
      </c>
    </row>
    <row r="168" spans="4:6" x14ac:dyDescent="0.2">
      <c r="D168">
        <v>0.19</v>
      </c>
      <c r="F168">
        <f t="shared" si="8"/>
        <v>1.9000000000000001E-4</v>
      </c>
    </row>
    <row r="169" spans="4:6" x14ac:dyDescent="0.2">
      <c r="D169">
        <v>0.69</v>
      </c>
      <c r="F169">
        <f t="shared" si="8"/>
        <v>6.8999999999999997E-4</v>
      </c>
    </row>
    <row r="170" spans="4:6" x14ac:dyDescent="0.2">
      <c r="D170">
        <v>0.66</v>
      </c>
      <c r="F170">
        <f t="shared" si="8"/>
        <v>6.6E-4</v>
      </c>
    </row>
    <row r="171" spans="4:6" x14ac:dyDescent="0.2">
      <c r="D171">
        <v>1.62</v>
      </c>
      <c r="F171">
        <f t="shared" si="8"/>
        <v>1.6199999999999999E-3</v>
      </c>
    </row>
    <row r="172" spans="4:6" x14ac:dyDescent="0.2">
      <c r="D172">
        <v>0.65</v>
      </c>
      <c r="F172">
        <f t="shared" si="8"/>
        <v>6.4999999999999997E-4</v>
      </c>
    </row>
    <row r="173" spans="4:6" x14ac:dyDescent="0.2">
      <c r="D173">
        <v>1.34</v>
      </c>
      <c r="F173">
        <f t="shared" si="8"/>
        <v>1.34E-3</v>
      </c>
    </row>
    <row r="174" spans="4:6" x14ac:dyDescent="0.2">
      <c r="D174">
        <v>0.28000000000000003</v>
      </c>
      <c r="F174">
        <f t="shared" si="8"/>
        <v>2.7999999999999998E-4</v>
      </c>
    </row>
    <row r="175" spans="4:6" x14ac:dyDescent="0.2">
      <c r="D175">
        <v>500</v>
      </c>
      <c r="E175" t="s">
        <v>180</v>
      </c>
      <c r="F175">
        <f>D175/1000000</f>
        <v>5.0000000000000001E-4</v>
      </c>
    </row>
    <row r="176" spans="4:6" x14ac:dyDescent="0.2">
      <c r="D176">
        <v>10200</v>
      </c>
      <c r="F176">
        <f t="shared" ref="F176:F210" si="9">D176/1000000</f>
        <v>1.0200000000000001E-2</v>
      </c>
    </row>
    <row r="177" spans="4:6" x14ac:dyDescent="0.2">
      <c r="D177">
        <v>592</v>
      </c>
      <c r="F177">
        <f t="shared" si="9"/>
        <v>5.9199999999999997E-4</v>
      </c>
    </row>
    <row r="178" spans="4:6" x14ac:dyDescent="0.2">
      <c r="D178">
        <v>1299</v>
      </c>
      <c r="F178">
        <f t="shared" si="9"/>
        <v>1.299E-3</v>
      </c>
    </row>
    <row r="179" spans="4:6" x14ac:dyDescent="0.2">
      <c r="D179">
        <v>150</v>
      </c>
      <c r="F179">
        <f t="shared" si="9"/>
        <v>1.4999999999999999E-4</v>
      </c>
    </row>
    <row r="180" spans="4:6" x14ac:dyDescent="0.2">
      <c r="D180">
        <v>2400</v>
      </c>
      <c r="F180">
        <f t="shared" si="9"/>
        <v>2.3999999999999998E-3</v>
      </c>
    </row>
    <row r="181" spans="4:6" x14ac:dyDescent="0.2">
      <c r="D181">
        <v>8</v>
      </c>
      <c r="F181">
        <f t="shared" si="9"/>
        <v>7.9999999999999996E-6</v>
      </c>
    </row>
    <row r="182" spans="4:6" x14ac:dyDescent="0.2">
      <c r="D182">
        <v>9180</v>
      </c>
      <c r="F182">
        <f t="shared" si="9"/>
        <v>9.1800000000000007E-3</v>
      </c>
    </row>
    <row r="183" spans="4:6" x14ac:dyDescent="0.2">
      <c r="D183">
        <v>600</v>
      </c>
      <c r="F183">
        <f t="shared" si="9"/>
        <v>5.9999999999999995E-4</v>
      </c>
    </row>
    <row r="184" spans="4:6" x14ac:dyDescent="0.2">
      <c r="D184">
        <v>1200</v>
      </c>
      <c r="F184">
        <f t="shared" si="9"/>
        <v>1.1999999999999999E-3</v>
      </c>
    </row>
    <row r="185" spans="4:6" x14ac:dyDescent="0.2">
      <c r="D185">
        <v>2.46</v>
      </c>
      <c r="F185">
        <f t="shared" si="9"/>
        <v>2.4600000000000002E-6</v>
      </c>
    </row>
    <row r="186" spans="4:6" x14ac:dyDescent="0.2">
      <c r="D186">
        <v>2E-3</v>
      </c>
      <c r="F186">
        <f t="shared" si="9"/>
        <v>2.0000000000000001E-9</v>
      </c>
    </row>
    <row r="187" spans="4:6" x14ac:dyDescent="0.2">
      <c r="D187">
        <v>3.5999999999999997E-2</v>
      </c>
      <c r="F187">
        <f t="shared" si="9"/>
        <v>3.5999999999999998E-8</v>
      </c>
    </row>
    <row r="188" spans="4:6" x14ac:dyDescent="0.2">
      <c r="D188">
        <v>5</v>
      </c>
      <c r="F188">
        <f t="shared" si="9"/>
        <v>5.0000000000000004E-6</v>
      </c>
    </row>
    <row r="189" spans="4:6" x14ac:dyDescent="0.2">
      <c r="D189">
        <v>7.25</v>
      </c>
      <c r="F189">
        <f t="shared" si="9"/>
        <v>7.25E-6</v>
      </c>
    </row>
    <row r="190" spans="4:6" x14ac:dyDescent="0.2">
      <c r="D190">
        <v>3.92</v>
      </c>
      <c r="F190">
        <f t="shared" si="9"/>
        <v>3.9199999999999997E-6</v>
      </c>
    </row>
    <row r="191" spans="4:6" x14ac:dyDescent="0.2">
      <c r="D191">
        <v>0.01</v>
      </c>
      <c r="F191">
        <f t="shared" si="9"/>
        <v>1E-8</v>
      </c>
    </row>
    <row r="192" spans="4:6" x14ac:dyDescent="0.2">
      <c r="D192">
        <v>0.04</v>
      </c>
      <c r="F192">
        <f t="shared" si="9"/>
        <v>4.0000000000000001E-8</v>
      </c>
    </row>
    <row r="193" spans="1:8" x14ac:dyDescent="0.2">
      <c r="D193">
        <v>0.11600000000000001</v>
      </c>
      <c r="F193">
        <f t="shared" si="9"/>
        <v>1.1600000000000001E-7</v>
      </c>
    </row>
    <row r="194" spans="1:8" x14ac:dyDescent="0.2">
      <c r="D194">
        <v>0.15</v>
      </c>
      <c r="F194">
        <f t="shared" si="9"/>
        <v>1.4999999999999999E-7</v>
      </c>
    </row>
    <row r="195" spans="1:8" x14ac:dyDescent="0.2">
      <c r="D195">
        <v>0.03</v>
      </c>
      <c r="F195">
        <f t="shared" si="9"/>
        <v>2.9999999999999997E-8</v>
      </c>
    </row>
    <row r="196" spans="1:8" x14ac:dyDescent="0.2">
      <c r="D196">
        <v>0.45500000000000002</v>
      </c>
      <c r="F196">
        <f t="shared" si="9"/>
        <v>4.5500000000000004E-7</v>
      </c>
    </row>
    <row r="197" spans="1:8" x14ac:dyDescent="0.2">
      <c r="D197">
        <v>4.22</v>
      </c>
      <c r="F197">
        <f t="shared" si="9"/>
        <v>4.2199999999999994E-6</v>
      </c>
    </row>
    <row r="198" spans="1:8" x14ac:dyDescent="0.2">
      <c r="D198">
        <v>44.28</v>
      </c>
      <c r="F198">
        <f t="shared" si="9"/>
        <v>4.4280000000000003E-5</v>
      </c>
    </row>
    <row r="199" spans="1:8" x14ac:dyDescent="0.2">
      <c r="D199">
        <v>1.92</v>
      </c>
      <c r="F199">
        <f t="shared" si="9"/>
        <v>1.9199999999999998E-6</v>
      </c>
    </row>
    <row r="200" spans="1:8" x14ac:dyDescent="0.2">
      <c r="D200">
        <v>5.51</v>
      </c>
      <c r="F200">
        <f t="shared" si="9"/>
        <v>5.5099999999999998E-6</v>
      </c>
    </row>
    <row r="201" spans="1:8" x14ac:dyDescent="0.2">
      <c r="A201" t="s">
        <v>207</v>
      </c>
      <c r="B201">
        <v>2019</v>
      </c>
      <c r="C201" t="s">
        <v>43</v>
      </c>
      <c r="D201">
        <v>1.93</v>
      </c>
      <c r="E201" t="s">
        <v>180</v>
      </c>
      <c r="F201">
        <f>D201/1000000</f>
        <v>1.9299999999999997E-6</v>
      </c>
      <c r="H201" t="s">
        <v>206</v>
      </c>
    </row>
    <row r="202" spans="1:8" x14ac:dyDescent="0.2">
      <c r="D202">
        <v>2.61</v>
      </c>
      <c r="F202">
        <f t="shared" si="9"/>
        <v>2.61E-6</v>
      </c>
    </row>
    <row r="203" spans="1:8" x14ac:dyDescent="0.2">
      <c r="D203">
        <v>1.58</v>
      </c>
      <c r="F203">
        <f t="shared" si="9"/>
        <v>1.5800000000000001E-6</v>
      </c>
    </row>
    <row r="204" spans="1:8" x14ac:dyDescent="0.2">
      <c r="D204">
        <v>2.71</v>
      </c>
      <c r="F204">
        <f t="shared" si="9"/>
        <v>2.7099999999999999E-6</v>
      </c>
    </row>
    <row r="205" spans="1:8" x14ac:dyDescent="0.2">
      <c r="D205">
        <v>2.57</v>
      </c>
      <c r="F205">
        <f t="shared" si="9"/>
        <v>2.57E-6</v>
      </c>
    </row>
    <row r="206" spans="1:8" x14ac:dyDescent="0.2">
      <c r="D206">
        <v>5.67</v>
      </c>
      <c r="F206">
        <f t="shared" si="9"/>
        <v>5.6699999999999999E-6</v>
      </c>
    </row>
    <row r="207" spans="1:8" x14ac:dyDescent="0.2">
      <c r="D207">
        <v>1</v>
      </c>
      <c r="F207">
        <f t="shared" si="9"/>
        <v>9.9999999999999995E-7</v>
      </c>
    </row>
    <row r="208" spans="1:8" x14ac:dyDescent="0.2">
      <c r="D208">
        <v>1.27</v>
      </c>
      <c r="F208">
        <f t="shared" si="9"/>
        <v>1.2700000000000001E-6</v>
      </c>
    </row>
    <row r="209" spans="1:8" x14ac:dyDescent="0.2">
      <c r="D209">
        <v>0.55000000000000004</v>
      </c>
      <c r="F209">
        <f t="shared" si="9"/>
        <v>5.5000000000000003E-7</v>
      </c>
    </row>
    <row r="210" spans="1:8" x14ac:dyDescent="0.2">
      <c r="D210">
        <v>0.42</v>
      </c>
      <c r="F210">
        <f t="shared" si="9"/>
        <v>4.2E-7</v>
      </c>
    </row>
    <row r="211" spans="1:8" x14ac:dyDescent="0.2">
      <c r="C211" t="s">
        <v>45</v>
      </c>
      <c r="D211">
        <v>32.9</v>
      </c>
      <c r="E211" t="s">
        <v>195</v>
      </c>
      <c r="F211">
        <f>D211/1000</f>
        <v>3.2899999999999999E-2</v>
      </c>
    </row>
    <row r="212" spans="1:8" x14ac:dyDescent="0.2">
      <c r="D212">
        <v>33</v>
      </c>
      <c r="F212">
        <f t="shared" ref="F212:F219" si="10">D212/1000</f>
        <v>3.3000000000000002E-2</v>
      </c>
    </row>
    <row r="213" spans="1:8" x14ac:dyDescent="0.2">
      <c r="D213">
        <v>39</v>
      </c>
      <c r="F213">
        <f t="shared" si="10"/>
        <v>3.9E-2</v>
      </c>
    </row>
    <row r="214" spans="1:8" x14ac:dyDescent="0.2">
      <c r="D214">
        <v>205</v>
      </c>
      <c r="F214">
        <f t="shared" si="10"/>
        <v>0.20499999999999999</v>
      </c>
    </row>
    <row r="215" spans="1:8" x14ac:dyDescent="0.2">
      <c r="D215">
        <v>220</v>
      </c>
      <c r="F215">
        <f t="shared" si="10"/>
        <v>0.22</v>
      </c>
    </row>
    <row r="216" spans="1:8" x14ac:dyDescent="0.2">
      <c r="D216">
        <v>320</v>
      </c>
      <c r="F216">
        <f t="shared" si="10"/>
        <v>0.32</v>
      </c>
    </row>
    <row r="217" spans="1:8" x14ac:dyDescent="0.2">
      <c r="D217">
        <v>1400</v>
      </c>
      <c r="F217">
        <f t="shared" si="10"/>
        <v>1.4</v>
      </c>
    </row>
    <row r="218" spans="1:8" x14ac:dyDescent="0.2">
      <c r="D218">
        <v>2150</v>
      </c>
      <c r="F218">
        <f t="shared" si="10"/>
        <v>2.15</v>
      </c>
    </row>
    <row r="219" spans="1:8" x14ac:dyDescent="0.2">
      <c r="D219">
        <v>6100</v>
      </c>
      <c r="F219">
        <f t="shared" si="10"/>
        <v>6.1</v>
      </c>
    </row>
    <row r="220" spans="1:8" x14ac:dyDescent="0.2">
      <c r="A220" t="s">
        <v>209</v>
      </c>
      <c r="B220">
        <v>2020</v>
      </c>
      <c r="C220" t="s">
        <v>43</v>
      </c>
      <c r="D220">
        <v>1660</v>
      </c>
      <c r="E220" t="s">
        <v>180</v>
      </c>
      <c r="F220">
        <f>D220/1000000</f>
        <v>1.66E-3</v>
      </c>
      <c r="H220" t="s">
        <v>208</v>
      </c>
    </row>
    <row r="221" spans="1:8" x14ac:dyDescent="0.2">
      <c r="D221">
        <v>900</v>
      </c>
      <c r="F221">
        <f t="shared" ref="F221:F232" si="11">D221/1000000</f>
        <v>8.9999999999999998E-4</v>
      </c>
    </row>
    <row r="222" spans="1:8" x14ac:dyDescent="0.2">
      <c r="D222">
        <v>2800</v>
      </c>
      <c r="F222">
        <f t="shared" si="11"/>
        <v>2.8E-3</v>
      </c>
    </row>
    <row r="223" spans="1:8" x14ac:dyDescent="0.2">
      <c r="D223">
        <v>1250</v>
      </c>
      <c r="F223">
        <f t="shared" si="11"/>
        <v>1.25E-3</v>
      </c>
    </row>
    <row r="224" spans="1:8" x14ac:dyDescent="0.2">
      <c r="D224">
        <v>4650</v>
      </c>
      <c r="F224">
        <f t="shared" si="11"/>
        <v>4.6499999999999996E-3</v>
      </c>
    </row>
    <row r="225" spans="1:8" x14ac:dyDescent="0.2">
      <c r="D225">
        <v>293</v>
      </c>
      <c r="F225">
        <f t="shared" si="11"/>
        <v>2.9300000000000002E-4</v>
      </c>
    </row>
    <row r="226" spans="1:8" x14ac:dyDescent="0.2">
      <c r="D226">
        <v>4760</v>
      </c>
      <c r="F226">
        <f t="shared" si="11"/>
        <v>4.7600000000000003E-3</v>
      </c>
    </row>
    <row r="227" spans="1:8" x14ac:dyDescent="0.2">
      <c r="D227">
        <v>3.52</v>
      </c>
      <c r="F227">
        <f t="shared" si="11"/>
        <v>3.5200000000000002E-6</v>
      </c>
    </row>
    <row r="228" spans="1:8" x14ac:dyDescent="0.2">
      <c r="D228">
        <v>32.049999999999997</v>
      </c>
      <c r="F228">
        <f t="shared" si="11"/>
        <v>3.205E-5</v>
      </c>
    </row>
    <row r="229" spans="1:8" x14ac:dyDescent="0.2">
      <c r="D229">
        <v>58</v>
      </c>
      <c r="F229">
        <f t="shared" si="11"/>
        <v>5.8E-5</v>
      </c>
    </row>
    <row r="230" spans="1:8" x14ac:dyDescent="0.2">
      <c r="D230">
        <v>1265</v>
      </c>
      <c r="F230">
        <f t="shared" si="11"/>
        <v>1.2650000000000001E-3</v>
      </c>
    </row>
    <row r="231" spans="1:8" x14ac:dyDescent="0.2">
      <c r="D231">
        <v>5.7</v>
      </c>
      <c r="F231">
        <f t="shared" si="11"/>
        <v>5.7000000000000005E-6</v>
      </c>
    </row>
    <row r="232" spans="1:8" x14ac:dyDescent="0.2">
      <c r="D232">
        <v>398</v>
      </c>
      <c r="F232">
        <f t="shared" si="11"/>
        <v>3.9800000000000002E-4</v>
      </c>
    </row>
    <row r="233" spans="1:8" x14ac:dyDescent="0.2">
      <c r="D233">
        <v>3.12</v>
      </c>
      <c r="E233" t="s">
        <v>190</v>
      </c>
      <c r="F233">
        <f>D233/1000</f>
        <v>3.1199999999999999E-3</v>
      </c>
    </row>
    <row r="234" spans="1:8" x14ac:dyDescent="0.2">
      <c r="D234">
        <v>11.25</v>
      </c>
      <c r="F234">
        <f t="shared" ref="F234:F258" si="12">D234/1000</f>
        <v>1.125E-2</v>
      </c>
    </row>
    <row r="235" spans="1:8" x14ac:dyDescent="0.2">
      <c r="D235">
        <v>5</v>
      </c>
      <c r="F235">
        <f t="shared" si="12"/>
        <v>5.0000000000000001E-3</v>
      </c>
    </row>
    <row r="236" spans="1:8" x14ac:dyDescent="0.2">
      <c r="D236">
        <v>34</v>
      </c>
      <c r="F236">
        <f t="shared" si="12"/>
        <v>3.4000000000000002E-2</v>
      </c>
    </row>
    <row r="237" spans="1:8" x14ac:dyDescent="0.2">
      <c r="D237">
        <v>27.84</v>
      </c>
      <c r="F237">
        <f t="shared" si="12"/>
        <v>2.784E-2</v>
      </c>
    </row>
    <row r="238" spans="1:8" x14ac:dyDescent="0.2">
      <c r="D238">
        <v>0.98</v>
      </c>
      <c r="F238">
        <f t="shared" si="12"/>
        <v>9.7999999999999997E-4</v>
      </c>
    </row>
    <row r="239" spans="1:8" x14ac:dyDescent="0.2">
      <c r="A239" t="s">
        <v>211</v>
      </c>
      <c r="B239">
        <v>2021</v>
      </c>
      <c r="C239" t="s">
        <v>43</v>
      </c>
      <c r="D239">
        <v>3.5000000000000003E-2</v>
      </c>
      <c r="E239" t="s">
        <v>190</v>
      </c>
      <c r="F239">
        <f t="shared" si="12"/>
        <v>3.5000000000000004E-5</v>
      </c>
      <c r="H239" t="s">
        <v>210</v>
      </c>
    </row>
    <row r="240" spans="1:8" x14ac:dyDescent="0.2">
      <c r="D240">
        <v>3.5000000000000003E-2</v>
      </c>
      <c r="F240">
        <f t="shared" si="12"/>
        <v>3.5000000000000004E-5</v>
      </c>
    </row>
    <row r="241" spans="4:6" x14ac:dyDescent="0.2">
      <c r="D241">
        <v>6.6000000000000003E-2</v>
      </c>
      <c r="F241">
        <f t="shared" si="12"/>
        <v>6.6000000000000005E-5</v>
      </c>
    </row>
    <row r="242" spans="4:6" x14ac:dyDescent="0.2">
      <c r="D242">
        <v>1.7999999999999999E-2</v>
      </c>
      <c r="F242">
        <f t="shared" si="12"/>
        <v>1.7999999999999997E-5</v>
      </c>
    </row>
    <row r="243" spans="4:6" x14ac:dyDescent="0.2">
      <c r="D243">
        <v>1.7000000000000001E-2</v>
      </c>
      <c r="F243">
        <f t="shared" si="12"/>
        <v>1.7E-5</v>
      </c>
    </row>
    <row r="244" spans="4:6" x14ac:dyDescent="0.2">
      <c r="D244">
        <v>3.7999999999999999E-2</v>
      </c>
      <c r="F244">
        <f t="shared" si="12"/>
        <v>3.8000000000000002E-5</v>
      </c>
    </row>
    <row r="245" spans="4:6" x14ac:dyDescent="0.2">
      <c r="D245">
        <v>0.01</v>
      </c>
      <c r="F245">
        <f t="shared" si="12"/>
        <v>1.0000000000000001E-5</v>
      </c>
    </row>
    <row r="246" spans="4:6" x14ac:dyDescent="0.2">
      <c r="D246">
        <v>0.02</v>
      </c>
      <c r="F246">
        <f t="shared" si="12"/>
        <v>2.0000000000000002E-5</v>
      </c>
    </row>
    <row r="247" spans="4:6" x14ac:dyDescent="0.2">
      <c r="D247">
        <v>1.7999999999999999E-2</v>
      </c>
      <c r="F247">
        <f t="shared" si="12"/>
        <v>1.7999999999999997E-5</v>
      </c>
    </row>
    <row r="248" spans="4:6" x14ac:dyDescent="0.2">
      <c r="D248">
        <v>3.0000000000000001E-3</v>
      </c>
      <c r="F248">
        <f t="shared" si="12"/>
        <v>3.0000000000000001E-6</v>
      </c>
    </row>
    <row r="249" spans="4:6" x14ac:dyDescent="0.2">
      <c r="D249">
        <v>2.5999999999999999E-2</v>
      </c>
      <c r="F249">
        <f t="shared" si="12"/>
        <v>2.5999999999999998E-5</v>
      </c>
    </row>
    <row r="250" spans="4:6" x14ac:dyDescent="0.2">
      <c r="D250">
        <v>1.7000000000000001E-2</v>
      </c>
      <c r="F250">
        <f t="shared" si="12"/>
        <v>1.7E-5</v>
      </c>
    </row>
    <row r="251" spans="4:6" x14ac:dyDescent="0.2">
      <c r="D251">
        <v>1.7999999999999999E-2</v>
      </c>
      <c r="F251">
        <f t="shared" si="12"/>
        <v>1.7999999999999997E-5</v>
      </c>
    </row>
    <row r="252" spans="4:6" x14ac:dyDescent="0.2">
      <c r="D252">
        <v>2.1000000000000001E-2</v>
      </c>
      <c r="F252">
        <f t="shared" si="12"/>
        <v>2.1000000000000002E-5</v>
      </c>
    </row>
    <row r="253" spans="4:6" x14ac:dyDescent="0.2">
      <c r="D253">
        <v>7.0000000000000001E-3</v>
      </c>
      <c r="F253">
        <f t="shared" si="12"/>
        <v>6.9999999999999999E-6</v>
      </c>
    </row>
    <row r="254" spans="4:6" x14ac:dyDescent="0.2">
      <c r="D254">
        <v>0.01</v>
      </c>
      <c r="F254">
        <f t="shared" si="12"/>
        <v>1.0000000000000001E-5</v>
      </c>
    </row>
    <row r="255" spans="4:6" x14ac:dyDescent="0.2">
      <c r="D255">
        <v>7.0000000000000001E-3</v>
      </c>
      <c r="F255">
        <f t="shared" si="12"/>
        <v>6.9999999999999999E-6</v>
      </c>
    </row>
    <row r="256" spans="4:6" x14ac:dyDescent="0.2">
      <c r="D256">
        <v>1.7000000000000001E-2</v>
      </c>
      <c r="F256">
        <f t="shared" si="12"/>
        <v>1.7E-5</v>
      </c>
    </row>
    <row r="257" spans="1:8" x14ac:dyDescent="0.2">
      <c r="D257">
        <v>0</v>
      </c>
      <c r="F257">
        <f t="shared" si="12"/>
        <v>0</v>
      </c>
    </row>
    <row r="258" spans="1:8" x14ac:dyDescent="0.2">
      <c r="D258">
        <v>0</v>
      </c>
      <c r="F258">
        <f t="shared" si="12"/>
        <v>0</v>
      </c>
    </row>
    <row r="259" spans="1:8" x14ac:dyDescent="0.2">
      <c r="A259" t="s">
        <v>213</v>
      </c>
      <c r="B259">
        <v>2020</v>
      </c>
      <c r="C259" t="s">
        <v>43</v>
      </c>
      <c r="D259">
        <v>10</v>
      </c>
      <c r="E259" t="s">
        <v>180</v>
      </c>
      <c r="F259">
        <f>D259/1000000</f>
        <v>1.0000000000000001E-5</v>
      </c>
      <c r="H259" t="s">
        <v>212</v>
      </c>
    </row>
    <row r="260" spans="1:8" x14ac:dyDescent="0.2">
      <c r="D260">
        <v>5</v>
      </c>
      <c r="F260">
        <f t="shared" ref="F260:F266" si="13">D260/1000000</f>
        <v>5.0000000000000004E-6</v>
      </c>
    </row>
    <row r="261" spans="1:8" x14ac:dyDescent="0.2">
      <c r="D261">
        <v>1</v>
      </c>
      <c r="F261">
        <f t="shared" si="13"/>
        <v>9.9999999999999995E-7</v>
      </c>
    </row>
    <row r="262" spans="1:8" x14ac:dyDescent="0.2">
      <c r="D262">
        <v>1</v>
      </c>
      <c r="F262">
        <f t="shared" si="13"/>
        <v>9.9999999999999995E-7</v>
      </c>
    </row>
    <row r="263" spans="1:8" x14ac:dyDescent="0.2">
      <c r="D263">
        <v>13</v>
      </c>
      <c r="F263">
        <f t="shared" si="13"/>
        <v>1.2999999999999999E-5</v>
      </c>
    </row>
    <row r="264" spans="1:8" x14ac:dyDescent="0.2">
      <c r="A264" t="s">
        <v>215</v>
      </c>
      <c r="B264">
        <v>2020</v>
      </c>
      <c r="C264" t="s">
        <v>43</v>
      </c>
      <c r="D264">
        <v>8.5999999999999993E-2</v>
      </c>
      <c r="E264" t="s">
        <v>180</v>
      </c>
      <c r="F264">
        <f t="shared" si="13"/>
        <v>8.5999999999999989E-8</v>
      </c>
      <c r="H264" t="s">
        <v>214</v>
      </c>
    </row>
    <row r="265" spans="1:8" x14ac:dyDescent="0.2">
      <c r="D265">
        <v>4.8000000000000001E-2</v>
      </c>
      <c r="F265">
        <f t="shared" si="13"/>
        <v>4.8E-8</v>
      </c>
    </row>
    <row r="266" spans="1:8" x14ac:dyDescent="0.2">
      <c r="D266">
        <v>3.7999999999999999E-2</v>
      </c>
      <c r="F266">
        <f t="shared" si="13"/>
        <v>3.7999999999999996E-8</v>
      </c>
    </row>
    <row r="267" spans="1:8" x14ac:dyDescent="0.2">
      <c r="D267">
        <v>3</v>
      </c>
      <c r="E267" t="s">
        <v>190</v>
      </c>
      <c r="F267">
        <f>D267/1000</f>
        <v>3.0000000000000001E-3</v>
      </c>
    </row>
    <row r="268" spans="1:8" x14ac:dyDescent="0.2">
      <c r="D268">
        <v>0.66600000000000004</v>
      </c>
      <c r="F268">
        <f t="shared" ref="F268:F269" si="14">D268/1000</f>
        <v>6.6600000000000003E-4</v>
      </c>
    </row>
    <row r="269" spans="1:8" x14ac:dyDescent="0.2">
      <c r="D269">
        <v>1.333</v>
      </c>
      <c r="F269">
        <f t="shared" si="14"/>
        <v>1.333E-3</v>
      </c>
    </row>
    <row r="270" spans="1:8" x14ac:dyDescent="0.2">
      <c r="C270" t="s">
        <v>45</v>
      </c>
      <c r="D270">
        <v>3.03</v>
      </c>
      <c r="E270" t="s">
        <v>217</v>
      </c>
      <c r="F270">
        <f>D270/100</f>
        <v>3.0299999999999997E-2</v>
      </c>
    </row>
    <row r="271" spans="1:8" x14ac:dyDescent="0.2">
      <c r="D271">
        <v>66</v>
      </c>
      <c r="F271">
        <f t="shared" ref="F271:F272" si="15">D271/100</f>
        <v>0.66</v>
      </c>
    </row>
    <row r="272" spans="1:8" x14ac:dyDescent="0.2">
      <c r="D272">
        <v>80.2</v>
      </c>
      <c r="F272">
        <f t="shared" si="15"/>
        <v>0.80200000000000005</v>
      </c>
    </row>
    <row r="273" spans="1:8" x14ac:dyDescent="0.2">
      <c r="A273" t="s">
        <v>219</v>
      </c>
      <c r="B273">
        <v>2024</v>
      </c>
      <c r="C273" t="s">
        <v>43</v>
      </c>
      <c r="D273">
        <v>554.92999999999995</v>
      </c>
      <c r="E273" t="s">
        <v>180</v>
      </c>
      <c r="F273">
        <f>D273/1000000</f>
        <v>5.5492999999999992E-4</v>
      </c>
      <c r="H273" t="s">
        <v>218</v>
      </c>
    </row>
    <row r="274" spans="1:8" x14ac:dyDescent="0.2">
      <c r="D274">
        <v>2558.9</v>
      </c>
      <c r="F274">
        <f t="shared" ref="F274:F317" si="16">D274/1000000</f>
        <v>2.5589000000000002E-3</v>
      </c>
    </row>
    <row r="275" spans="1:8" x14ac:dyDescent="0.2">
      <c r="D275">
        <v>1741.94</v>
      </c>
      <c r="F275">
        <f t="shared" si="16"/>
        <v>1.74194E-3</v>
      </c>
    </row>
    <row r="276" spans="1:8" x14ac:dyDescent="0.2">
      <c r="D276">
        <v>105000</v>
      </c>
      <c r="F276">
        <f t="shared" si="16"/>
        <v>0.105</v>
      </c>
    </row>
    <row r="277" spans="1:8" x14ac:dyDescent="0.2">
      <c r="D277">
        <v>1766.43</v>
      </c>
      <c r="F277">
        <f t="shared" si="16"/>
        <v>1.76643E-3</v>
      </c>
    </row>
    <row r="278" spans="1:8" x14ac:dyDescent="0.2">
      <c r="D278">
        <v>1477.02</v>
      </c>
      <c r="F278">
        <f t="shared" si="16"/>
        <v>1.4770199999999999E-3</v>
      </c>
    </row>
    <row r="279" spans="1:8" x14ac:dyDescent="0.2">
      <c r="D279">
        <v>1.76</v>
      </c>
      <c r="F279">
        <f t="shared" si="16"/>
        <v>1.7600000000000001E-6</v>
      </c>
    </row>
    <row r="280" spans="1:8" x14ac:dyDescent="0.2">
      <c r="D280">
        <v>11618</v>
      </c>
      <c r="F280">
        <f t="shared" si="16"/>
        <v>1.1618E-2</v>
      </c>
    </row>
    <row r="281" spans="1:8" x14ac:dyDescent="0.2">
      <c r="D281">
        <v>42800</v>
      </c>
      <c r="F281">
        <f t="shared" si="16"/>
        <v>4.2799999999999998E-2</v>
      </c>
    </row>
    <row r="282" spans="1:8" x14ac:dyDescent="0.2">
      <c r="D282">
        <v>122400</v>
      </c>
      <c r="F282">
        <f t="shared" si="16"/>
        <v>0.12239999999999999</v>
      </c>
    </row>
    <row r="283" spans="1:8" x14ac:dyDescent="0.2">
      <c r="D283">
        <v>82800</v>
      </c>
      <c r="F283">
        <f t="shared" si="16"/>
        <v>8.2799999999999999E-2</v>
      </c>
    </row>
    <row r="284" spans="1:8" x14ac:dyDescent="0.2">
      <c r="D284">
        <v>106200</v>
      </c>
      <c r="F284">
        <f t="shared" si="16"/>
        <v>0.1062</v>
      </c>
    </row>
    <row r="285" spans="1:8" x14ac:dyDescent="0.2">
      <c r="A285" t="s">
        <v>221</v>
      </c>
      <c r="B285">
        <v>2017</v>
      </c>
      <c r="C285" t="s">
        <v>43</v>
      </c>
      <c r="D285">
        <v>1660</v>
      </c>
      <c r="E285" t="s">
        <v>180</v>
      </c>
      <c r="F285">
        <f t="shared" si="16"/>
        <v>1.66E-3</v>
      </c>
      <c r="H285" t="s">
        <v>220</v>
      </c>
    </row>
    <row r="286" spans="1:8" x14ac:dyDescent="0.2">
      <c r="D286">
        <v>8925</v>
      </c>
      <c r="F286">
        <f t="shared" si="16"/>
        <v>8.9250000000000006E-3</v>
      </c>
    </row>
    <row r="287" spans="1:8" x14ac:dyDescent="0.2">
      <c r="D287">
        <v>8550</v>
      </c>
      <c r="F287">
        <f t="shared" si="16"/>
        <v>8.5500000000000003E-3</v>
      </c>
    </row>
    <row r="288" spans="1:8" x14ac:dyDescent="0.2">
      <c r="D288">
        <v>6175</v>
      </c>
      <c r="F288">
        <f t="shared" si="16"/>
        <v>6.1749999999999999E-3</v>
      </c>
    </row>
    <row r="289" spans="1:8" x14ac:dyDescent="0.2">
      <c r="D289">
        <v>6390</v>
      </c>
      <c r="F289">
        <f t="shared" si="16"/>
        <v>6.3899999999999998E-3</v>
      </c>
    </row>
    <row r="290" spans="1:8" x14ac:dyDescent="0.2">
      <c r="D290">
        <v>6162.5</v>
      </c>
      <c r="F290">
        <f t="shared" si="16"/>
        <v>6.1624999999999996E-3</v>
      </c>
    </row>
    <row r="291" spans="1:8" x14ac:dyDescent="0.2">
      <c r="D291">
        <v>5745</v>
      </c>
      <c r="F291">
        <f t="shared" si="16"/>
        <v>5.7450000000000001E-3</v>
      </c>
    </row>
    <row r="292" spans="1:8" x14ac:dyDescent="0.2">
      <c r="D292">
        <v>5914</v>
      </c>
      <c r="F292">
        <f t="shared" si="16"/>
        <v>5.914E-3</v>
      </c>
    </row>
    <row r="293" spans="1:8" x14ac:dyDescent="0.2">
      <c r="D293">
        <v>2516.6999999999998</v>
      </c>
      <c r="F293">
        <f t="shared" si="16"/>
        <v>2.5166999999999998E-3</v>
      </c>
    </row>
    <row r="294" spans="1:8" x14ac:dyDescent="0.2">
      <c r="D294">
        <v>2933</v>
      </c>
      <c r="F294">
        <f t="shared" si="16"/>
        <v>2.9329999999999998E-3</v>
      </c>
    </row>
    <row r="295" spans="1:8" x14ac:dyDescent="0.2">
      <c r="D295">
        <v>4137.3</v>
      </c>
      <c r="F295">
        <f t="shared" si="16"/>
        <v>4.1373E-3</v>
      </c>
    </row>
    <row r="296" spans="1:8" x14ac:dyDescent="0.2">
      <c r="D296">
        <v>30</v>
      </c>
      <c r="F296">
        <f t="shared" si="16"/>
        <v>3.0000000000000001E-5</v>
      </c>
    </row>
    <row r="297" spans="1:8" x14ac:dyDescent="0.2">
      <c r="D297">
        <v>109</v>
      </c>
      <c r="F297">
        <f t="shared" si="16"/>
        <v>1.0900000000000001E-4</v>
      </c>
    </row>
    <row r="298" spans="1:8" x14ac:dyDescent="0.2">
      <c r="D298">
        <v>0.31680000000000003</v>
      </c>
      <c r="F298">
        <f t="shared" si="16"/>
        <v>3.1680000000000003E-7</v>
      </c>
    </row>
    <row r="299" spans="1:8" x14ac:dyDescent="0.2">
      <c r="D299">
        <v>2.8000000000000001E-2</v>
      </c>
      <c r="F299">
        <f t="shared" si="16"/>
        <v>2.7999999999999999E-8</v>
      </c>
    </row>
    <row r="300" spans="1:8" x14ac:dyDescent="0.2">
      <c r="A300" t="s">
        <v>223</v>
      </c>
      <c r="B300">
        <v>2016</v>
      </c>
      <c r="C300" t="s">
        <v>43</v>
      </c>
      <c r="D300">
        <v>0.56999999999999995</v>
      </c>
      <c r="E300" t="s">
        <v>180</v>
      </c>
      <c r="F300">
        <f t="shared" si="16"/>
        <v>5.6999999999999994E-7</v>
      </c>
      <c r="H300" t="s">
        <v>222</v>
      </c>
    </row>
    <row r="301" spans="1:8" x14ac:dyDescent="0.2">
      <c r="D301">
        <v>11.22</v>
      </c>
      <c r="F301">
        <f t="shared" si="16"/>
        <v>1.1220000000000001E-5</v>
      </c>
    </row>
    <row r="302" spans="1:8" x14ac:dyDescent="0.2">
      <c r="D302">
        <v>1.17</v>
      </c>
      <c r="F302">
        <f t="shared" si="16"/>
        <v>1.17E-6</v>
      </c>
    </row>
    <row r="303" spans="1:8" x14ac:dyDescent="0.2">
      <c r="D303">
        <v>5.39</v>
      </c>
      <c r="F303">
        <f t="shared" si="16"/>
        <v>5.3900000000000001E-6</v>
      </c>
    </row>
    <row r="304" spans="1:8" x14ac:dyDescent="0.2">
      <c r="D304">
        <v>1.24</v>
      </c>
      <c r="F304">
        <f t="shared" si="16"/>
        <v>1.24E-6</v>
      </c>
    </row>
    <row r="305" spans="1:8" x14ac:dyDescent="0.2">
      <c r="D305">
        <v>0.8</v>
      </c>
      <c r="F305">
        <f t="shared" si="16"/>
        <v>8.0000000000000007E-7</v>
      </c>
    </row>
    <row r="306" spans="1:8" x14ac:dyDescent="0.2">
      <c r="D306">
        <v>3.36</v>
      </c>
      <c r="F306">
        <f t="shared" si="16"/>
        <v>3.36E-6</v>
      </c>
    </row>
    <row r="307" spans="1:8" x14ac:dyDescent="0.2">
      <c r="D307">
        <v>6.6</v>
      </c>
      <c r="F307">
        <f t="shared" si="16"/>
        <v>6.5999999999999995E-6</v>
      </c>
    </row>
    <row r="308" spans="1:8" x14ac:dyDescent="0.2">
      <c r="D308">
        <v>4.37</v>
      </c>
      <c r="F308">
        <f t="shared" si="16"/>
        <v>4.3700000000000005E-6</v>
      </c>
    </row>
    <row r="309" spans="1:8" x14ac:dyDescent="0.2">
      <c r="D309">
        <v>2.5299999999999998</v>
      </c>
      <c r="F309">
        <f t="shared" si="16"/>
        <v>2.5299999999999999E-6</v>
      </c>
    </row>
    <row r="310" spans="1:8" x14ac:dyDescent="0.2">
      <c r="D310">
        <v>5.92</v>
      </c>
      <c r="F310">
        <f t="shared" si="16"/>
        <v>5.9200000000000001E-6</v>
      </c>
    </row>
    <row r="311" spans="1:8" x14ac:dyDescent="0.2">
      <c r="D311">
        <v>10.28</v>
      </c>
      <c r="F311">
        <f t="shared" si="16"/>
        <v>1.028E-5</v>
      </c>
    </row>
    <row r="312" spans="1:8" x14ac:dyDescent="0.2">
      <c r="D312">
        <v>0.93</v>
      </c>
      <c r="F312">
        <f t="shared" si="16"/>
        <v>9.300000000000001E-7</v>
      </c>
    </row>
    <row r="313" spans="1:8" x14ac:dyDescent="0.2">
      <c r="D313">
        <v>2.96</v>
      </c>
      <c r="F313">
        <f t="shared" si="16"/>
        <v>2.96E-6</v>
      </c>
    </row>
    <row r="314" spans="1:8" x14ac:dyDescent="0.2">
      <c r="D314">
        <v>0.48</v>
      </c>
      <c r="F314">
        <f t="shared" si="16"/>
        <v>4.7999999999999996E-7</v>
      </c>
    </row>
    <row r="315" spans="1:8" x14ac:dyDescent="0.2">
      <c r="D315">
        <v>3.73</v>
      </c>
      <c r="F315">
        <f t="shared" si="16"/>
        <v>3.7299999999999999E-6</v>
      </c>
    </row>
    <row r="316" spans="1:8" x14ac:dyDescent="0.2">
      <c r="D316">
        <v>3.14</v>
      </c>
      <c r="F316">
        <f t="shared" si="16"/>
        <v>3.14E-6</v>
      </c>
    </row>
    <row r="317" spans="1:8" x14ac:dyDescent="0.2">
      <c r="D317">
        <v>8.86</v>
      </c>
      <c r="F317">
        <f t="shared" si="16"/>
        <v>8.8599999999999999E-6</v>
      </c>
    </row>
    <row r="318" spans="1:8" x14ac:dyDescent="0.2">
      <c r="A318" t="s">
        <v>225</v>
      </c>
      <c r="B318">
        <v>2019</v>
      </c>
      <c r="C318" t="s">
        <v>43</v>
      </c>
      <c r="D318">
        <v>0.33</v>
      </c>
      <c r="E318" t="s">
        <v>190</v>
      </c>
      <c r="F318">
        <f>D318/1000</f>
        <v>3.3E-4</v>
      </c>
      <c r="H318" t="s">
        <v>224</v>
      </c>
    </row>
    <row r="319" spans="1:8" x14ac:dyDescent="0.2">
      <c r="D319">
        <v>325.33</v>
      </c>
      <c r="F319">
        <f t="shared" ref="F319:F322" si="17">D319/1000</f>
        <v>0.32533000000000001</v>
      </c>
    </row>
    <row r="320" spans="1:8" x14ac:dyDescent="0.2">
      <c r="D320">
        <v>48.25</v>
      </c>
      <c r="F320">
        <f t="shared" si="17"/>
        <v>4.8250000000000001E-2</v>
      </c>
    </row>
    <row r="321" spans="1:8" x14ac:dyDescent="0.2">
      <c r="D321">
        <v>3.57</v>
      </c>
      <c r="F321">
        <f t="shared" si="17"/>
        <v>3.5699999999999998E-3</v>
      </c>
    </row>
    <row r="322" spans="1:8" x14ac:dyDescent="0.2">
      <c r="D322">
        <v>4.24</v>
      </c>
      <c r="F322">
        <f t="shared" si="17"/>
        <v>4.2399999999999998E-3</v>
      </c>
    </row>
    <row r="323" spans="1:8" x14ac:dyDescent="0.2">
      <c r="C323" t="s">
        <v>44</v>
      </c>
      <c r="D323">
        <v>1.64</v>
      </c>
      <c r="E323" t="s">
        <v>180</v>
      </c>
      <c r="F323">
        <f>D323/1.225/1000</f>
        <v>1.3387755102040814E-3</v>
      </c>
    </row>
    <row r="324" spans="1:8" x14ac:dyDescent="0.2">
      <c r="D324">
        <v>4.8</v>
      </c>
      <c r="F324">
        <f t="shared" ref="F324:F327" si="18">D324/1.225/1000</f>
        <v>3.9183673469387753E-3</v>
      </c>
    </row>
    <row r="325" spans="1:8" x14ac:dyDescent="0.2">
      <c r="D325">
        <v>0.3</v>
      </c>
      <c r="F325">
        <f t="shared" si="18"/>
        <v>2.4489795918367346E-4</v>
      </c>
    </row>
    <row r="326" spans="1:8" x14ac:dyDescent="0.2">
      <c r="D326">
        <v>14.27</v>
      </c>
      <c r="F326">
        <f t="shared" si="18"/>
        <v>1.1648979591836733E-2</v>
      </c>
    </row>
    <row r="327" spans="1:8" x14ac:dyDescent="0.2">
      <c r="D327">
        <v>23.95</v>
      </c>
      <c r="F327">
        <f t="shared" si="18"/>
        <v>1.9551020408163266E-2</v>
      </c>
    </row>
    <row r="328" spans="1:8" x14ac:dyDescent="0.2">
      <c r="A328" t="s">
        <v>227</v>
      </c>
      <c r="B328">
        <v>2017</v>
      </c>
      <c r="C328" t="s">
        <v>43</v>
      </c>
      <c r="D328">
        <v>3.7</v>
      </c>
      <c r="E328" t="s">
        <v>180</v>
      </c>
      <c r="F328">
        <f>D328/1000000</f>
        <v>3.7000000000000002E-6</v>
      </c>
      <c r="H328" t="s">
        <v>226</v>
      </c>
    </row>
    <row r="329" spans="1:8" x14ac:dyDescent="0.2">
      <c r="D329">
        <v>1.7</v>
      </c>
      <c r="F329">
        <f t="shared" ref="F329:F381" si="19">D329/1000000</f>
        <v>1.7E-6</v>
      </c>
    </row>
    <row r="330" spans="1:8" x14ac:dyDescent="0.2">
      <c r="D330">
        <v>0.39</v>
      </c>
      <c r="F330">
        <f t="shared" si="19"/>
        <v>3.9000000000000002E-7</v>
      </c>
    </row>
    <row r="331" spans="1:8" x14ac:dyDescent="0.2">
      <c r="D331">
        <v>0.34</v>
      </c>
      <c r="F331">
        <f t="shared" si="19"/>
        <v>3.4000000000000003E-7</v>
      </c>
    </row>
    <row r="332" spans="1:8" x14ac:dyDescent="0.2">
      <c r="D332">
        <v>0.15</v>
      </c>
      <c r="F332">
        <f t="shared" si="19"/>
        <v>1.4999999999999999E-7</v>
      </c>
    </row>
    <row r="333" spans="1:8" x14ac:dyDescent="0.2">
      <c r="D333">
        <v>0.12</v>
      </c>
      <c r="F333">
        <f t="shared" si="19"/>
        <v>1.1999999999999999E-7</v>
      </c>
    </row>
    <row r="334" spans="1:8" x14ac:dyDescent="0.2">
      <c r="D334">
        <v>9.9000000000000005E-2</v>
      </c>
      <c r="F334">
        <f t="shared" si="19"/>
        <v>9.9E-8</v>
      </c>
    </row>
    <row r="335" spans="1:8" x14ac:dyDescent="0.2">
      <c r="D335">
        <v>4.5999999999999999E-2</v>
      </c>
      <c r="F335">
        <f t="shared" si="19"/>
        <v>4.6000000000000002E-8</v>
      </c>
    </row>
    <row r="336" spans="1:8" x14ac:dyDescent="0.2">
      <c r="D336">
        <v>3.5000000000000001E-3</v>
      </c>
      <c r="F336">
        <f t="shared" si="19"/>
        <v>3.4999999999999999E-9</v>
      </c>
    </row>
    <row r="337" spans="1:8" x14ac:dyDescent="0.2">
      <c r="D337">
        <v>4.0000000000000001E-3</v>
      </c>
      <c r="F337">
        <f t="shared" si="19"/>
        <v>4.0000000000000002E-9</v>
      </c>
    </row>
    <row r="338" spans="1:8" x14ac:dyDescent="0.2">
      <c r="D338">
        <v>4.7999999999999996E-3</v>
      </c>
      <c r="F338">
        <f t="shared" si="19"/>
        <v>4.8E-9</v>
      </c>
    </row>
    <row r="339" spans="1:8" x14ac:dyDescent="0.2">
      <c r="D339">
        <v>3.1E-2</v>
      </c>
      <c r="F339">
        <f t="shared" si="19"/>
        <v>3.1E-8</v>
      </c>
    </row>
    <row r="340" spans="1:8" x14ac:dyDescent="0.2">
      <c r="A340" t="s">
        <v>229</v>
      </c>
      <c r="B340">
        <v>2014</v>
      </c>
      <c r="C340" t="s">
        <v>43</v>
      </c>
      <c r="D340">
        <v>279</v>
      </c>
      <c r="E340" t="s">
        <v>180</v>
      </c>
      <c r="F340">
        <f t="shared" si="19"/>
        <v>2.7900000000000001E-4</v>
      </c>
      <c r="H340" t="s">
        <v>228</v>
      </c>
    </row>
    <row r="341" spans="1:8" x14ac:dyDescent="0.2">
      <c r="D341">
        <v>1710</v>
      </c>
      <c r="F341">
        <f t="shared" si="19"/>
        <v>1.7099999999999999E-3</v>
      </c>
    </row>
    <row r="342" spans="1:8" x14ac:dyDescent="0.2">
      <c r="D342">
        <v>7630</v>
      </c>
      <c r="F342">
        <f t="shared" si="19"/>
        <v>7.6299999999999996E-3</v>
      </c>
    </row>
    <row r="343" spans="1:8" x14ac:dyDescent="0.2">
      <c r="D343">
        <v>3210</v>
      </c>
      <c r="F343">
        <f t="shared" si="19"/>
        <v>3.2100000000000002E-3</v>
      </c>
    </row>
    <row r="344" spans="1:8" x14ac:dyDescent="0.2">
      <c r="D344">
        <v>8.51</v>
      </c>
      <c r="F344">
        <f t="shared" si="19"/>
        <v>8.5099999999999998E-6</v>
      </c>
    </row>
    <row r="345" spans="1:8" x14ac:dyDescent="0.2">
      <c r="D345">
        <v>9180</v>
      </c>
      <c r="F345">
        <f t="shared" si="19"/>
        <v>9.1800000000000007E-3</v>
      </c>
    </row>
    <row r="346" spans="1:8" x14ac:dyDescent="0.2">
      <c r="A346" t="s">
        <v>231</v>
      </c>
      <c r="B346">
        <v>2024</v>
      </c>
      <c r="C346" t="s">
        <v>43</v>
      </c>
      <c r="D346">
        <v>4.9800000000000004</v>
      </c>
      <c r="E346" t="s">
        <v>180</v>
      </c>
      <c r="F346">
        <f t="shared" si="19"/>
        <v>4.9800000000000006E-6</v>
      </c>
      <c r="H346" t="s">
        <v>230</v>
      </c>
    </row>
    <row r="347" spans="1:8" x14ac:dyDescent="0.2">
      <c r="D347">
        <v>3.17</v>
      </c>
      <c r="F347">
        <f t="shared" si="19"/>
        <v>3.1699999999999997E-6</v>
      </c>
    </row>
    <row r="348" spans="1:8" x14ac:dyDescent="0.2">
      <c r="D348">
        <v>1.49</v>
      </c>
      <c r="F348">
        <f t="shared" si="19"/>
        <v>1.4899999999999999E-6</v>
      </c>
    </row>
    <row r="349" spans="1:8" x14ac:dyDescent="0.2">
      <c r="D349">
        <v>1.35</v>
      </c>
      <c r="F349">
        <f t="shared" si="19"/>
        <v>1.35E-6</v>
      </c>
    </row>
    <row r="350" spans="1:8" x14ac:dyDescent="0.2">
      <c r="D350">
        <v>0.04</v>
      </c>
      <c r="F350">
        <f t="shared" si="19"/>
        <v>4.0000000000000001E-8</v>
      </c>
    </row>
    <row r="351" spans="1:8" x14ac:dyDescent="0.2">
      <c r="D351">
        <v>2E-3</v>
      </c>
      <c r="F351">
        <f t="shared" si="19"/>
        <v>2.0000000000000001E-9</v>
      </c>
    </row>
    <row r="352" spans="1:8" x14ac:dyDescent="0.2">
      <c r="D352">
        <v>62.5</v>
      </c>
      <c r="F352">
        <f t="shared" si="19"/>
        <v>6.2500000000000001E-5</v>
      </c>
    </row>
    <row r="353" spans="1:8" x14ac:dyDescent="0.2">
      <c r="D353">
        <v>0.28000000000000003</v>
      </c>
      <c r="F353">
        <f t="shared" si="19"/>
        <v>2.8000000000000002E-7</v>
      </c>
    </row>
    <row r="354" spans="1:8" x14ac:dyDescent="0.2">
      <c r="A354" t="s">
        <v>233</v>
      </c>
      <c r="B354">
        <v>2021</v>
      </c>
      <c r="C354" t="s">
        <v>43</v>
      </c>
      <c r="D354">
        <v>500</v>
      </c>
      <c r="E354" t="s">
        <v>180</v>
      </c>
      <c r="F354">
        <f t="shared" si="19"/>
        <v>5.0000000000000001E-4</v>
      </c>
      <c r="H354" t="s">
        <v>232</v>
      </c>
    </row>
    <row r="355" spans="1:8" x14ac:dyDescent="0.2">
      <c r="D355">
        <v>10200</v>
      </c>
      <c r="F355">
        <f t="shared" si="19"/>
        <v>1.0200000000000001E-2</v>
      </c>
    </row>
    <row r="356" spans="1:8" x14ac:dyDescent="0.2">
      <c r="D356">
        <v>0</v>
      </c>
      <c r="F356">
        <f t="shared" si="19"/>
        <v>0</v>
      </c>
    </row>
    <row r="357" spans="1:8" x14ac:dyDescent="0.2">
      <c r="D357">
        <v>0.81</v>
      </c>
      <c r="F357">
        <f t="shared" si="19"/>
        <v>8.1000000000000008E-7</v>
      </c>
    </row>
    <row r="358" spans="1:8" x14ac:dyDescent="0.2">
      <c r="D358">
        <v>20</v>
      </c>
      <c r="F358">
        <f t="shared" si="19"/>
        <v>2.0000000000000002E-5</v>
      </c>
    </row>
    <row r="359" spans="1:8" x14ac:dyDescent="0.2">
      <c r="D359">
        <v>120</v>
      </c>
      <c r="F359">
        <f t="shared" si="19"/>
        <v>1.2E-4</v>
      </c>
    </row>
    <row r="360" spans="1:8" x14ac:dyDescent="0.2">
      <c r="D360">
        <v>0.01</v>
      </c>
      <c r="F360">
        <f t="shared" si="19"/>
        <v>1E-8</v>
      </c>
    </row>
    <row r="361" spans="1:8" x14ac:dyDescent="0.2">
      <c r="D361">
        <v>1.5</v>
      </c>
      <c r="F361">
        <f t="shared" si="19"/>
        <v>1.5E-6</v>
      </c>
    </row>
    <row r="362" spans="1:8" x14ac:dyDescent="0.2">
      <c r="D362">
        <v>4.5999999999999996</v>
      </c>
      <c r="F362">
        <f t="shared" si="19"/>
        <v>4.6E-6</v>
      </c>
    </row>
    <row r="363" spans="1:8" x14ac:dyDescent="0.2">
      <c r="D363">
        <v>20.100000000000001</v>
      </c>
      <c r="F363">
        <f t="shared" si="19"/>
        <v>2.0100000000000001E-5</v>
      </c>
    </row>
    <row r="364" spans="1:8" x14ac:dyDescent="0.2">
      <c r="D364">
        <v>0</v>
      </c>
      <c r="F364">
        <f t="shared" si="19"/>
        <v>0</v>
      </c>
    </row>
    <row r="365" spans="1:8" x14ac:dyDescent="0.2">
      <c r="D365">
        <v>3</v>
      </c>
      <c r="F365">
        <f t="shared" si="19"/>
        <v>3.0000000000000001E-6</v>
      </c>
    </row>
    <row r="366" spans="1:8" x14ac:dyDescent="0.2">
      <c r="D366">
        <v>7.0000000000000007E-2</v>
      </c>
      <c r="F366">
        <f t="shared" si="19"/>
        <v>7.0000000000000005E-8</v>
      </c>
    </row>
    <row r="367" spans="1:8" x14ac:dyDescent="0.2">
      <c r="D367">
        <v>1.1399999999999999</v>
      </c>
      <c r="F367">
        <f t="shared" si="19"/>
        <v>1.1399999999999999E-6</v>
      </c>
    </row>
    <row r="368" spans="1:8" x14ac:dyDescent="0.2">
      <c r="D368">
        <v>0.17</v>
      </c>
      <c r="F368">
        <f t="shared" si="19"/>
        <v>1.7000000000000001E-7</v>
      </c>
    </row>
    <row r="369" spans="4:6" x14ac:dyDescent="0.2">
      <c r="D369">
        <v>0.62</v>
      </c>
      <c r="F369">
        <f t="shared" si="19"/>
        <v>6.1999999999999999E-7</v>
      </c>
    </row>
    <row r="370" spans="4:6" x14ac:dyDescent="0.2">
      <c r="D370">
        <v>0</v>
      </c>
      <c r="F370">
        <f t="shared" si="19"/>
        <v>0</v>
      </c>
    </row>
    <row r="371" spans="4:6" x14ac:dyDescent="0.2">
      <c r="D371">
        <v>29</v>
      </c>
      <c r="F371">
        <f t="shared" si="19"/>
        <v>2.9E-5</v>
      </c>
    </row>
    <row r="372" spans="4:6" x14ac:dyDescent="0.2">
      <c r="D372">
        <v>1.2</v>
      </c>
      <c r="F372">
        <f t="shared" si="19"/>
        <v>1.1999999999999999E-6</v>
      </c>
    </row>
    <row r="373" spans="4:6" x14ac:dyDescent="0.2">
      <c r="D373">
        <v>18.100000000000001</v>
      </c>
      <c r="F373">
        <f t="shared" si="19"/>
        <v>1.8100000000000003E-5</v>
      </c>
    </row>
    <row r="374" spans="4:6" x14ac:dyDescent="0.2">
      <c r="D374">
        <v>0</v>
      </c>
      <c r="F374">
        <f t="shared" si="19"/>
        <v>0</v>
      </c>
    </row>
    <row r="375" spans="4:6" x14ac:dyDescent="0.2">
      <c r="D375">
        <v>70.3</v>
      </c>
      <c r="F375">
        <f t="shared" si="19"/>
        <v>7.0300000000000001E-5</v>
      </c>
    </row>
    <row r="376" spans="4:6" x14ac:dyDescent="0.2">
      <c r="D376">
        <v>0.16</v>
      </c>
      <c r="F376">
        <f t="shared" si="19"/>
        <v>1.6E-7</v>
      </c>
    </row>
    <row r="377" spans="4:6" x14ac:dyDescent="0.2">
      <c r="D377">
        <v>0.27</v>
      </c>
      <c r="F377">
        <f t="shared" si="19"/>
        <v>2.7000000000000001E-7</v>
      </c>
    </row>
    <row r="378" spans="4:6" x14ac:dyDescent="0.2">
      <c r="D378">
        <v>0</v>
      </c>
      <c r="F378">
        <f t="shared" si="19"/>
        <v>0</v>
      </c>
    </row>
    <row r="379" spans="4:6" x14ac:dyDescent="0.2">
      <c r="D379">
        <v>5.73</v>
      </c>
      <c r="F379">
        <f t="shared" si="19"/>
        <v>5.7300000000000002E-6</v>
      </c>
    </row>
    <row r="380" spans="4:6" x14ac:dyDescent="0.2">
      <c r="D380">
        <v>257</v>
      </c>
      <c r="F380">
        <f t="shared" si="19"/>
        <v>2.5700000000000001E-4</v>
      </c>
    </row>
    <row r="381" spans="4:6" x14ac:dyDescent="0.2">
      <c r="D381">
        <v>1215</v>
      </c>
      <c r="F381">
        <f t="shared" si="19"/>
        <v>1.2149999999999999E-3</v>
      </c>
    </row>
    <row r="382" spans="4:6" x14ac:dyDescent="0.2">
      <c r="D382">
        <v>0.2</v>
      </c>
      <c r="E382" t="s">
        <v>190</v>
      </c>
      <c r="F382">
        <f>D382/1000</f>
        <v>2.0000000000000001E-4</v>
      </c>
    </row>
    <row r="383" spans="4:6" x14ac:dyDescent="0.2">
      <c r="D383">
        <v>5.0999999999999996</v>
      </c>
      <c r="F383">
        <f t="shared" ref="F383:F387" si="20">D383/1000</f>
        <v>5.0999999999999995E-3</v>
      </c>
    </row>
    <row r="384" spans="4:6" x14ac:dyDescent="0.2">
      <c r="D384">
        <v>0.38</v>
      </c>
      <c r="F384">
        <f t="shared" si="20"/>
        <v>3.8000000000000002E-4</v>
      </c>
    </row>
    <row r="385" spans="1:8" x14ac:dyDescent="0.2">
      <c r="D385">
        <v>0.61</v>
      </c>
      <c r="F385">
        <f t="shared" si="20"/>
        <v>6.0999999999999997E-4</v>
      </c>
    </row>
    <row r="386" spans="1:8" x14ac:dyDescent="0.2">
      <c r="D386">
        <v>0.13</v>
      </c>
      <c r="F386">
        <f t="shared" si="20"/>
        <v>1.3000000000000002E-4</v>
      </c>
    </row>
    <row r="387" spans="1:8" x14ac:dyDescent="0.2">
      <c r="D387">
        <v>0.69</v>
      </c>
      <c r="F387">
        <f t="shared" si="20"/>
        <v>6.8999999999999997E-4</v>
      </c>
    </row>
    <row r="388" spans="1:8" x14ac:dyDescent="0.2">
      <c r="A388" t="s">
        <v>235</v>
      </c>
      <c r="B388">
        <v>2015</v>
      </c>
      <c r="C388" t="s">
        <v>43</v>
      </c>
      <c r="D388">
        <v>13</v>
      </c>
      <c r="E388" t="s">
        <v>180</v>
      </c>
      <c r="F388">
        <f>D388/1000000</f>
        <v>1.2999999999999999E-5</v>
      </c>
      <c r="H388" t="s">
        <v>234</v>
      </c>
    </row>
    <row r="389" spans="1:8" x14ac:dyDescent="0.2">
      <c r="D389">
        <v>501</v>
      </c>
      <c r="F389">
        <f t="shared" ref="F389:F419" si="21">D389/1000000</f>
        <v>5.0100000000000003E-4</v>
      </c>
    </row>
    <row r="390" spans="1:8" x14ac:dyDescent="0.2">
      <c r="A390" t="s">
        <v>237</v>
      </c>
      <c r="B390">
        <v>2020</v>
      </c>
      <c r="C390" t="s">
        <v>43</v>
      </c>
      <c r="D390">
        <v>4137</v>
      </c>
      <c r="E390" t="s">
        <v>180</v>
      </c>
      <c r="F390">
        <f t="shared" si="21"/>
        <v>4.1370000000000001E-3</v>
      </c>
      <c r="H390" t="s">
        <v>236</v>
      </c>
    </row>
    <row r="391" spans="1:8" x14ac:dyDescent="0.2">
      <c r="D391">
        <v>956</v>
      </c>
      <c r="F391">
        <f t="shared" si="21"/>
        <v>9.5600000000000004E-4</v>
      </c>
    </row>
    <row r="392" spans="1:8" x14ac:dyDescent="0.2">
      <c r="D392">
        <v>680</v>
      </c>
      <c r="F392">
        <f t="shared" si="21"/>
        <v>6.8000000000000005E-4</v>
      </c>
    </row>
    <row r="393" spans="1:8" x14ac:dyDescent="0.2">
      <c r="D393">
        <v>1171</v>
      </c>
      <c r="F393">
        <f t="shared" si="21"/>
        <v>1.1709999999999999E-3</v>
      </c>
    </row>
    <row r="394" spans="1:8" x14ac:dyDescent="0.2">
      <c r="D394">
        <v>0.13</v>
      </c>
      <c r="F394">
        <f t="shared" si="21"/>
        <v>1.3E-7</v>
      </c>
    </row>
    <row r="395" spans="1:8" x14ac:dyDescent="0.2">
      <c r="D395">
        <v>0.33</v>
      </c>
      <c r="F395">
        <f t="shared" si="21"/>
        <v>3.3000000000000002E-7</v>
      </c>
    </row>
    <row r="396" spans="1:8" x14ac:dyDescent="0.2">
      <c r="D396">
        <v>4064</v>
      </c>
      <c r="F396">
        <f t="shared" si="21"/>
        <v>4.0639999999999999E-3</v>
      </c>
    </row>
    <row r="397" spans="1:8" x14ac:dyDescent="0.2">
      <c r="D397">
        <v>784</v>
      </c>
      <c r="F397">
        <f t="shared" si="21"/>
        <v>7.8399999999999997E-4</v>
      </c>
    </row>
    <row r="398" spans="1:8" x14ac:dyDescent="0.2">
      <c r="D398">
        <v>1548</v>
      </c>
      <c r="F398">
        <f t="shared" si="21"/>
        <v>1.5479999999999999E-3</v>
      </c>
    </row>
    <row r="399" spans="1:8" x14ac:dyDescent="0.2">
      <c r="D399">
        <v>1146</v>
      </c>
      <c r="F399">
        <f t="shared" si="21"/>
        <v>1.1460000000000001E-3</v>
      </c>
    </row>
    <row r="400" spans="1:8" x14ac:dyDescent="0.2">
      <c r="D400">
        <v>2362</v>
      </c>
      <c r="F400">
        <f t="shared" si="21"/>
        <v>2.362E-3</v>
      </c>
    </row>
    <row r="401" spans="1:8" x14ac:dyDescent="0.2">
      <c r="D401">
        <v>1000</v>
      </c>
      <c r="F401">
        <f t="shared" si="21"/>
        <v>1E-3</v>
      </c>
    </row>
    <row r="402" spans="1:8" x14ac:dyDescent="0.2">
      <c r="D402">
        <v>1764</v>
      </c>
      <c r="F402">
        <f t="shared" si="21"/>
        <v>1.7639999999999999E-3</v>
      </c>
    </row>
    <row r="403" spans="1:8" x14ac:dyDescent="0.2">
      <c r="D403">
        <v>1688</v>
      </c>
      <c r="F403">
        <f t="shared" si="21"/>
        <v>1.688E-3</v>
      </c>
    </row>
    <row r="404" spans="1:8" x14ac:dyDescent="0.2">
      <c r="D404">
        <v>3.7</v>
      </c>
      <c r="F404">
        <f t="shared" si="21"/>
        <v>3.7000000000000002E-6</v>
      </c>
    </row>
    <row r="405" spans="1:8" x14ac:dyDescent="0.2">
      <c r="A405" t="s">
        <v>239</v>
      </c>
      <c r="B405">
        <v>2018</v>
      </c>
      <c r="C405" t="s">
        <v>43</v>
      </c>
      <c r="D405">
        <v>0.17</v>
      </c>
      <c r="E405" t="s">
        <v>180</v>
      </c>
      <c r="F405">
        <f t="shared" si="21"/>
        <v>1.7000000000000001E-7</v>
      </c>
      <c r="H405" t="s">
        <v>238</v>
      </c>
    </row>
    <row r="406" spans="1:8" x14ac:dyDescent="0.2">
      <c r="D406">
        <v>8654</v>
      </c>
      <c r="F406">
        <f t="shared" si="21"/>
        <v>8.6540000000000002E-3</v>
      </c>
    </row>
    <row r="407" spans="1:8" x14ac:dyDescent="0.2">
      <c r="D407">
        <v>1841</v>
      </c>
      <c r="F407">
        <f t="shared" si="21"/>
        <v>1.841E-3</v>
      </c>
    </row>
    <row r="408" spans="1:8" x14ac:dyDescent="0.2">
      <c r="D408">
        <v>1.2E-2</v>
      </c>
      <c r="F408">
        <f t="shared" si="21"/>
        <v>1.2E-8</v>
      </c>
    </row>
    <row r="409" spans="1:8" x14ac:dyDescent="0.2">
      <c r="D409">
        <v>969</v>
      </c>
      <c r="F409">
        <f t="shared" si="21"/>
        <v>9.6900000000000003E-4</v>
      </c>
    </row>
    <row r="410" spans="1:8" x14ac:dyDescent="0.2">
      <c r="D410">
        <v>1.1499999999999999</v>
      </c>
      <c r="F410">
        <f t="shared" si="21"/>
        <v>1.15E-6</v>
      </c>
    </row>
    <row r="411" spans="1:8" x14ac:dyDescent="0.2">
      <c r="D411">
        <v>2.7999999999999998E-4</v>
      </c>
      <c r="F411">
        <f t="shared" si="21"/>
        <v>2.7999999999999996E-10</v>
      </c>
    </row>
    <row r="412" spans="1:8" x14ac:dyDescent="0.2">
      <c r="D412">
        <v>7.68</v>
      </c>
      <c r="F412">
        <f t="shared" si="21"/>
        <v>7.6799999999999993E-6</v>
      </c>
    </row>
    <row r="413" spans="1:8" x14ac:dyDescent="0.2">
      <c r="D413">
        <v>3.1E-2</v>
      </c>
      <c r="F413">
        <f t="shared" si="21"/>
        <v>3.1E-8</v>
      </c>
    </row>
    <row r="414" spans="1:8" x14ac:dyDescent="0.2">
      <c r="D414">
        <v>2.0000000000000001E-4</v>
      </c>
      <c r="F414">
        <f t="shared" si="21"/>
        <v>2.0000000000000001E-10</v>
      </c>
    </row>
    <row r="415" spans="1:8" x14ac:dyDescent="0.2">
      <c r="D415">
        <v>1.69</v>
      </c>
      <c r="F415">
        <f t="shared" si="21"/>
        <v>1.6899999999999999E-6</v>
      </c>
    </row>
    <row r="416" spans="1:8" x14ac:dyDescent="0.2">
      <c r="D416">
        <v>1.4999999999999999E-2</v>
      </c>
      <c r="F416">
        <f t="shared" si="21"/>
        <v>1.4999999999999999E-8</v>
      </c>
    </row>
    <row r="417" spans="1:8" x14ac:dyDescent="0.2">
      <c r="D417">
        <f>0.0000048</f>
        <v>4.7999999999999998E-6</v>
      </c>
      <c r="F417">
        <f t="shared" si="21"/>
        <v>4.7999999999999997E-12</v>
      </c>
    </row>
    <row r="418" spans="1:8" x14ac:dyDescent="0.2">
      <c r="D418">
        <v>3.4099999999999999E-4</v>
      </c>
      <c r="F418">
        <f t="shared" si="21"/>
        <v>3.4100000000000001E-10</v>
      </c>
    </row>
    <row r="419" spans="1:8" x14ac:dyDescent="0.2">
      <c r="D419">
        <v>1.8000000000000001E-4</v>
      </c>
      <c r="F419">
        <f t="shared" si="21"/>
        <v>1.8E-10</v>
      </c>
    </row>
    <row r="420" spans="1:8" x14ac:dyDescent="0.2">
      <c r="A420" t="s">
        <v>241</v>
      </c>
      <c r="B420">
        <v>2023</v>
      </c>
      <c r="C420" t="s">
        <v>44</v>
      </c>
      <c r="D420">
        <v>2.25</v>
      </c>
      <c r="E420" t="s">
        <v>180</v>
      </c>
      <c r="F420">
        <f>D420/1.225/1000</f>
        <v>1.8367346938775509E-3</v>
      </c>
      <c r="H420" t="s">
        <v>240</v>
      </c>
    </row>
    <row r="421" spans="1:8" x14ac:dyDescent="0.2">
      <c r="D421">
        <v>1.2</v>
      </c>
      <c r="F421">
        <f t="shared" ref="F421:F449" si="22">D421/1.225/1000</f>
        <v>9.7959183673469383E-4</v>
      </c>
    </row>
    <row r="422" spans="1:8" x14ac:dyDescent="0.2">
      <c r="D422">
        <v>1.03</v>
      </c>
      <c r="F422">
        <f t="shared" si="22"/>
        <v>8.4081632653061221E-4</v>
      </c>
    </row>
    <row r="423" spans="1:8" x14ac:dyDescent="0.2">
      <c r="D423">
        <v>0.2</v>
      </c>
      <c r="F423">
        <f t="shared" si="22"/>
        <v>1.6326530612244895E-4</v>
      </c>
    </row>
    <row r="424" spans="1:8" x14ac:dyDescent="0.2">
      <c r="D424">
        <v>0.13</v>
      </c>
      <c r="F424">
        <f t="shared" si="22"/>
        <v>1.0612244897959184E-4</v>
      </c>
    </row>
    <row r="425" spans="1:8" x14ac:dyDescent="0.2">
      <c r="D425">
        <v>1583</v>
      </c>
      <c r="F425">
        <f t="shared" si="22"/>
        <v>1.2922448979591836</v>
      </c>
    </row>
    <row r="426" spans="1:8" x14ac:dyDescent="0.2">
      <c r="D426">
        <v>0.87</v>
      </c>
      <c r="F426">
        <f t="shared" si="22"/>
        <v>7.1020408163265298E-4</v>
      </c>
    </row>
    <row r="427" spans="1:8" x14ac:dyDescent="0.2">
      <c r="D427">
        <v>0.7</v>
      </c>
      <c r="F427">
        <f t="shared" si="22"/>
        <v>5.7142857142857136E-4</v>
      </c>
    </row>
    <row r="428" spans="1:8" x14ac:dyDescent="0.2">
      <c r="D428">
        <v>0.47</v>
      </c>
      <c r="F428">
        <f t="shared" si="22"/>
        <v>3.8367346938775502E-4</v>
      </c>
    </row>
    <row r="429" spans="1:8" x14ac:dyDescent="0.2">
      <c r="D429">
        <v>0.17</v>
      </c>
      <c r="F429">
        <f t="shared" si="22"/>
        <v>1.3877551020408162E-4</v>
      </c>
    </row>
    <row r="430" spans="1:8" x14ac:dyDescent="0.2">
      <c r="D430">
        <v>0.68</v>
      </c>
      <c r="F430">
        <f t="shared" si="22"/>
        <v>5.5510204081632647E-4</v>
      </c>
    </row>
    <row r="431" spans="1:8" x14ac:dyDescent="0.2">
      <c r="A431" t="s">
        <v>243</v>
      </c>
      <c r="B431">
        <v>2015</v>
      </c>
      <c r="C431" t="s">
        <v>44</v>
      </c>
      <c r="D431">
        <v>3</v>
      </c>
      <c r="E431" t="s">
        <v>180</v>
      </c>
      <c r="F431">
        <f t="shared" si="22"/>
        <v>2.4489795918367341E-3</v>
      </c>
      <c r="H431" t="s">
        <v>242</v>
      </c>
    </row>
    <row r="432" spans="1:8" x14ac:dyDescent="0.2">
      <c r="D432">
        <v>15</v>
      </c>
      <c r="F432">
        <f t="shared" si="22"/>
        <v>1.2244897959183673E-2</v>
      </c>
    </row>
    <row r="433" spans="1:8" x14ac:dyDescent="0.2">
      <c r="D433">
        <v>0.2</v>
      </c>
      <c r="F433">
        <f t="shared" si="22"/>
        <v>1.6326530612244895E-4</v>
      </c>
    </row>
    <row r="434" spans="1:8" x14ac:dyDescent="0.2">
      <c r="D434">
        <v>0.8</v>
      </c>
      <c r="F434">
        <f t="shared" si="22"/>
        <v>6.5306122448979581E-4</v>
      </c>
    </row>
    <row r="435" spans="1:8" x14ac:dyDescent="0.2">
      <c r="A435" t="s">
        <v>245</v>
      </c>
      <c r="B435">
        <v>2019</v>
      </c>
      <c r="C435" t="s">
        <v>44</v>
      </c>
      <c r="D435">
        <v>1</v>
      </c>
      <c r="E435" t="s">
        <v>180</v>
      </c>
      <c r="F435">
        <f t="shared" si="22"/>
        <v>8.1632653061224482E-4</v>
      </c>
      <c r="H435" t="s">
        <v>244</v>
      </c>
    </row>
    <row r="436" spans="1:8" x14ac:dyDescent="0.2">
      <c r="D436">
        <v>60</v>
      </c>
      <c r="F436">
        <f t="shared" si="22"/>
        <v>4.8979591836734691E-2</v>
      </c>
    </row>
    <row r="437" spans="1:8" x14ac:dyDescent="0.2">
      <c r="D437">
        <v>0.3</v>
      </c>
      <c r="F437">
        <f t="shared" si="22"/>
        <v>2.4489795918367346E-4</v>
      </c>
    </row>
    <row r="438" spans="1:8" x14ac:dyDescent="0.2">
      <c r="D438">
        <v>1.5</v>
      </c>
      <c r="F438">
        <f t="shared" si="22"/>
        <v>1.2244897959183671E-3</v>
      </c>
    </row>
    <row r="439" spans="1:8" x14ac:dyDescent="0.2">
      <c r="D439">
        <v>5</v>
      </c>
      <c r="F439">
        <f t="shared" si="22"/>
        <v>4.0816326530612249E-3</v>
      </c>
    </row>
    <row r="440" spans="1:8" x14ac:dyDescent="0.2">
      <c r="D440">
        <v>10</v>
      </c>
      <c r="F440">
        <f t="shared" si="22"/>
        <v>8.1632653061224497E-3</v>
      </c>
    </row>
    <row r="441" spans="1:8" x14ac:dyDescent="0.2">
      <c r="D441">
        <v>1</v>
      </c>
      <c r="F441">
        <f t="shared" si="22"/>
        <v>8.1632653061224482E-4</v>
      </c>
    </row>
    <row r="442" spans="1:8" x14ac:dyDescent="0.2">
      <c r="D442">
        <v>72</v>
      </c>
      <c r="F442">
        <f t="shared" si="22"/>
        <v>5.877551020408163E-2</v>
      </c>
    </row>
    <row r="443" spans="1:8" x14ac:dyDescent="0.2">
      <c r="D443">
        <v>0</v>
      </c>
      <c r="F443">
        <f t="shared" si="22"/>
        <v>0</v>
      </c>
    </row>
    <row r="444" spans="1:8" x14ac:dyDescent="0.2">
      <c r="D444">
        <v>4.18</v>
      </c>
      <c r="F444">
        <f t="shared" si="22"/>
        <v>3.4122448979591832E-3</v>
      </c>
    </row>
    <row r="445" spans="1:8" x14ac:dyDescent="0.2">
      <c r="D445">
        <v>9.3000000000000007</v>
      </c>
      <c r="F445">
        <f t="shared" si="22"/>
        <v>7.591836734693878E-3</v>
      </c>
    </row>
    <row r="446" spans="1:8" x14ac:dyDescent="0.2">
      <c r="D446">
        <v>0</v>
      </c>
      <c r="F446">
        <f t="shared" si="22"/>
        <v>0</v>
      </c>
    </row>
    <row r="447" spans="1:8" x14ac:dyDescent="0.2">
      <c r="D447">
        <v>1.37</v>
      </c>
      <c r="F447">
        <f t="shared" si="22"/>
        <v>1.1183673469387756E-3</v>
      </c>
    </row>
    <row r="448" spans="1:8" x14ac:dyDescent="0.2">
      <c r="D448">
        <v>0</v>
      </c>
      <c r="F448">
        <f t="shared" si="22"/>
        <v>0</v>
      </c>
    </row>
    <row r="449" spans="1:8" x14ac:dyDescent="0.2">
      <c r="D449">
        <v>2</v>
      </c>
      <c r="F449">
        <f t="shared" si="22"/>
        <v>1.6326530612244896E-3</v>
      </c>
    </row>
    <row r="450" spans="1:8" x14ac:dyDescent="0.2">
      <c r="D450">
        <v>259</v>
      </c>
      <c r="E450" t="s">
        <v>190</v>
      </c>
      <c r="F450">
        <f>D450*1000/1.225/1000</f>
        <v>211.42857142857142</v>
      </c>
    </row>
    <row r="451" spans="1:8" x14ac:dyDescent="0.2">
      <c r="D451">
        <v>12895</v>
      </c>
      <c r="F451">
        <f>D451*1000/1.225/1000</f>
        <v>10526.530612244896</v>
      </c>
    </row>
    <row r="452" spans="1:8" x14ac:dyDescent="0.2">
      <c r="D452">
        <v>5</v>
      </c>
      <c r="E452" t="s">
        <v>246</v>
      </c>
      <c r="F452">
        <f>D452*5000/1.225/1000</f>
        <v>20.408163265306122</v>
      </c>
    </row>
    <row r="453" spans="1:8" x14ac:dyDescent="0.2">
      <c r="D453">
        <v>164</v>
      </c>
      <c r="F453">
        <f>D453*5000/1.225/1000</f>
        <v>669.38775510204073</v>
      </c>
    </row>
    <row r="454" spans="1:8" x14ac:dyDescent="0.2">
      <c r="A454" t="s">
        <v>248</v>
      </c>
      <c r="B454">
        <v>2022</v>
      </c>
      <c r="C454" t="s">
        <v>44</v>
      </c>
      <c r="D454">
        <v>1583</v>
      </c>
      <c r="E454" t="s">
        <v>180</v>
      </c>
      <c r="F454">
        <f>D454/1.225/1000</f>
        <v>1.2922448979591836</v>
      </c>
      <c r="H454" t="s">
        <v>247</v>
      </c>
    </row>
    <row r="455" spans="1:8" x14ac:dyDescent="0.2">
      <c r="D455">
        <v>282</v>
      </c>
      <c r="F455">
        <f t="shared" ref="F455:F518" si="23">D455/1.225/1000</f>
        <v>0.23020408163265305</v>
      </c>
    </row>
    <row r="456" spans="1:8" x14ac:dyDescent="0.2">
      <c r="D456">
        <v>189</v>
      </c>
      <c r="F456">
        <f t="shared" si="23"/>
        <v>0.15428571428571428</v>
      </c>
    </row>
    <row r="457" spans="1:8" x14ac:dyDescent="0.2">
      <c r="D457">
        <v>115</v>
      </c>
      <c r="F457">
        <f t="shared" si="23"/>
        <v>9.3877551020408165E-2</v>
      </c>
    </row>
    <row r="458" spans="1:8" x14ac:dyDescent="0.2">
      <c r="D458">
        <v>36</v>
      </c>
      <c r="F458">
        <f t="shared" si="23"/>
        <v>2.9387755102040815E-2</v>
      </c>
    </row>
    <row r="459" spans="1:8" x14ac:dyDescent="0.2">
      <c r="D459">
        <v>16</v>
      </c>
      <c r="F459">
        <f t="shared" si="23"/>
        <v>1.3061224489795917E-2</v>
      </c>
    </row>
    <row r="460" spans="1:8" x14ac:dyDescent="0.2">
      <c r="D460">
        <v>12</v>
      </c>
      <c r="F460">
        <f t="shared" si="23"/>
        <v>9.7959183673469365E-3</v>
      </c>
    </row>
    <row r="461" spans="1:8" x14ac:dyDescent="0.2">
      <c r="D461">
        <v>12</v>
      </c>
      <c r="F461">
        <f t="shared" si="23"/>
        <v>9.7959183673469365E-3</v>
      </c>
    </row>
    <row r="462" spans="1:8" x14ac:dyDescent="0.2">
      <c r="D462">
        <v>10</v>
      </c>
      <c r="F462">
        <f t="shared" si="23"/>
        <v>8.1632653061224497E-3</v>
      </c>
    </row>
    <row r="463" spans="1:8" x14ac:dyDescent="0.2">
      <c r="D463">
        <v>9</v>
      </c>
      <c r="F463">
        <f t="shared" si="23"/>
        <v>7.3469387755102037E-3</v>
      </c>
    </row>
    <row r="464" spans="1:8" x14ac:dyDescent="0.2">
      <c r="D464">
        <v>6</v>
      </c>
      <c r="F464">
        <f t="shared" si="23"/>
        <v>4.8979591836734683E-3</v>
      </c>
    </row>
    <row r="465" spans="1:8" x14ac:dyDescent="0.2">
      <c r="D465">
        <v>6</v>
      </c>
      <c r="F465">
        <f t="shared" si="23"/>
        <v>4.8979591836734683E-3</v>
      </c>
    </row>
    <row r="466" spans="1:8" x14ac:dyDescent="0.2">
      <c r="D466">
        <v>5</v>
      </c>
      <c r="F466">
        <f t="shared" si="23"/>
        <v>4.0816326530612249E-3</v>
      </c>
    </row>
    <row r="467" spans="1:8" x14ac:dyDescent="0.2">
      <c r="D467">
        <v>5</v>
      </c>
      <c r="F467">
        <f t="shared" si="23"/>
        <v>4.0816326530612249E-3</v>
      </c>
    </row>
    <row r="468" spans="1:8" x14ac:dyDescent="0.2">
      <c r="D468">
        <v>1</v>
      </c>
      <c r="F468">
        <f t="shared" si="23"/>
        <v>8.1632653061224482E-4</v>
      </c>
    </row>
    <row r="469" spans="1:8" x14ac:dyDescent="0.2">
      <c r="D469">
        <v>1</v>
      </c>
      <c r="F469">
        <f t="shared" si="23"/>
        <v>8.1632653061224482E-4</v>
      </c>
    </row>
    <row r="470" spans="1:8" x14ac:dyDescent="0.2">
      <c r="D470">
        <v>1</v>
      </c>
      <c r="F470">
        <f t="shared" si="23"/>
        <v>8.1632653061224482E-4</v>
      </c>
    </row>
    <row r="471" spans="1:8" x14ac:dyDescent="0.2">
      <c r="D471">
        <v>0</v>
      </c>
      <c r="F471">
        <f t="shared" si="23"/>
        <v>0</v>
      </c>
    </row>
    <row r="472" spans="1:8" x14ac:dyDescent="0.2">
      <c r="A472" t="s">
        <v>250</v>
      </c>
      <c r="B472">
        <v>2021</v>
      </c>
      <c r="C472" t="s">
        <v>44</v>
      </c>
      <c r="D472">
        <v>1</v>
      </c>
      <c r="E472" t="s">
        <v>180</v>
      </c>
      <c r="F472">
        <f t="shared" si="23"/>
        <v>8.1632653061224482E-4</v>
      </c>
      <c r="H472" t="s">
        <v>249</v>
      </c>
    </row>
    <row r="473" spans="1:8" x14ac:dyDescent="0.2">
      <c r="D473">
        <v>60</v>
      </c>
      <c r="F473">
        <f t="shared" si="23"/>
        <v>4.8979591836734691E-2</v>
      </c>
    </row>
    <row r="474" spans="1:8" x14ac:dyDescent="0.2">
      <c r="D474">
        <v>0.3</v>
      </c>
      <c r="F474">
        <f t="shared" si="23"/>
        <v>2.4489795918367346E-4</v>
      </c>
    </row>
    <row r="475" spans="1:8" x14ac:dyDescent="0.2">
      <c r="D475">
        <v>1.5</v>
      </c>
      <c r="F475">
        <f t="shared" si="23"/>
        <v>1.2244897959183671E-3</v>
      </c>
    </row>
    <row r="476" spans="1:8" x14ac:dyDescent="0.2">
      <c r="D476">
        <v>9.3000000000000007</v>
      </c>
      <c r="F476">
        <f t="shared" si="23"/>
        <v>7.591836734693878E-3</v>
      </c>
    </row>
    <row r="477" spans="1:8" x14ac:dyDescent="0.2">
      <c r="D477">
        <v>0</v>
      </c>
      <c r="F477">
        <f t="shared" si="23"/>
        <v>0</v>
      </c>
    </row>
    <row r="478" spans="1:8" x14ac:dyDescent="0.2">
      <c r="D478">
        <v>1.37</v>
      </c>
      <c r="F478">
        <f t="shared" si="23"/>
        <v>1.1183673469387756E-3</v>
      </c>
    </row>
    <row r="479" spans="1:8" x14ac:dyDescent="0.2">
      <c r="D479">
        <v>1.42</v>
      </c>
      <c r="F479">
        <f t="shared" si="23"/>
        <v>1.1591836734693877E-3</v>
      </c>
    </row>
    <row r="480" spans="1:8" x14ac:dyDescent="0.2">
      <c r="D480">
        <v>55.93</v>
      </c>
      <c r="F480">
        <f t="shared" si="23"/>
        <v>4.5657142857142854E-2</v>
      </c>
    </row>
    <row r="481" spans="1:8" x14ac:dyDescent="0.2">
      <c r="D481">
        <v>174.97</v>
      </c>
      <c r="F481">
        <f t="shared" si="23"/>
        <v>0.14283265306122447</v>
      </c>
    </row>
    <row r="482" spans="1:8" x14ac:dyDescent="0.2">
      <c r="D482">
        <v>4500</v>
      </c>
      <c r="F482">
        <f t="shared" si="23"/>
        <v>3.6734693877551017</v>
      </c>
    </row>
    <row r="483" spans="1:8" x14ac:dyDescent="0.2">
      <c r="D483">
        <v>7200</v>
      </c>
      <c r="F483">
        <f t="shared" si="23"/>
        <v>5.8775510204081627</v>
      </c>
    </row>
    <row r="484" spans="1:8" x14ac:dyDescent="0.2">
      <c r="D484">
        <v>1583.3</v>
      </c>
      <c r="F484">
        <f t="shared" si="23"/>
        <v>1.2924897959183672</v>
      </c>
    </row>
    <row r="485" spans="1:8" x14ac:dyDescent="0.2">
      <c r="D485">
        <v>188.7</v>
      </c>
      <c r="F485">
        <f t="shared" si="23"/>
        <v>0.15404081632653061</v>
      </c>
    </row>
    <row r="486" spans="1:8" x14ac:dyDescent="0.2">
      <c r="A486" t="s">
        <v>252</v>
      </c>
      <c r="B486">
        <v>2020</v>
      </c>
      <c r="C486" t="s">
        <v>44</v>
      </c>
      <c r="D486">
        <v>5.4</v>
      </c>
      <c r="E486" t="s">
        <v>180</v>
      </c>
      <c r="F486">
        <f t="shared" si="23"/>
        <v>4.4081632653061222E-3</v>
      </c>
      <c r="H486" t="s">
        <v>251</v>
      </c>
    </row>
    <row r="487" spans="1:8" x14ac:dyDescent="0.2">
      <c r="D487">
        <v>0.9</v>
      </c>
      <c r="F487">
        <f t="shared" si="23"/>
        <v>7.3469387755102037E-4</v>
      </c>
    </row>
    <row r="488" spans="1:8" x14ac:dyDescent="0.2">
      <c r="D488">
        <v>1.42</v>
      </c>
      <c r="F488">
        <f t="shared" si="23"/>
        <v>1.1591836734693877E-3</v>
      </c>
    </row>
    <row r="489" spans="1:8" x14ac:dyDescent="0.2">
      <c r="D489">
        <v>1</v>
      </c>
      <c r="F489">
        <f t="shared" si="23"/>
        <v>8.1632653061224482E-4</v>
      </c>
    </row>
    <row r="490" spans="1:8" x14ac:dyDescent="0.2">
      <c r="A490" t="s">
        <v>254</v>
      </c>
      <c r="B490">
        <v>2024</v>
      </c>
      <c r="C490" t="s">
        <v>44</v>
      </c>
      <c r="D490">
        <v>0.13</v>
      </c>
      <c r="E490" t="s">
        <v>180</v>
      </c>
      <c r="F490">
        <f t="shared" si="23"/>
        <v>1.0612244897959184E-4</v>
      </c>
      <c r="H490" t="s">
        <v>253</v>
      </c>
    </row>
    <row r="491" spans="1:8" x14ac:dyDescent="0.2">
      <c r="D491">
        <v>0.93</v>
      </c>
      <c r="F491">
        <f t="shared" si="23"/>
        <v>7.5918367346938776E-4</v>
      </c>
    </row>
    <row r="492" spans="1:8" x14ac:dyDescent="0.2">
      <c r="D492">
        <v>0</v>
      </c>
      <c r="F492">
        <f t="shared" si="23"/>
        <v>0</v>
      </c>
    </row>
    <row r="493" spans="1:8" x14ac:dyDescent="0.2">
      <c r="D493">
        <v>0.23</v>
      </c>
      <c r="F493">
        <f t="shared" si="23"/>
        <v>1.8775510204081634E-4</v>
      </c>
    </row>
    <row r="494" spans="1:8" x14ac:dyDescent="0.2">
      <c r="D494">
        <v>0</v>
      </c>
      <c r="F494">
        <f t="shared" si="23"/>
        <v>0</v>
      </c>
    </row>
    <row r="495" spans="1:8" x14ac:dyDescent="0.2">
      <c r="D495">
        <v>1.7000000000000001E-2</v>
      </c>
      <c r="F495">
        <f t="shared" si="23"/>
        <v>1.3877551020408163E-5</v>
      </c>
    </row>
    <row r="496" spans="1:8" x14ac:dyDescent="0.2">
      <c r="D496">
        <v>4.5999999999999999E-3</v>
      </c>
      <c r="F496">
        <f t="shared" si="23"/>
        <v>3.7551020408163264E-6</v>
      </c>
    </row>
    <row r="497" spans="1:8" x14ac:dyDescent="0.2">
      <c r="D497">
        <v>6.4000000000000001E-2</v>
      </c>
      <c r="F497">
        <f t="shared" si="23"/>
        <v>5.2244897959183671E-5</v>
      </c>
    </row>
    <row r="498" spans="1:8" x14ac:dyDescent="0.2">
      <c r="D498">
        <v>0.93</v>
      </c>
      <c r="F498">
        <f t="shared" si="23"/>
        <v>7.5918367346938776E-4</v>
      </c>
    </row>
    <row r="499" spans="1:8" x14ac:dyDescent="0.2">
      <c r="D499">
        <v>1.42</v>
      </c>
      <c r="F499">
        <f t="shared" si="23"/>
        <v>1.1591836734693877E-3</v>
      </c>
    </row>
    <row r="500" spans="1:8" x14ac:dyDescent="0.2">
      <c r="D500">
        <v>333.42</v>
      </c>
      <c r="F500">
        <f t="shared" si="23"/>
        <v>0.27217959183673468</v>
      </c>
    </row>
    <row r="501" spans="1:8" x14ac:dyDescent="0.2">
      <c r="D501">
        <v>358</v>
      </c>
      <c r="F501">
        <f t="shared" si="23"/>
        <v>0.29224489795918368</v>
      </c>
    </row>
    <row r="502" spans="1:8" x14ac:dyDescent="0.2">
      <c r="D502">
        <v>230</v>
      </c>
      <c r="F502">
        <f t="shared" si="23"/>
        <v>0.18775510204081633</v>
      </c>
    </row>
    <row r="503" spans="1:8" x14ac:dyDescent="0.2">
      <c r="D503">
        <v>1.96</v>
      </c>
      <c r="F503">
        <f t="shared" si="23"/>
        <v>1.5999999999999999E-3</v>
      </c>
    </row>
    <row r="504" spans="1:8" x14ac:dyDescent="0.2">
      <c r="D504">
        <v>189</v>
      </c>
      <c r="F504">
        <f t="shared" si="23"/>
        <v>0.15428571428571428</v>
      </c>
    </row>
    <row r="505" spans="1:8" x14ac:dyDescent="0.2">
      <c r="A505" t="s">
        <v>256</v>
      </c>
      <c r="B505">
        <v>2021</v>
      </c>
      <c r="C505" t="s">
        <v>44</v>
      </c>
      <c r="D505">
        <v>0</v>
      </c>
      <c r="E505" t="s">
        <v>180</v>
      </c>
      <c r="F505">
        <f t="shared" si="23"/>
        <v>0</v>
      </c>
      <c r="H505" t="s">
        <v>255</v>
      </c>
    </row>
    <row r="506" spans="1:8" x14ac:dyDescent="0.2">
      <c r="D506">
        <v>4.18</v>
      </c>
      <c r="F506">
        <f t="shared" si="23"/>
        <v>3.4122448979591832E-3</v>
      </c>
    </row>
    <row r="507" spans="1:8" x14ac:dyDescent="0.2">
      <c r="D507">
        <v>0.3</v>
      </c>
      <c r="F507">
        <f t="shared" si="23"/>
        <v>2.4489795918367346E-4</v>
      </c>
    </row>
    <row r="508" spans="1:8" x14ac:dyDescent="0.2">
      <c r="D508">
        <v>1.1000000000000001</v>
      </c>
      <c r="F508">
        <f t="shared" si="23"/>
        <v>8.9795918367346938E-4</v>
      </c>
    </row>
    <row r="509" spans="1:8" x14ac:dyDescent="0.2">
      <c r="D509">
        <v>0.6</v>
      </c>
      <c r="F509">
        <f t="shared" si="23"/>
        <v>4.8979591836734691E-4</v>
      </c>
    </row>
    <row r="510" spans="1:8" x14ac:dyDescent="0.2">
      <c r="D510">
        <v>5.6</v>
      </c>
      <c r="F510">
        <f t="shared" si="23"/>
        <v>4.5714285714285709E-3</v>
      </c>
    </row>
    <row r="511" spans="1:8" x14ac:dyDescent="0.2">
      <c r="D511">
        <v>3.3</v>
      </c>
      <c r="F511">
        <f t="shared" si="23"/>
        <v>2.6938775510204076E-3</v>
      </c>
    </row>
    <row r="512" spans="1:8" x14ac:dyDescent="0.2">
      <c r="D512">
        <v>12.6</v>
      </c>
      <c r="F512">
        <f t="shared" si="23"/>
        <v>1.0285714285714285E-2</v>
      </c>
    </row>
    <row r="513" spans="1:8" x14ac:dyDescent="0.2">
      <c r="D513">
        <v>5</v>
      </c>
      <c r="F513">
        <f t="shared" si="23"/>
        <v>4.0816326530612249E-3</v>
      </c>
    </row>
    <row r="514" spans="1:8" x14ac:dyDescent="0.2">
      <c r="D514">
        <v>189</v>
      </c>
      <c r="F514">
        <f t="shared" si="23"/>
        <v>0.15428571428571428</v>
      </c>
    </row>
    <row r="515" spans="1:8" x14ac:dyDescent="0.2">
      <c r="D515">
        <v>1583</v>
      </c>
      <c r="F515">
        <f t="shared" si="23"/>
        <v>1.2922448979591836</v>
      </c>
    </row>
    <row r="516" spans="1:8" x14ac:dyDescent="0.2">
      <c r="A516" t="s">
        <v>258</v>
      </c>
      <c r="B516">
        <v>2023</v>
      </c>
      <c r="C516" t="s">
        <v>44</v>
      </c>
      <c r="D516">
        <v>0.15</v>
      </c>
      <c r="E516" t="s">
        <v>180</v>
      </c>
      <c r="F516">
        <f t="shared" si="23"/>
        <v>1.2244897959183673E-4</v>
      </c>
      <c r="H516" t="s">
        <v>257</v>
      </c>
    </row>
    <row r="517" spans="1:8" x14ac:dyDescent="0.2">
      <c r="D517">
        <v>0.25</v>
      </c>
      <c r="F517">
        <f t="shared" si="23"/>
        <v>2.040816326530612E-4</v>
      </c>
    </row>
    <row r="518" spans="1:8" x14ac:dyDescent="0.2">
      <c r="D518">
        <v>0.09</v>
      </c>
      <c r="F518">
        <f t="shared" si="23"/>
        <v>7.3469387755102032E-5</v>
      </c>
    </row>
    <row r="519" spans="1:8" x14ac:dyDescent="0.2">
      <c r="D519">
        <v>0.66</v>
      </c>
      <c r="F519">
        <f t="shared" ref="F519:F582" si="24">D519/1.225/1000</f>
        <v>5.3877551020408169E-4</v>
      </c>
    </row>
    <row r="520" spans="1:8" x14ac:dyDescent="0.2">
      <c r="D520">
        <v>4.5999999999999999E-3</v>
      </c>
      <c r="F520">
        <f t="shared" si="24"/>
        <v>3.7551020408163264E-6</v>
      </c>
    </row>
    <row r="521" spans="1:8" x14ac:dyDescent="0.2">
      <c r="D521">
        <v>6.4000000000000001E-2</v>
      </c>
      <c r="F521">
        <f t="shared" si="24"/>
        <v>5.2244897959183671E-5</v>
      </c>
    </row>
    <row r="522" spans="1:8" x14ac:dyDescent="0.2">
      <c r="D522">
        <v>0</v>
      </c>
      <c r="F522">
        <f t="shared" si="24"/>
        <v>0</v>
      </c>
    </row>
    <row r="523" spans="1:8" x14ac:dyDescent="0.2">
      <c r="D523">
        <v>1.2999999999999999E-2</v>
      </c>
      <c r="F523">
        <f t="shared" si="24"/>
        <v>1.0612244897959182E-5</v>
      </c>
    </row>
    <row r="524" spans="1:8" x14ac:dyDescent="0.2">
      <c r="D524">
        <v>0.03</v>
      </c>
      <c r="F524">
        <f t="shared" si="24"/>
        <v>2.4489795918367345E-5</v>
      </c>
    </row>
    <row r="525" spans="1:8" x14ac:dyDescent="0.2">
      <c r="D525">
        <v>7.6999999999999999E-2</v>
      </c>
      <c r="F525">
        <f t="shared" si="24"/>
        <v>6.2857142857142848E-5</v>
      </c>
    </row>
    <row r="526" spans="1:8" x14ac:dyDescent="0.2">
      <c r="D526">
        <v>0</v>
      </c>
      <c r="F526">
        <f t="shared" si="24"/>
        <v>0</v>
      </c>
    </row>
    <row r="527" spans="1:8" x14ac:dyDescent="0.2">
      <c r="D527">
        <v>3.1E-2</v>
      </c>
      <c r="F527">
        <f t="shared" si="24"/>
        <v>2.530612244897959E-5</v>
      </c>
    </row>
    <row r="528" spans="1:8" x14ac:dyDescent="0.2">
      <c r="D528">
        <v>0</v>
      </c>
      <c r="F528">
        <f t="shared" si="24"/>
        <v>0</v>
      </c>
    </row>
    <row r="529" spans="4:6" x14ac:dyDescent="0.2">
      <c r="D529">
        <v>8.0000000000000002E-3</v>
      </c>
      <c r="F529">
        <f t="shared" si="24"/>
        <v>6.5306122448979588E-6</v>
      </c>
    </row>
    <row r="530" spans="4:6" x14ac:dyDescent="0.2">
      <c r="D530">
        <v>0</v>
      </c>
      <c r="F530">
        <f t="shared" si="24"/>
        <v>0</v>
      </c>
    </row>
    <row r="531" spans="4:6" x14ac:dyDescent="0.2">
      <c r="D531">
        <v>1.37</v>
      </c>
      <c r="F531">
        <f t="shared" si="24"/>
        <v>1.1183673469387756E-3</v>
      </c>
    </row>
    <row r="532" spans="4:6" x14ac:dyDescent="0.2">
      <c r="D532">
        <v>0.03</v>
      </c>
      <c r="F532">
        <f t="shared" si="24"/>
        <v>2.4489795918367345E-5</v>
      </c>
    </row>
    <row r="533" spans="4:6" x14ac:dyDescent="0.2">
      <c r="D533">
        <v>0.01</v>
      </c>
      <c r="F533">
        <f t="shared" si="24"/>
        <v>8.1632653061224483E-6</v>
      </c>
    </row>
    <row r="534" spans="4:6" x14ac:dyDescent="0.2">
      <c r="D534">
        <v>0.3</v>
      </c>
      <c r="F534">
        <f t="shared" si="24"/>
        <v>2.4489795918367346E-4</v>
      </c>
    </row>
    <row r="535" spans="4:6" x14ac:dyDescent="0.2">
      <c r="D535">
        <v>1.5</v>
      </c>
      <c r="F535">
        <f t="shared" si="24"/>
        <v>1.2244897959183671E-3</v>
      </c>
    </row>
    <row r="536" spans="4:6" x14ac:dyDescent="0.2">
      <c r="D536">
        <v>0.3</v>
      </c>
      <c r="F536">
        <f t="shared" si="24"/>
        <v>2.4489795918367346E-4</v>
      </c>
    </row>
    <row r="537" spans="4:6" x14ac:dyDescent="0.2">
      <c r="D537">
        <v>1.1000000000000001</v>
      </c>
      <c r="F537">
        <f t="shared" si="24"/>
        <v>8.9795918367346938E-4</v>
      </c>
    </row>
    <row r="538" spans="4:6" x14ac:dyDescent="0.2">
      <c r="D538">
        <v>0</v>
      </c>
      <c r="F538">
        <f t="shared" si="24"/>
        <v>0</v>
      </c>
    </row>
    <row r="539" spans="4:6" x14ac:dyDescent="0.2">
      <c r="D539">
        <v>4.18</v>
      </c>
      <c r="F539">
        <f t="shared" si="24"/>
        <v>3.4122448979591832E-3</v>
      </c>
    </row>
    <row r="540" spans="4:6" x14ac:dyDescent="0.2">
      <c r="D540">
        <v>6.2</v>
      </c>
      <c r="F540">
        <f t="shared" si="24"/>
        <v>5.0612244897959178E-3</v>
      </c>
    </row>
    <row r="541" spans="4:6" x14ac:dyDescent="0.2">
      <c r="D541">
        <v>324</v>
      </c>
      <c r="F541">
        <f t="shared" si="24"/>
        <v>0.26448979591836735</v>
      </c>
    </row>
    <row r="542" spans="4:6" x14ac:dyDescent="0.2">
      <c r="D542">
        <v>393</v>
      </c>
      <c r="F542">
        <f t="shared" si="24"/>
        <v>0.32081632653061221</v>
      </c>
    </row>
    <row r="543" spans="4:6" x14ac:dyDescent="0.2">
      <c r="D543">
        <v>177</v>
      </c>
      <c r="F543">
        <f t="shared" si="24"/>
        <v>0.14448979591836736</v>
      </c>
    </row>
    <row r="544" spans="4:6" x14ac:dyDescent="0.2">
      <c r="D544">
        <v>267</v>
      </c>
      <c r="F544">
        <f t="shared" si="24"/>
        <v>0.21795918367346936</v>
      </c>
    </row>
    <row r="545" spans="1:8" x14ac:dyDescent="0.2">
      <c r="D545">
        <v>1167</v>
      </c>
      <c r="F545">
        <f t="shared" si="24"/>
        <v>0.95265306122448978</v>
      </c>
    </row>
    <row r="546" spans="1:8" x14ac:dyDescent="0.2">
      <c r="D546">
        <v>3389</v>
      </c>
      <c r="F546">
        <f t="shared" si="24"/>
        <v>2.7665306122448978</v>
      </c>
    </row>
    <row r="547" spans="1:8" x14ac:dyDescent="0.2">
      <c r="D547">
        <v>5600</v>
      </c>
      <c r="F547">
        <f t="shared" si="24"/>
        <v>4.5714285714285703</v>
      </c>
    </row>
    <row r="548" spans="1:8" x14ac:dyDescent="0.2">
      <c r="D548">
        <v>5700</v>
      </c>
      <c r="F548">
        <f t="shared" si="24"/>
        <v>4.6530612244897958</v>
      </c>
    </row>
    <row r="549" spans="1:8" x14ac:dyDescent="0.2">
      <c r="A549" t="s">
        <v>261</v>
      </c>
      <c r="B549">
        <v>2025</v>
      </c>
      <c r="C549" t="s">
        <v>44</v>
      </c>
      <c r="D549">
        <v>1877</v>
      </c>
      <c r="E549" t="s">
        <v>180</v>
      </c>
      <c r="F549">
        <f t="shared" si="24"/>
        <v>1.5322448979591836</v>
      </c>
      <c r="H549" t="s">
        <v>259</v>
      </c>
    </row>
    <row r="550" spans="1:8" x14ac:dyDescent="0.2">
      <c r="D550">
        <v>528</v>
      </c>
      <c r="F550">
        <f t="shared" si="24"/>
        <v>0.43102040816326531</v>
      </c>
    </row>
    <row r="551" spans="1:8" x14ac:dyDescent="0.2">
      <c r="D551">
        <v>2238</v>
      </c>
      <c r="F551">
        <f t="shared" si="24"/>
        <v>1.8269387755102038</v>
      </c>
    </row>
    <row r="552" spans="1:8" x14ac:dyDescent="0.2">
      <c r="A552" t="s">
        <v>256</v>
      </c>
      <c r="B552">
        <v>2022</v>
      </c>
      <c r="C552" t="s">
        <v>44</v>
      </c>
      <c r="D552">
        <v>17.3</v>
      </c>
      <c r="E552" t="s">
        <v>180</v>
      </c>
      <c r="F552">
        <f t="shared" si="24"/>
        <v>1.4122448979591836E-2</v>
      </c>
      <c r="H552" t="s">
        <v>260</v>
      </c>
    </row>
    <row r="553" spans="1:8" x14ac:dyDescent="0.2">
      <c r="D553">
        <v>5.8</v>
      </c>
      <c r="F553">
        <f t="shared" si="24"/>
        <v>4.7346938775510205E-3</v>
      </c>
    </row>
    <row r="554" spans="1:8" x14ac:dyDescent="0.2">
      <c r="D554">
        <v>4.8</v>
      </c>
      <c r="F554">
        <f t="shared" si="24"/>
        <v>3.9183673469387753E-3</v>
      </c>
    </row>
    <row r="555" spans="1:8" x14ac:dyDescent="0.2">
      <c r="D555">
        <v>4.2</v>
      </c>
      <c r="F555">
        <f t="shared" si="24"/>
        <v>3.4285714285714284E-3</v>
      </c>
    </row>
    <row r="556" spans="1:8" x14ac:dyDescent="0.2">
      <c r="D556">
        <v>12.5</v>
      </c>
      <c r="F556">
        <f t="shared" si="24"/>
        <v>1.020408163265306E-2</v>
      </c>
    </row>
    <row r="557" spans="1:8" x14ac:dyDescent="0.2">
      <c r="A557" t="s">
        <v>263</v>
      </c>
      <c r="B557">
        <v>2023</v>
      </c>
      <c r="C557" t="s">
        <v>44</v>
      </c>
      <c r="D557">
        <v>0.17</v>
      </c>
      <c r="E557" t="s">
        <v>180</v>
      </c>
      <c r="F557">
        <f t="shared" si="24"/>
        <v>1.3877551020408162E-4</v>
      </c>
      <c r="H557" t="s">
        <v>262</v>
      </c>
    </row>
    <row r="558" spans="1:8" x14ac:dyDescent="0.2">
      <c r="D558">
        <v>5700</v>
      </c>
      <c r="F558">
        <f t="shared" si="24"/>
        <v>4.6530612244897958</v>
      </c>
    </row>
    <row r="559" spans="1:8" x14ac:dyDescent="0.2">
      <c r="D559">
        <v>4.1999999999999998E-5</v>
      </c>
      <c r="F559">
        <f t="shared" si="24"/>
        <v>3.4285714285714286E-8</v>
      </c>
    </row>
    <row r="560" spans="1:8" x14ac:dyDescent="0.2">
      <c r="D560">
        <v>0.13</v>
      </c>
      <c r="F560">
        <f t="shared" si="24"/>
        <v>1.0612244897959184E-4</v>
      </c>
    </row>
    <row r="561" spans="1:8" x14ac:dyDescent="0.2">
      <c r="D561">
        <v>0.05</v>
      </c>
      <c r="F561">
        <f t="shared" si="24"/>
        <v>4.0816326530612238E-5</v>
      </c>
    </row>
    <row r="562" spans="1:8" x14ac:dyDescent="0.2">
      <c r="D562">
        <v>0.02</v>
      </c>
      <c r="F562">
        <f t="shared" si="24"/>
        <v>1.6326530612244897E-5</v>
      </c>
    </row>
    <row r="563" spans="1:8" x14ac:dyDescent="0.2">
      <c r="D563">
        <v>0.04</v>
      </c>
      <c r="F563">
        <f t="shared" si="24"/>
        <v>3.2653061224489793E-5</v>
      </c>
    </row>
    <row r="564" spans="1:8" x14ac:dyDescent="0.2">
      <c r="D564">
        <v>1.2E-4</v>
      </c>
      <c r="F564">
        <f t="shared" si="24"/>
        <v>9.7959183673469384E-8</v>
      </c>
    </row>
    <row r="565" spans="1:8" x14ac:dyDescent="0.2">
      <c r="D565">
        <v>0.9</v>
      </c>
      <c r="F565">
        <f t="shared" si="24"/>
        <v>7.3469387755102037E-4</v>
      </c>
    </row>
    <row r="566" spans="1:8" x14ac:dyDescent="0.2">
      <c r="D566">
        <v>13.9</v>
      </c>
      <c r="F566">
        <f t="shared" si="24"/>
        <v>1.1346938775510204E-2</v>
      </c>
    </row>
    <row r="567" spans="1:8" x14ac:dyDescent="0.2">
      <c r="D567">
        <v>0.42</v>
      </c>
      <c r="F567">
        <f t="shared" si="24"/>
        <v>3.428571428571428E-4</v>
      </c>
    </row>
    <row r="568" spans="1:8" x14ac:dyDescent="0.2">
      <c r="D568">
        <v>5670</v>
      </c>
      <c r="F568">
        <f t="shared" si="24"/>
        <v>4.6285714285714281</v>
      </c>
    </row>
    <row r="569" spans="1:8" x14ac:dyDescent="0.2">
      <c r="A569" t="s">
        <v>265</v>
      </c>
      <c r="B569">
        <v>2022</v>
      </c>
      <c r="C569" t="s">
        <v>44</v>
      </c>
      <c r="D569">
        <v>581.9</v>
      </c>
      <c r="E569" t="s">
        <v>180</v>
      </c>
      <c r="F569">
        <f t="shared" si="24"/>
        <v>0.47502040816326524</v>
      </c>
      <c r="H569" t="s">
        <v>264</v>
      </c>
    </row>
    <row r="570" spans="1:8" x14ac:dyDescent="0.2">
      <c r="D570">
        <v>349.53</v>
      </c>
      <c r="F570">
        <f t="shared" si="24"/>
        <v>0.28533061224489792</v>
      </c>
    </row>
    <row r="571" spans="1:8" x14ac:dyDescent="0.2">
      <c r="D571">
        <v>312.45</v>
      </c>
      <c r="F571">
        <f t="shared" si="24"/>
        <v>0.2550612244897959</v>
      </c>
    </row>
    <row r="572" spans="1:8" x14ac:dyDescent="0.2">
      <c r="D572">
        <v>221.48</v>
      </c>
      <c r="F572">
        <f t="shared" si="24"/>
        <v>0.18079999999999999</v>
      </c>
    </row>
    <row r="573" spans="1:8" x14ac:dyDescent="0.2">
      <c r="D573">
        <v>201.72</v>
      </c>
      <c r="F573">
        <f t="shared" si="24"/>
        <v>0.16466938775510204</v>
      </c>
    </row>
    <row r="574" spans="1:8" x14ac:dyDescent="0.2">
      <c r="D574">
        <v>2019</v>
      </c>
      <c r="F574">
        <f t="shared" si="24"/>
        <v>1.6481632653061224</v>
      </c>
    </row>
    <row r="575" spans="1:8" x14ac:dyDescent="0.2">
      <c r="D575">
        <v>333.42</v>
      </c>
      <c r="F575">
        <f t="shared" si="24"/>
        <v>0.27217959183673468</v>
      </c>
    </row>
    <row r="576" spans="1:8" x14ac:dyDescent="0.2">
      <c r="D576">
        <v>282</v>
      </c>
      <c r="F576">
        <f t="shared" si="24"/>
        <v>0.23020408163265305</v>
      </c>
    </row>
    <row r="577" spans="1:8" x14ac:dyDescent="0.2">
      <c r="D577">
        <v>349.53</v>
      </c>
      <c r="F577">
        <f t="shared" si="24"/>
        <v>0.28533061224489792</v>
      </c>
    </row>
    <row r="578" spans="1:8" x14ac:dyDescent="0.2">
      <c r="D578">
        <v>312.45</v>
      </c>
      <c r="F578">
        <f t="shared" si="24"/>
        <v>0.2550612244897959</v>
      </c>
    </row>
    <row r="579" spans="1:8" x14ac:dyDescent="0.2">
      <c r="D579">
        <v>14.02</v>
      </c>
      <c r="F579">
        <f t="shared" si="24"/>
        <v>1.1444897959183672E-2</v>
      </c>
    </row>
    <row r="580" spans="1:8" x14ac:dyDescent="0.2">
      <c r="D580">
        <v>15.9</v>
      </c>
      <c r="F580">
        <f t="shared" si="24"/>
        <v>1.2979591836734692E-2</v>
      </c>
    </row>
    <row r="581" spans="1:8" x14ac:dyDescent="0.2">
      <c r="D581">
        <v>189</v>
      </c>
      <c r="F581">
        <f t="shared" si="24"/>
        <v>0.15428571428571428</v>
      </c>
    </row>
    <row r="582" spans="1:8" x14ac:dyDescent="0.2">
      <c r="D582">
        <v>0.04</v>
      </c>
      <c r="F582">
        <f t="shared" si="24"/>
        <v>3.2653061224489793E-5</v>
      </c>
    </row>
    <row r="583" spans="1:8" x14ac:dyDescent="0.2">
      <c r="D583">
        <v>0</v>
      </c>
      <c r="F583">
        <f t="shared" ref="F583:F594" si="25">D583/1.225/1000</f>
        <v>0</v>
      </c>
    </row>
    <row r="584" spans="1:8" x14ac:dyDescent="0.2">
      <c r="D584">
        <v>1.37</v>
      </c>
      <c r="F584">
        <f t="shared" si="25"/>
        <v>1.1183673469387756E-3</v>
      </c>
    </row>
    <row r="585" spans="1:8" x14ac:dyDescent="0.2">
      <c r="D585">
        <v>55.93</v>
      </c>
      <c r="F585">
        <f t="shared" si="25"/>
        <v>4.5657142857142854E-2</v>
      </c>
    </row>
    <row r="586" spans="1:8" x14ac:dyDescent="0.2">
      <c r="D586">
        <v>174.97</v>
      </c>
      <c r="F586">
        <f t="shared" si="25"/>
        <v>0.14283265306122447</v>
      </c>
    </row>
    <row r="587" spans="1:8" x14ac:dyDescent="0.2">
      <c r="A587" t="s">
        <v>267</v>
      </c>
      <c r="B587">
        <v>2024</v>
      </c>
      <c r="C587" t="s">
        <v>44</v>
      </c>
      <c r="D587">
        <v>14.6</v>
      </c>
      <c r="E587" t="s">
        <v>180</v>
      </c>
      <c r="F587">
        <f t="shared" si="25"/>
        <v>1.1918367346938774E-2</v>
      </c>
      <c r="H587" t="s">
        <v>266</v>
      </c>
    </row>
    <row r="588" spans="1:8" x14ac:dyDescent="0.2">
      <c r="D588">
        <v>3.8</v>
      </c>
      <c r="F588">
        <f t="shared" si="25"/>
        <v>3.1020408163265302E-3</v>
      </c>
    </row>
    <row r="589" spans="1:8" x14ac:dyDescent="0.2">
      <c r="D589">
        <v>33.6</v>
      </c>
      <c r="F589">
        <f t="shared" si="25"/>
        <v>2.7428571428571427E-2</v>
      </c>
    </row>
    <row r="590" spans="1:8" x14ac:dyDescent="0.2">
      <c r="D590">
        <v>12.4</v>
      </c>
      <c r="F590">
        <f t="shared" si="25"/>
        <v>1.0122448979591836E-2</v>
      </c>
    </row>
    <row r="591" spans="1:8" x14ac:dyDescent="0.2">
      <c r="D591">
        <v>3.2</v>
      </c>
      <c r="F591">
        <f t="shared" si="25"/>
        <v>2.6122448979591832E-3</v>
      </c>
    </row>
    <row r="592" spans="1:8" x14ac:dyDescent="0.2">
      <c r="D592">
        <v>31</v>
      </c>
      <c r="F592">
        <f t="shared" si="25"/>
        <v>2.530612244897959E-2</v>
      </c>
    </row>
    <row r="593" spans="1:8" x14ac:dyDescent="0.2">
      <c r="A593" t="s">
        <v>269</v>
      </c>
      <c r="B593">
        <v>2025</v>
      </c>
      <c r="C593" t="s">
        <v>44</v>
      </c>
      <c r="D593">
        <v>1.57</v>
      </c>
      <c r="E593" t="s">
        <v>180</v>
      </c>
      <c r="F593">
        <f t="shared" si="25"/>
        <v>1.2816326530612245E-3</v>
      </c>
      <c r="H593" t="s">
        <v>268</v>
      </c>
    </row>
    <row r="594" spans="1:8" x14ac:dyDescent="0.2">
      <c r="D594">
        <v>6.68</v>
      </c>
      <c r="F594">
        <f t="shared" si="25"/>
        <v>5.4530612244897952E-3</v>
      </c>
    </row>
    <row r="595" spans="1:8" x14ac:dyDescent="0.2">
      <c r="A595" t="s">
        <v>272</v>
      </c>
      <c r="B595">
        <v>2023</v>
      </c>
      <c r="C595" t="s">
        <v>270</v>
      </c>
      <c r="D595">
        <v>286</v>
      </c>
      <c r="E595" t="s">
        <v>216</v>
      </c>
      <c r="F595">
        <f>D595</f>
        <v>286</v>
      </c>
      <c r="H595" t="s">
        <v>271</v>
      </c>
    </row>
    <row r="596" spans="1:8" x14ac:dyDescent="0.2">
      <c r="D596">
        <v>9.1</v>
      </c>
      <c r="F596">
        <f t="shared" ref="F596:F609" si="26">D596</f>
        <v>9.1</v>
      </c>
    </row>
    <row r="597" spans="1:8" x14ac:dyDescent="0.2">
      <c r="D597">
        <v>4.0999999999999996</v>
      </c>
      <c r="F597">
        <f t="shared" si="26"/>
        <v>4.0999999999999996</v>
      </c>
    </row>
    <row r="598" spans="1:8" x14ac:dyDescent="0.2">
      <c r="C598" t="s">
        <v>0</v>
      </c>
      <c r="D598">
        <v>3.27</v>
      </c>
      <c r="E598" t="s">
        <v>216</v>
      </c>
      <c r="F598">
        <f t="shared" si="26"/>
        <v>3.27</v>
      </c>
    </row>
    <row r="599" spans="1:8" x14ac:dyDescent="0.2">
      <c r="D599">
        <v>0.2</v>
      </c>
      <c r="F599">
        <f t="shared" si="26"/>
        <v>0.2</v>
      </c>
    </row>
    <row r="600" spans="1:8" x14ac:dyDescent="0.2">
      <c r="D600">
        <v>1</v>
      </c>
      <c r="F600">
        <f t="shared" si="26"/>
        <v>1</v>
      </c>
    </row>
    <row r="601" spans="1:8" x14ac:dyDescent="0.2">
      <c r="D601">
        <v>0.27</v>
      </c>
      <c r="F601">
        <f t="shared" si="26"/>
        <v>0.27</v>
      </c>
    </row>
    <row r="602" spans="1:8" x14ac:dyDescent="0.2">
      <c r="D602">
        <v>0.8</v>
      </c>
      <c r="F602">
        <f t="shared" si="26"/>
        <v>0.8</v>
      </c>
    </row>
    <row r="603" spans="1:8" x14ac:dyDescent="0.2">
      <c r="D603">
        <v>0.2</v>
      </c>
      <c r="F603">
        <f t="shared" si="26"/>
        <v>0.2</v>
      </c>
    </row>
    <row r="604" spans="1:8" x14ac:dyDescent="0.2">
      <c r="D604">
        <v>2</v>
      </c>
      <c r="F604">
        <f t="shared" si="26"/>
        <v>2</v>
      </c>
    </row>
    <row r="605" spans="1:8" x14ac:dyDescent="0.2">
      <c r="D605">
        <v>7.0000000000000007E-2</v>
      </c>
      <c r="F605">
        <f t="shared" si="26"/>
        <v>7.0000000000000007E-2</v>
      </c>
    </row>
    <row r="606" spans="1:8" x14ac:dyDescent="0.2">
      <c r="D606">
        <v>0.87</v>
      </c>
      <c r="F606">
        <f t="shared" si="26"/>
        <v>0.87</v>
      </c>
    </row>
    <row r="607" spans="1:8" x14ac:dyDescent="0.2">
      <c r="D607">
        <v>0.13</v>
      </c>
      <c r="F607">
        <f t="shared" si="26"/>
        <v>0.13</v>
      </c>
    </row>
    <row r="608" spans="1:8" x14ac:dyDescent="0.2">
      <c r="D608">
        <v>1.33</v>
      </c>
      <c r="F608">
        <f t="shared" si="26"/>
        <v>1.33</v>
      </c>
    </row>
    <row r="609" spans="1:8" x14ac:dyDescent="0.2">
      <c r="D609">
        <v>7.0000000000000007E-2</v>
      </c>
      <c r="F609">
        <f t="shared" si="26"/>
        <v>7.0000000000000007E-2</v>
      </c>
    </row>
    <row r="610" spans="1:8" x14ac:dyDescent="0.2">
      <c r="A610" t="s">
        <v>274</v>
      </c>
      <c r="B610">
        <v>2020</v>
      </c>
      <c r="C610" t="s">
        <v>270</v>
      </c>
      <c r="D610">
        <v>11469.4</v>
      </c>
      <c r="E610" t="s">
        <v>195</v>
      </c>
      <c r="F610">
        <f>D610/1000</f>
        <v>11.4694</v>
      </c>
      <c r="H610" t="s">
        <v>273</v>
      </c>
    </row>
    <row r="611" spans="1:8" x14ac:dyDescent="0.2">
      <c r="D611">
        <v>8678</v>
      </c>
      <c r="F611">
        <f t="shared" ref="F611:F629" si="27">D611/1000</f>
        <v>8.6780000000000008</v>
      </c>
    </row>
    <row r="612" spans="1:8" x14ac:dyDescent="0.2">
      <c r="D612">
        <v>14407</v>
      </c>
      <c r="F612">
        <f t="shared" si="27"/>
        <v>14.407</v>
      </c>
    </row>
    <row r="613" spans="1:8" x14ac:dyDescent="0.2">
      <c r="A613" t="s">
        <v>275</v>
      </c>
      <c r="B613">
        <v>2021</v>
      </c>
      <c r="C613" t="s">
        <v>0</v>
      </c>
      <c r="D613">
        <v>275</v>
      </c>
      <c r="E613" t="s">
        <v>195</v>
      </c>
      <c r="F613">
        <f t="shared" si="27"/>
        <v>0.27500000000000002</v>
      </c>
      <c r="H613" t="s">
        <v>296</v>
      </c>
    </row>
    <row r="614" spans="1:8" x14ac:dyDescent="0.2">
      <c r="D614">
        <v>4165</v>
      </c>
      <c r="F614">
        <f t="shared" si="27"/>
        <v>4.165</v>
      </c>
    </row>
    <row r="615" spans="1:8" x14ac:dyDescent="0.2">
      <c r="D615">
        <v>179</v>
      </c>
      <c r="F615">
        <f t="shared" si="27"/>
        <v>0.17899999999999999</v>
      </c>
    </row>
    <row r="616" spans="1:8" x14ac:dyDescent="0.2">
      <c r="D616">
        <v>4169</v>
      </c>
      <c r="F616">
        <f t="shared" si="27"/>
        <v>4.1689999999999996</v>
      </c>
    </row>
    <row r="617" spans="1:8" x14ac:dyDescent="0.2">
      <c r="D617">
        <v>415</v>
      </c>
      <c r="F617">
        <f t="shared" si="27"/>
        <v>0.41499999999999998</v>
      </c>
    </row>
    <row r="618" spans="1:8" x14ac:dyDescent="0.2">
      <c r="D618">
        <v>4322</v>
      </c>
      <c r="F618">
        <f t="shared" si="27"/>
        <v>4.3220000000000001</v>
      </c>
    </row>
    <row r="619" spans="1:8" x14ac:dyDescent="0.2">
      <c r="D619">
        <v>310</v>
      </c>
      <c r="F619">
        <f t="shared" si="27"/>
        <v>0.31</v>
      </c>
    </row>
    <row r="620" spans="1:8" x14ac:dyDescent="0.2">
      <c r="D620">
        <v>4148</v>
      </c>
      <c r="F620">
        <f t="shared" si="27"/>
        <v>4.1479999999999997</v>
      </c>
    </row>
    <row r="621" spans="1:8" x14ac:dyDescent="0.2">
      <c r="D621">
        <v>454</v>
      </c>
      <c r="F621">
        <f t="shared" si="27"/>
        <v>0.45400000000000001</v>
      </c>
    </row>
    <row r="622" spans="1:8" x14ac:dyDescent="0.2">
      <c r="D622">
        <v>5411</v>
      </c>
      <c r="F622">
        <f t="shared" si="27"/>
        <v>5.4109999999999996</v>
      </c>
    </row>
    <row r="623" spans="1:8" x14ac:dyDescent="0.2">
      <c r="D623">
        <v>412</v>
      </c>
      <c r="F623">
        <f t="shared" si="27"/>
        <v>0.41199999999999998</v>
      </c>
    </row>
    <row r="624" spans="1:8" x14ac:dyDescent="0.2">
      <c r="D624">
        <v>7175</v>
      </c>
      <c r="F624">
        <f t="shared" si="27"/>
        <v>7.1749999999999998</v>
      </c>
    </row>
    <row r="625" spans="1:8" x14ac:dyDescent="0.2">
      <c r="D625">
        <v>307</v>
      </c>
      <c r="F625">
        <f t="shared" si="27"/>
        <v>0.307</v>
      </c>
    </row>
    <row r="626" spans="1:8" x14ac:dyDescent="0.2">
      <c r="D626">
        <v>4507</v>
      </c>
      <c r="F626">
        <f t="shared" si="27"/>
        <v>4.5069999999999997</v>
      </c>
    </row>
    <row r="627" spans="1:8" x14ac:dyDescent="0.2">
      <c r="D627">
        <v>391</v>
      </c>
      <c r="F627">
        <f t="shared" si="27"/>
        <v>0.39100000000000001</v>
      </c>
    </row>
    <row r="628" spans="1:8" x14ac:dyDescent="0.2">
      <c r="D628">
        <v>5698</v>
      </c>
      <c r="F628">
        <f t="shared" si="27"/>
        <v>5.6980000000000004</v>
      </c>
    </row>
    <row r="629" spans="1:8" x14ac:dyDescent="0.2">
      <c r="D629">
        <v>1229</v>
      </c>
      <c r="F629">
        <f t="shared" si="27"/>
        <v>1.2290000000000001</v>
      </c>
    </row>
    <row r="630" spans="1:8" x14ac:dyDescent="0.2">
      <c r="A630" t="s">
        <v>275</v>
      </c>
      <c r="B630">
        <v>2022</v>
      </c>
      <c r="C630" t="s">
        <v>43</v>
      </c>
      <c r="D630">
        <v>2900</v>
      </c>
      <c r="E630" t="s">
        <v>180</v>
      </c>
      <c r="F630">
        <f>D630/1000000</f>
        <v>2.8999999999999998E-3</v>
      </c>
      <c r="H630" t="s">
        <v>276</v>
      </c>
    </row>
    <row r="631" spans="1:8" x14ac:dyDescent="0.2">
      <c r="D631">
        <v>6970</v>
      </c>
      <c r="F631">
        <f>D631/1000000</f>
        <v>6.9699999999999996E-3</v>
      </c>
    </row>
    <row r="632" spans="1:8" x14ac:dyDescent="0.2">
      <c r="C632" t="s">
        <v>45</v>
      </c>
      <c r="D632">
        <v>940</v>
      </c>
      <c r="E632" t="s">
        <v>195</v>
      </c>
      <c r="F632">
        <f>D632/1000</f>
        <v>0.94</v>
      </c>
    </row>
    <row r="633" spans="1:8" x14ac:dyDescent="0.2">
      <c r="D633">
        <v>3560</v>
      </c>
      <c r="F633">
        <f t="shared" ref="F633:F649" si="28">D633/1000</f>
        <v>3.56</v>
      </c>
    </row>
    <row r="634" spans="1:8" x14ac:dyDescent="0.2">
      <c r="A634" t="s">
        <v>278</v>
      </c>
      <c r="B634">
        <v>2022</v>
      </c>
      <c r="C634" t="s">
        <v>0</v>
      </c>
      <c r="D634">
        <v>240</v>
      </c>
      <c r="E634" t="s">
        <v>195</v>
      </c>
      <c r="F634">
        <f t="shared" si="28"/>
        <v>0.24</v>
      </c>
      <c r="H634" t="s">
        <v>277</v>
      </c>
    </row>
    <row r="635" spans="1:8" x14ac:dyDescent="0.2">
      <c r="D635">
        <v>3660</v>
      </c>
      <c r="F635">
        <f t="shared" si="28"/>
        <v>3.66</v>
      </c>
    </row>
    <row r="636" spans="1:8" x14ac:dyDescent="0.2">
      <c r="A636" t="s">
        <v>280</v>
      </c>
      <c r="B636">
        <v>2021</v>
      </c>
      <c r="C636" t="s">
        <v>0</v>
      </c>
      <c r="D636">
        <v>0</v>
      </c>
      <c r="E636" t="s">
        <v>195</v>
      </c>
      <c r="F636">
        <f t="shared" si="28"/>
        <v>0</v>
      </c>
      <c r="H636" t="s">
        <v>279</v>
      </c>
    </row>
    <row r="637" spans="1:8" x14ac:dyDescent="0.2">
      <c r="D637">
        <v>217.8</v>
      </c>
      <c r="F637">
        <f t="shared" si="28"/>
        <v>0.21780000000000002</v>
      </c>
    </row>
    <row r="638" spans="1:8" x14ac:dyDescent="0.2">
      <c r="D638">
        <v>0</v>
      </c>
      <c r="F638">
        <f t="shared" si="28"/>
        <v>0</v>
      </c>
    </row>
    <row r="639" spans="1:8" x14ac:dyDescent="0.2">
      <c r="D639">
        <v>5.8</v>
      </c>
      <c r="F639">
        <f t="shared" si="28"/>
        <v>5.7999999999999996E-3</v>
      </c>
    </row>
    <row r="640" spans="1:8" x14ac:dyDescent="0.2">
      <c r="D640">
        <v>0</v>
      </c>
      <c r="F640">
        <f t="shared" si="28"/>
        <v>0</v>
      </c>
    </row>
    <row r="641" spans="1:8" x14ac:dyDescent="0.2">
      <c r="D641">
        <v>1.9</v>
      </c>
      <c r="F641">
        <f t="shared" si="28"/>
        <v>1.9E-3</v>
      </c>
    </row>
    <row r="642" spans="1:8" x14ac:dyDescent="0.2">
      <c r="D642">
        <v>0</v>
      </c>
      <c r="F642">
        <f t="shared" si="28"/>
        <v>0</v>
      </c>
    </row>
    <row r="643" spans="1:8" x14ac:dyDescent="0.2">
      <c r="D643">
        <v>3.3</v>
      </c>
      <c r="F643">
        <f t="shared" si="28"/>
        <v>3.3E-3</v>
      </c>
    </row>
    <row r="644" spans="1:8" x14ac:dyDescent="0.2">
      <c r="D644">
        <v>0</v>
      </c>
      <c r="F644">
        <f t="shared" si="28"/>
        <v>0</v>
      </c>
    </row>
    <row r="645" spans="1:8" x14ac:dyDescent="0.2">
      <c r="D645">
        <v>15.8</v>
      </c>
      <c r="F645">
        <f t="shared" si="28"/>
        <v>1.5800000000000002E-2</v>
      </c>
    </row>
    <row r="646" spans="1:8" x14ac:dyDescent="0.2">
      <c r="D646">
        <v>8.8000000000000007</v>
      </c>
      <c r="F646">
        <f t="shared" si="28"/>
        <v>8.8000000000000005E-3</v>
      </c>
    </row>
    <row r="647" spans="1:8" x14ac:dyDescent="0.2">
      <c r="D647">
        <v>0.9</v>
      </c>
      <c r="F647">
        <f t="shared" si="28"/>
        <v>8.9999999999999998E-4</v>
      </c>
    </row>
    <row r="648" spans="1:8" x14ac:dyDescent="0.2">
      <c r="D648">
        <v>0</v>
      </c>
      <c r="F648">
        <f t="shared" si="28"/>
        <v>0</v>
      </c>
    </row>
    <row r="649" spans="1:8" x14ac:dyDescent="0.2">
      <c r="D649">
        <v>0.34</v>
      </c>
      <c r="F649">
        <f t="shared" si="28"/>
        <v>3.4000000000000002E-4</v>
      </c>
    </row>
    <row r="650" spans="1:8" x14ac:dyDescent="0.2">
      <c r="A650" t="s">
        <v>282</v>
      </c>
      <c r="B650">
        <v>2022</v>
      </c>
      <c r="C650" t="s">
        <v>0</v>
      </c>
      <c r="D650">
        <v>0.38</v>
      </c>
      <c r="E650" t="s">
        <v>216</v>
      </c>
      <c r="F650">
        <f>D650</f>
        <v>0.38</v>
      </c>
      <c r="H650" t="s">
        <v>281</v>
      </c>
    </row>
    <row r="651" spans="1:8" x14ac:dyDescent="0.2">
      <c r="D651">
        <v>0.63</v>
      </c>
      <c r="F651">
        <f t="shared" ref="F651:F669" si="29">D651</f>
        <v>0.63</v>
      </c>
    </row>
    <row r="652" spans="1:8" x14ac:dyDescent="0.2">
      <c r="D652">
        <v>0.98</v>
      </c>
      <c r="F652">
        <f t="shared" si="29"/>
        <v>0.98</v>
      </c>
    </row>
    <row r="653" spans="1:8" x14ac:dyDescent="0.2">
      <c r="D653">
        <v>0.04</v>
      </c>
      <c r="F653">
        <f t="shared" si="29"/>
        <v>0.04</v>
      </c>
    </row>
    <row r="654" spans="1:8" x14ac:dyDescent="0.2">
      <c r="D654">
        <v>0.11</v>
      </c>
      <c r="F654">
        <f t="shared" si="29"/>
        <v>0.11</v>
      </c>
    </row>
    <row r="655" spans="1:8" x14ac:dyDescent="0.2">
      <c r="D655">
        <v>0.16</v>
      </c>
      <c r="F655">
        <f t="shared" si="29"/>
        <v>0.16</v>
      </c>
    </row>
    <row r="656" spans="1:8" x14ac:dyDescent="0.2">
      <c r="D656">
        <v>0.83</v>
      </c>
      <c r="F656">
        <f t="shared" si="29"/>
        <v>0.83</v>
      </c>
    </row>
    <row r="657" spans="1:8" x14ac:dyDescent="0.2">
      <c r="D657">
        <v>0.17</v>
      </c>
      <c r="F657">
        <f t="shared" si="29"/>
        <v>0.17</v>
      </c>
    </row>
    <row r="658" spans="1:8" x14ac:dyDescent="0.2">
      <c r="D658">
        <v>0.09</v>
      </c>
      <c r="F658">
        <f t="shared" si="29"/>
        <v>0.09</v>
      </c>
    </row>
    <row r="659" spans="1:8" x14ac:dyDescent="0.2">
      <c r="D659">
        <v>0.48</v>
      </c>
      <c r="F659">
        <f t="shared" si="29"/>
        <v>0.48</v>
      </c>
    </row>
    <row r="660" spans="1:8" x14ac:dyDescent="0.2">
      <c r="D660">
        <v>0.83</v>
      </c>
      <c r="F660">
        <f t="shared" si="29"/>
        <v>0.83</v>
      </c>
    </row>
    <row r="661" spans="1:8" x14ac:dyDescent="0.2">
      <c r="D661">
        <v>0.2</v>
      </c>
      <c r="F661">
        <f t="shared" si="29"/>
        <v>0.2</v>
      </c>
    </row>
    <row r="662" spans="1:8" x14ac:dyDescent="0.2">
      <c r="D662">
        <v>0.32</v>
      </c>
      <c r="F662">
        <f t="shared" si="29"/>
        <v>0.32</v>
      </c>
    </row>
    <row r="663" spans="1:8" x14ac:dyDescent="0.2">
      <c r="D663">
        <v>0.44</v>
      </c>
      <c r="F663">
        <f t="shared" si="29"/>
        <v>0.44</v>
      </c>
    </row>
    <row r="664" spans="1:8" x14ac:dyDescent="0.2">
      <c r="D664">
        <v>0.22</v>
      </c>
      <c r="F664">
        <f t="shared" si="29"/>
        <v>0.22</v>
      </c>
    </row>
    <row r="665" spans="1:8" x14ac:dyDescent="0.2">
      <c r="D665">
        <v>0.23</v>
      </c>
      <c r="F665">
        <f t="shared" si="29"/>
        <v>0.23</v>
      </c>
    </row>
    <row r="666" spans="1:8" x14ac:dyDescent="0.2">
      <c r="D666">
        <v>0.89</v>
      </c>
      <c r="F666">
        <f t="shared" si="29"/>
        <v>0.89</v>
      </c>
    </row>
    <row r="667" spans="1:8" x14ac:dyDescent="0.2">
      <c r="D667">
        <v>0.26</v>
      </c>
      <c r="F667">
        <f t="shared" si="29"/>
        <v>0.26</v>
      </c>
    </row>
    <row r="668" spans="1:8" x14ac:dyDescent="0.2">
      <c r="D668">
        <v>1.1100000000000001</v>
      </c>
      <c r="F668">
        <f t="shared" si="29"/>
        <v>1.1100000000000001</v>
      </c>
    </row>
    <row r="669" spans="1:8" x14ac:dyDescent="0.2">
      <c r="D669">
        <v>0.62</v>
      </c>
      <c r="E669" s="7"/>
      <c r="F669">
        <f t="shared" si="29"/>
        <v>0.62</v>
      </c>
    </row>
    <row r="670" spans="1:8" x14ac:dyDescent="0.2">
      <c r="A670" t="s">
        <v>284</v>
      </c>
      <c r="B670">
        <v>2020</v>
      </c>
      <c r="C670" t="s">
        <v>0</v>
      </c>
      <c r="D670">
        <v>600</v>
      </c>
      <c r="E670" t="s">
        <v>195</v>
      </c>
      <c r="F670">
        <f>D670/1000</f>
        <v>0.6</v>
      </c>
      <c r="H670" t="s">
        <v>283</v>
      </c>
    </row>
    <row r="671" spans="1:8" x14ac:dyDescent="0.2">
      <c r="D671">
        <v>1083</v>
      </c>
      <c r="F671">
        <f t="shared" ref="F671:F734" si="30">D671/1000</f>
        <v>1.083</v>
      </c>
    </row>
    <row r="672" spans="1:8" x14ac:dyDescent="0.2">
      <c r="D672">
        <v>3167</v>
      </c>
      <c r="F672">
        <f t="shared" si="30"/>
        <v>3.1669999999999998</v>
      </c>
    </row>
    <row r="673" spans="4:6" x14ac:dyDescent="0.2">
      <c r="D673">
        <v>300</v>
      </c>
      <c r="F673">
        <f t="shared" si="30"/>
        <v>0.3</v>
      </c>
    </row>
    <row r="674" spans="4:6" x14ac:dyDescent="0.2">
      <c r="D674">
        <v>1142</v>
      </c>
      <c r="F674">
        <f t="shared" si="30"/>
        <v>1.1419999999999999</v>
      </c>
    </row>
    <row r="675" spans="4:6" x14ac:dyDescent="0.2">
      <c r="D675">
        <v>12500</v>
      </c>
      <c r="F675">
        <f t="shared" si="30"/>
        <v>12.5</v>
      </c>
    </row>
    <row r="676" spans="4:6" x14ac:dyDescent="0.2">
      <c r="D676">
        <v>0</v>
      </c>
      <c r="F676">
        <f t="shared" si="30"/>
        <v>0</v>
      </c>
    </row>
    <row r="677" spans="4:6" x14ac:dyDescent="0.2">
      <c r="D677">
        <v>1200</v>
      </c>
      <c r="F677">
        <f t="shared" si="30"/>
        <v>1.2</v>
      </c>
    </row>
    <row r="678" spans="4:6" x14ac:dyDescent="0.2">
      <c r="D678">
        <v>2200</v>
      </c>
      <c r="F678">
        <f t="shared" si="30"/>
        <v>2.2000000000000002</v>
      </c>
    </row>
    <row r="679" spans="4:6" x14ac:dyDescent="0.2">
      <c r="D679">
        <v>1200</v>
      </c>
      <c r="F679">
        <f t="shared" si="30"/>
        <v>1.2</v>
      </c>
    </row>
    <row r="680" spans="4:6" x14ac:dyDescent="0.2">
      <c r="D680">
        <v>1800</v>
      </c>
      <c r="F680">
        <f t="shared" si="30"/>
        <v>1.8</v>
      </c>
    </row>
    <row r="681" spans="4:6" x14ac:dyDescent="0.2">
      <c r="D681">
        <v>3200</v>
      </c>
      <c r="F681">
        <f t="shared" si="30"/>
        <v>3.2</v>
      </c>
    </row>
    <row r="682" spans="4:6" x14ac:dyDescent="0.2">
      <c r="D682">
        <v>200</v>
      </c>
      <c r="F682">
        <f t="shared" si="30"/>
        <v>0.2</v>
      </c>
    </row>
    <row r="683" spans="4:6" x14ac:dyDescent="0.2">
      <c r="D683">
        <v>1200</v>
      </c>
      <c r="F683">
        <f t="shared" si="30"/>
        <v>1.2</v>
      </c>
    </row>
    <row r="684" spans="4:6" x14ac:dyDescent="0.2">
      <c r="D684">
        <v>4400</v>
      </c>
      <c r="F684">
        <f t="shared" si="30"/>
        <v>4.4000000000000004</v>
      </c>
    </row>
    <row r="685" spans="4:6" x14ac:dyDescent="0.2">
      <c r="D685">
        <v>800</v>
      </c>
      <c r="F685">
        <f t="shared" si="30"/>
        <v>0.8</v>
      </c>
    </row>
    <row r="686" spans="4:6" x14ac:dyDescent="0.2">
      <c r="D686">
        <v>2200</v>
      </c>
      <c r="F686">
        <f t="shared" si="30"/>
        <v>2.2000000000000002</v>
      </c>
    </row>
    <row r="687" spans="4:6" x14ac:dyDescent="0.2">
      <c r="D687">
        <v>12400</v>
      </c>
      <c r="F687">
        <f t="shared" si="30"/>
        <v>12.4</v>
      </c>
    </row>
    <row r="688" spans="4:6" x14ac:dyDescent="0.2">
      <c r="D688">
        <v>1000</v>
      </c>
      <c r="F688">
        <f t="shared" si="30"/>
        <v>1</v>
      </c>
    </row>
    <row r="689" spans="4:6" x14ac:dyDescent="0.2">
      <c r="D689">
        <v>3600</v>
      </c>
      <c r="F689">
        <f t="shared" si="30"/>
        <v>3.6</v>
      </c>
    </row>
    <row r="690" spans="4:6" x14ac:dyDescent="0.2">
      <c r="D690">
        <v>10200</v>
      </c>
      <c r="F690">
        <f t="shared" si="30"/>
        <v>10.199999999999999</v>
      </c>
    </row>
    <row r="691" spans="4:6" x14ac:dyDescent="0.2">
      <c r="D691">
        <v>4</v>
      </c>
      <c r="F691">
        <f t="shared" si="30"/>
        <v>4.0000000000000001E-3</v>
      </c>
    </row>
    <row r="692" spans="4:6" x14ac:dyDescent="0.2">
      <c r="D692">
        <v>103</v>
      </c>
      <c r="F692">
        <f t="shared" si="30"/>
        <v>0.10299999999999999</v>
      </c>
    </row>
    <row r="693" spans="4:6" x14ac:dyDescent="0.2">
      <c r="D693">
        <v>541</v>
      </c>
      <c r="F693">
        <f t="shared" si="30"/>
        <v>0.54100000000000004</v>
      </c>
    </row>
    <row r="694" spans="4:6" x14ac:dyDescent="0.2">
      <c r="D694">
        <v>2131</v>
      </c>
      <c r="F694">
        <f t="shared" si="30"/>
        <v>2.1309999999999998</v>
      </c>
    </row>
    <row r="695" spans="4:6" x14ac:dyDescent="0.2">
      <c r="D695">
        <v>95</v>
      </c>
      <c r="F695">
        <f t="shared" si="30"/>
        <v>9.5000000000000001E-2</v>
      </c>
    </row>
    <row r="696" spans="4:6" x14ac:dyDescent="0.2">
      <c r="D696">
        <v>80</v>
      </c>
      <c r="F696">
        <f t="shared" si="30"/>
        <v>0.08</v>
      </c>
    </row>
    <row r="697" spans="4:6" x14ac:dyDescent="0.2">
      <c r="D697">
        <v>308</v>
      </c>
      <c r="F697">
        <f t="shared" si="30"/>
        <v>0.308</v>
      </c>
    </row>
    <row r="698" spans="4:6" x14ac:dyDescent="0.2">
      <c r="D698">
        <v>1076</v>
      </c>
      <c r="F698">
        <f t="shared" si="30"/>
        <v>1.0760000000000001</v>
      </c>
    </row>
    <row r="699" spans="4:6" x14ac:dyDescent="0.2">
      <c r="D699">
        <v>870</v>
      </c>
      <c r="F699">
        <f t="shared" si="30"/>
        <v>0.87</v>
      </c>
    </row>
    <row r="700" spans="4:6" x14ac:dyDescent="0.2">
      <c r="D700">
        <v>70</v>
      </c>
      <c r="F700">
        <f t="shared" si="30"/>
        <v>7.0000000000000007E-2</v>
      </c>
    </row>
    <row r="701" spans="4:6" x14ac:dyDescent="0.2">
      <c r="D701">
        <v>12</v>
      </c>
      <c r="F701">
        <f t="shared" si="30"/>
        <v>1.2E-2</v>
      </c>
    </row>
    <row r="702" spans="4:6" x14ac:dyDescent="0.2">
      <c r="D702">
        <v>4</v>
      </c>
      <c r="F702">
        <f t="shared" si="30"/>
        <v>4.0000000000000001E-3</v>
      </c>
    </row>
    <row r="703" spans="4:6" x14ac:dyDescent="0.2">
      <c r="D703">
        <v>2000000</v>
      </c>
      <c r="F703">
        <f t="shared" si="30"/>
        <v>2000</v>
      </c>
    </row>
    <row r="704" spans="4:6" x14ac:dyDescent="0.2">
      <c r="D704">
        <v>11000000</v>
      </c>
      <c r="F704">
        <f t="shared" si="30"/>
        <v>11000</v>
      </c>
    </row>
    <row r="705" spans="4:6" x14ac:dyDescent="0.2">
      <c r="D705">
        <v>26000000</v>
      </c>
      <c r="F705">
        <f t="shared" si="30"/>
        <v>26000</v>
      </c>
    </row>
    <row r="706" spans="4:6" x14ac:dyDescent="0.2">
      <c r="D706">
        <v>0</v>
      </c>
      <c r="F706">
        <f t="shared" si="30"/>
        <v>0</v>
      </c>
    </row>
    <row r="707" spans="4:6" x14ac:dyDescent="0.2">
      <c r="D707">
        <v>0.3</v>
      </c>
      <c r="F707">
        <f t="shared" si="30"/>
        <v>2.9999999999999997E-4</v>
      </c>
    </row>
    <row r="708" spans="4:6" x14ac:dyDescent="0.2">
      <c r="D708">
        <v>1.3</v>
      </c>
      <c r="F708">
        <f t="shared" si="30"/>
        <v>1.2999999999999999E-3</v>
      </c>
    </row>
    <row r="709" spans="4:6" x14ac:dyDescent="0.2">
      <c r="D709">
        <v>205</v>
      </c>
      <c r="F709">
        <f t="shared" si="30"/>
        <v>0.20499999999999999</v>
      </c>
    </row>
    <row r="710" spans="4:6" x14ac:dyDescent="0.2">
      <c r="D710">
        <v>38</v>
      </c>
      <c r="F710">
        <f t="shared" si="30"/>
        <v>3.7999999999999999E-2</v>
      </c>
    </row>
    <row r="711" spans="4:6" x14ac:dyDescent="0.2">
      <c r="D711">
        <v>999</v>
      </c>
      <c r="F711">
        <f t="shared" si="30"/>
        <v>0.999</v>
      </c>
    </row>
    <row r="712" spans="4:6" x14ac:dyDescent="0.2">
      <c r="D712">
        <v>1499</v>
      </c>
      <c r="F712">
        <f t="shared" si="30"/>
        <v>1.4990000000000001</v>
      </c>
    </row>
    <row r="713" spans="4:6" x14ac:dyDescent="0.2">
      <c r="D713">
        <v>1998</v>
      </c>
      <c r="F713">
        <f t="shared" si="30"/>
        <v>1.998</v>
      </c>
    </row>
    <row r="714" spans="4:6" x14ac:dyDescent="0.2">
      <c r="D714">
        <v>999</v>
      </c>
      <c r="F714">
        <f t="shared" si="30"/>
        <v>0.999</v>
      </c>
    </row>
    <row r="715" spans="4:6" x14ac:dyDescent="0.2">
      <c r="D715">
        <v>2664</v>
      </c>
      <c r="F715">
        <f t="shared" si="30"/>
        <v>2.6640000000000001</v>
      </c>
    </row>
    <row r="716" spans="4:6" x14ac:dyDescent="0.2">
      <c r="D716">
        <v>3996</v>
      </c>
      <c r="F716">
        <f t="shared" si="30"/>
        <v>3.996</v>
      </c>
    </row>
    <row r="717" spans="4:6" x14ac:dyDescent="0.2">
      <c r="D717">
        <v>999</v>
      </c>
      <c r="F717">
        <f t="shared" si="30"/>
        <v>0.999</v>
      </c>
    </row>
    <row r="718" spans="4:6" x14ac:dyDescent="0.2">
      <c r="D718">
        <v>1998</v>
      </c>
      <c r="F718">
        <f t="shared" si="30"/>
        <v>1.998</v>
      </c>
    </row>
    <row r="719" spans="4:6" x14ac:dyDescent="0.2">
      <c r="D719">
        <v>3663</v>
      </c>
      <c r="F719">
        <f t="shared" si="30"/>
        <v>3.6629999999999998</v>
      </c>
    </row>
    <row r="720" spans="4:6" x14ac:dyDescent="0.2">
      <c r="D720">
        <v>1998</v>
      </c>
      <c r="F720">
        <f t="shared" si="30"/>
        <v>1.998</v>
      </c>
    </row>
    <row r="721" spans="4:6" x14ac:dyDescent="0.2">
      <c r="D721">
        <v>2830</v>
      </c>
      <c r="F721">
        <f t="shared" si="30"/>
        <v>2.83</v>
      </c>
    </row>
    <row r="722" spans="4:6" x14ac:dyDescent="0.2">
      <c r="D722">
        <v>3330</v>
      </c>
      <c r="F722">
        <f t="shared" si="30"/>
        <v>3.33</v>
      </c>
    </row>
    <row r="723" spans="4:6" x14ac:dyDescent="0.2">
      <c r="D723">
        <v>1332</v>
      </c>
      <c r="F723">
        <f t="shared" si="30"/>
        <v>1.3320000000000001</v>
      </c>
    </row>
    <row r="724" spans="4:6" x14ac:dyDescent="0.2">
      <c r="D724">
        <v>5328</v>
      </c>
      <c r="F724">
        <f t="shared" si="30"/>
        <v>5.3280000000000003</v>
      </c>
    </row>
    <row r="725" spans="4:6" x14ac:dyDescent="0.2">
      <c r="D725">
        <v>6327</v>
      </c>
      <c r="F725">
        <f t="shared" si="30"/>
        <v>6.327</v>
      </c>
    </row>
    <row r="726" spans="4:6" x14ac:dyDescent="0.2">
      <c r="D726">
        <v>1998</v>
      </c>
      <c r="F726">
        <f t="shared" si="30"/>
        <v>1.998</v>
      </c>
    </row>
    <row r="727" spans="4:6" x14ac:dyDescent="0.2">
      <c r="D727">
        <v>3330</v>
      </c>
      <c r="F727">
        <f t="shared" si="30"/>
        <v>3.33</v>
      </c>
    </row>
    <row r="728" spans="4:6" x14ac:dyDescent="0.2">
      <c r="D728">
        <v>3996</v>
      </c>
      <c r="F728">
        <f t="shared" si="30"/>
        <v>3.996</v>
      </c>
    </row>
    <row r="729" spans="4:6" x14ac:dyDescent="0.2">
      <c r="D729">
        <v>7326</v>
      </c>
      <c r="F729">
        <f t="shared" si="30"/>
        <v>7.3259999999999996</v>
      </c>
    </row>
    <row r="730" spans="4:6" x14ac:dyDescent="0.2">
      <c r="D730">
        <v>7659</v>
      </c>
      <c r="F730">
        <f t="shared" si="30"/>
        <v>7.6589999999999998</v>
      </c>
    </row>
    <row r="731" spans="4:6" x14ac:dyDescent="0.2">
      <c r="D731">
        <v>7992</v>
      </c>
      <c r="F731">
        <f t="shared" si="30"/>
        <v>7.992</v>
      </c>
    </row>
    <row r="732" spans="4:6" x14ac:dyDescent="0.2">
      <c r="D732">
        <v>1998</v>
      </c>
      <c r="F732">
        <f t="shared" si="30"/>
        <v>1.998</v>
      </c>
    </row>
    <row r="733" spans="4:6" x14ac:dyDescent="0.2">
      <c r="D733">
        <v>3330</v>
      </c>
      <c r="F733">
        <f t="shared" si="30"/>
        <v>3.33</v>
      </c>
    </row>
    <row r="734" spans="4:6" x14ac:dyDescent="0.2">
      <c r="D734">
        <v>5328</v>
      </c>
      <c r="F734">
        <f t="shared" si="30"/>
        <v>5.3280000000000003</v>
      </c>
    </row>
    <row r="735" spans="4:6" x14ac:dyDescent="0.2">
      <c r="D735">
        <v>2331</v>
      </c>
      <c r="F735">
        <f t="shared" ref="F735:F793" si="31">D735/1000</f>
        <v>2.331</v>
      </c>
    </row>
    <row r="736" spans="4:6" x14ac:dyDescent="0.2">
      <c r="D736">
        <v>2997</v>
      </c>
      <c r="F736">
        <f t="shared" si="31"/>
        <v>2.9969999999999999</v>
      </c>
    </row>
    <row r="737" spans="4:6" x14ac:dyDescent="0.2">
      <c r="D737">
        <v>5994</v>
      </c>
      <c r="F737">
        <f t="shared" si="31"/>
        <v>5.9939999999999998</v>
      </c>
    </row>
    <row r="738" spans="4:6" x14ac:dyDescent="0.2">
      <c r="D738">
        <v>1998</v>
      </c>
      <c r="F738">
        <f t="shared" si="31"/>
        <v>1.998</v>
      </c>
    </row>
    <row r="739" spans="4:6" x14ac:dyDescent="0.2">
      <c r="D739">
        <v>3996</v>
      </c>
      <c r="F739">
        <f t="shared" si="31"/>
        <v>3.996</v>
      </c>
    </row>
    <row r="740" spans="4:6" x14ac:dyDescent="0.2">
      <c r="D740">
        <v>8658</v>
      </c>
      <c r="F740">
        <f t="shared" si="31"/>
        <v>8.6579999999999995</v>
      </c>
    </row>
    <row r="741" spans="4:6" x14ac:dyDescent="0.2">
      <c r="D741">
        <v>1665</v>
      </c>
      <c r="F741">
        <f t="shared" si="31"/>
        <v>1.665</v>
      </c>
    </row>
    <row r="742" spans="4:6" x14ac:dyDescent="0.2">
      <c r="D742">
        <v>2831</v>
      </c>
      <c r="F742">
        <f t="shared" si="31"/>
        <v>2.831</v>
      </c>
    </row>
    <row r="743" spans="4:6" x14ac:dyDescent="0.2">
      <c r="D743">
        <v>5994</v>
      </c>
      <c r="F743">
        <f t="shared" si="31"/>
        <v>5.9939999999999998</v>
      </c>
    </row>
    <row r="744" spans="4:6" x14ac:dyDescent="0.2">
      <c r="D744">
        <v>333</v>
      </c>
      <c r="F744">
        <f t="shared" si="31"/>
        <v>0.33300000000000002</v>
      </c>
    </row>
    <row r="745" spans="4:6" x14ac:dyDescent="0.2">
      <c r="D745">
        <v>2498</v>
      </c>
      <c r="F745">
        <f t="shared" si="31"/>
        <v>2.4980000000000002</v>
      </c>
    </row>
    <row r="746" spans="4:6" x14ac:dyDescent="0.2">
      <c r="D746">
        <v>4662</v>
      </c>
      <c r="F746">
        <f t="shared" si="31"/>
        <v>4.6619999999999999</v>
      </c>
    </row>
    <row r="747" spans="4:6" x14ac:dyDescent="0.2">
      <c r="D747">
        <v>333</v>
      </c>
      <c r="F747">
        <f t="shared" si="31"/>
        <v>0.33300000000000002</v>
      </c>
    </row>
    <row r="748" spans="4:6" x14ac:dyDescent="0.2">
      <c r="D748">
        <v>999</v>
      </c>
      <c r="F748">
        <f t="shared" si="31"/>
        <v>0.999</v>
      </c>
    </row>
    <row r="749" spans="4:6" x14ac:dyDescent="0.2">
      <c r="D749">
        <v>2331</v>
      </c>
      <c r="F749">
        <f t="shared" si="31"/>
        <v>2.331</v>
      </c>
    </row>
    <row r="750" spans="4:6" x14ac:dyDescent="0.2">
      <c r="D750">
        <v>0</v>
      </c>
      <c r="F750">
        <f t="shared" si="31"/>
        <v>0</v>
      </c>
    </row>
    <row r="751" spans="4:6" x14ac:dyDescent="0.2">
      <c r="D751">
        <v>500</v>
      </c>
      <c r="F751">
        <f t="shared" si="31"/>
        <v>0.5</v>
      </c>
    </row>
    <row r="752" spans="4:6" x14ac:dyDescent="0.2">
      <c r="D752">
        <v>1332</v>
      </c>
      <c r="F752">
        <f t="shared" si="31"/>
        <v>1.3320000000000001</v>
      </c>
    </row>
    <row r="753" spans="4:6" x14ac:dyDescent="0.2">
      <c r="D753">
        <v>0</v>
      </c>
      <c r="F753">
        <f t="shared" si="31"/>
        <v>0</v>
      </c>
    </row>
    <row r="754" spans="4:6" x14ac:dyDescent="0.2">
      <c r="D754">
        <v>999</v>
      </c>
      <c r="F754">
        <f t="shared" si="31"/>
        <v>0.999</v>
      </c>
    </row>
    <row r="755" spans="4:6" x14ac:dyDescent="0.2">
      <c r="D755">
        <v>1332</v>
      </c>
      <c r="F755">
        <f t="shared" si="31"/>
        <v>1.3320000000000001</v>
      </c>
    </row>
    <row r="756" spans="4:6" x14ac:dyDescent="0.2">
      <c r="D756">
        <v>999</v>
      </c>
      <c r="F756">
        <f t="shared" si="31"/>
        <v>0.999</v>
      </c>
    </row>
    <row r="757" spans="4:6" x14ac:dyDescent="0.2">
      <c r="D757">
        <v>2664</v>
      </c>
      <c r="F757">
        <f t="shared" si="31"/>
        <v>2.6640000000000001</v>
      </c>
    </row>
    <row r="758" spans="4:6" x14ac:dyDescent="0.2">
      <c r="D758">
        <v>2664</v>
      </c>
      <c r="F758">
        <f t="shared" si="31"/>
        <v>2.6640000000000001</v>
      </c>
    </row>
    <row r="759" spans="4:6" x14ac:dyDescent="0.2">
      <c r="D759">
        <v>0</v>
      </c>
      <c r="F759">
        <f t="shared" si="31"/>
        <v>0</v>
      </c>
    </row>
    <row r="760" spans="4:6" x14ac:dyDescent="0.2">
      <c r="D760">
        <v>71000</v>
      </c>
      <c r="F760">
        <f t="shared" si="31"/>
        <v>71</v>
      </c>
    </row>
    <row r="761" spans="4:6" x14ac:dyDescent="0.2">
      <c r="D761">
        <v>165000</v>
      </c>
      <c r="F761">
        <f t="shared" si="31"/>
        <v>165</v>
      </c>
    </row>
    <row r="762" spans="4:6" x14ac:dyDescent="0.2">
      <c r="D762">
        <v>53000</v>
      </c>
      <c r="F762">
        <f t="shared" si="31"/>
        <v>53</v>
      </c>
    </row>
    <row r="763" spans="4:6" x14ac:dyDescent="0.2">
      <c r="D763">
        <v>145000</v>
      </c>
      <c r="F763">
        <f t="shared" si="31"/>
        <v>145</v>
      </c>
    </row>
    <row r="764" spans="4:6" x14ac:dyDescent="0.2">
      <c r="D764">
        <v>528000</v>
      </c>
      <c r="F764">
        <f t="shared" si="31"/>
        <v>528</v>
      </c>
    </row>
    <row r="765" spans="4:6" x14ac:dyDescent="0.2">
      <c r="D765">
        <v>13470</v>
      </c>
      <c r="F765">
        <f t="shared" si="31"/>
        <v>13.47</v>
      </c>
    </row>
    <row r="766" spans="4:6" x14ac:dyDescent="0.2">
      <c r="D766">
        <v>26070</v>
      </c>
      <c r="F766">
        <f t="shared" si="31"/>
        <v>26.07</v>
      </c>
    </row>
    <row r="767" spans="4:6" x14ac:dyDescent="0.2">
      <c r="D767">
        <v>42960</v>
      </c>
      <c r="F767">
        <f t="shared" si="31"/>
        <v>42.96</v>
      </c>
    </row>
    <row r="768" spans="4:6" x14ac:dyDescent="0.2">
      <c r="D768">
        <v>7100</v>
      </c>
      <c r="F768">
        <f t="shared" si="31"/>
        <v>7.1</v>
      </c>
    </row>
    <row r="769" spans="4:6" x14ac:dyDescent="0.2">
      <c r="D769">
        <v>12050</v>
      </c>
      <c r="F769">
        <f t="shared" si="31"/>
        <v>12.05</v>
      </c>
    </row>
    <row r="770" spans="4:6" x14ac:dyDescent="0.2">
      <c r="D770">
        <v>26630</v>
      </c>
      <c r="F770">
        <f t="shared" si="31"/>
        <v>26.63</v>
      </c>
    </row>
    <row r="771" spans="4:6" x14ac:dyDescent="0.2">
      <c r="D771">
        <v>8180</v>
      </c>
      <c r="F771">
        <f t="shared" si="31"/>
        <v>8.18</v>
      </c>
    </row>
    <row r="772" spans="4:6" x14ac:dyDescent="0.2">
      <c r="D772">
        <v>14440</v>
      </c>
      <c r="F772">
        <f t="shared" si="31"/>
        <v>14.44</v>
      </c>
    </row>
    <row r="773" spans="4:6" x14ac:dyDescent="0.2">
      <c r="D773">
        <v>18100</v>
      </c>
      <c r="F773">
        <f t="shared" si="31"/>
        <v>18.100000000000001</v>
      </c>
    </row>
    <row r="774" spans="4:6" x14ac:dyDescent="0.2">
      <c r="D774">
        <v>80</v>
      </c>
      <c r="F774">
        <f t="shared" si="31"/>
        <v>0.08</v>
      </c>
    </row>
    <row r="775" spans="4:6" x14ac:dyDescent="0.2">
      <c r="D775">
        <v>187</v>
      </c>
      <c r="F775">
        <f t="shared" si="31"/>
        <v>0.187</v>
      </c>
    </row>
    <row r="776" spans="4:6" x14ac:dyDescent="0.2">
      <c r="D776">
        <v>87</v>
      </c>
      <c r="F776">
        <f t="shared" si="31"/>
        <v>8.6999999999999994E-2</v>
      </c>
    </row>
    <row r="777" spans="4:6" x14ac:dyDescent="0.2">
      <c r="D777">
        <v>163</v>
      </c>
      <c r="F777">
        <f t="shared" si="31"/>
        <v>0.16300000000000001</v>
      </c>
    </row>
    <row r="778" spans="4:6" x14ac:dyDescent="0.2">
      <c r="D778">
        <v>75</v>
      </c>
      <c r="F778">
        <f t="shared" si="31"/>
        <v>7.4999999999999997E-2</v>
      </c>
    </row>
    <row r="779" spans="4:6" x14ac:dyDescent="0.2">
      <c r="D779">
        <v>43000</v>
      </c>
      <c r="F779">
        <f t="shared" si="31"/>
        <v>43</v>
      </c>
    </row>
    <row r="780" spans="4:6" x14ac:dyDescent="0.2">
      <c r="D780">
        <v>620000</v>
      </c>
      <c r="F780">
        <f t="shared" si="31"/>
        <v>620</v>
      </c>
    </row>
    <row r="781" spans="4:6" x14ac:dyDescent="0.2">
      <c r="D781">
        <v>96000</v>
      </c>
      <c r="F781">
        <f t="shared" si="31"/>
        <v>96</v>
      </c>
    </row>
    <row r="782" spans="4:6" x14ac:dyDescent="0.2">
      <c r="D782">
        <v>690000</v>
      </c>
      <c r="F782">
        <f t="shared" si="31"/>
        <v>690</v>
      </c>
    </row>
    <row r="783" spans="4:6" x14ac:dyDescent="0.2">
      <c r="D783">
        <v>22000</v>
      </c>
      <c r="F783">
        <f t="shared" si="31"/>
        <v>22</v>
      </c>
    </row>
    <row r="784" spans="4:6" x14ac:dyDescent="0.2">
      <c r="D784">
        <v>200000</v>
      </c>
      <c r="F784">
        <f t="shared" si="31"/>
        <v>200</v>
      </c>
    </row>
    <row r="785" spans="1:8" x14ac:dyDescent="0.2">
      <c r="D785">
        <v>0</v>
      </c>
      <c r="F785">
        <f t="shared" si="31"/>
        <v>0</v>
      </c>
    </row>
    <row r="786" spans="1:8" x14ac:dyDescent="0.2">
      <c r="D786">
        <v>310</v>
      </c>
      <c r="F786">
        <f t="shared" si="31"/>
        <v>0.31</v>
      </c>
    </row>
    <row r="787" spans="1:8" x14ac:dyDescent="0.2">
      <c r="D787">
        <v>2760</v>
      </c>
      <c r="F787">
        <f t="shared" si="31"/>
        <v>2.76</v>
      </c>
    </row>
    <row r="788" spans="1:8" x14ac:dyDescent="0.2">
      <c r="D788">
        <v>1250</v>
      </c>
      <c r="F788">
        <f t="shared" si="31"/>
        <v>1.25</v>
      </c>
    </row>
    <row r="789" spans="1:8" x14ac:dyDescent="0.2">
      <c r="D789">
        <v>1240</v>
      </c>
      <c r="F789">
        <f t="shared" si="31"/>
        <v>1.24</v>
      </c>
    </row>
    <row r="790" spans="1:8" x14ac:dyDescent="0.2">
      <c r="A790" t="s">
        <v>202</v>
      </c>
      <c r="B790">
        <v>2023</v>
      </c>
      <c r="C790" t="s">
        <v>0</v>
      </c>
      <c r="D790">
        <v>3.7</v>
      </c>
      <c r="E790" t="s">
        <v>195</v>
      </c>
      <c r="F790">
        <f t="shared" si="31"/>
        <v>3.7000000000000002E-3</v>
      </c>
      <c r="H790" t="s">
        <v>285</v>
      </c>
    </row>
    <row r="791" spans="1:8" x14ac:dyDescent="0.2">
      <c r="D791">
        <v>320</v>
      </c>
      <c r="F791">
        <f t="shared" si="31"/>
        <v>0.32</v>
      </c>
    </row>
    <row r="792" spans="1:8" x14ac:dyDescent="0.2">
      <c r="D792">
        <v>12560</v>
      </c>
      <c r="F792">
        <f t="shared" si="31"/>
        <v>12.56</v>
      </c>
    </row>
    <row r="793" spans="1:8" x14ac:dyDescent="0.2">
      <c r="A793" t="s">
        <v>287</v>
      </c>
      <c r="B793">
        <v>2018</v>
      </c>
      <c r="C793" t="s">
        <v>0</v>
      </c>
      <c r="D793">
        <v>0.34</v>
      </c>
      <c r="E793" t="s">
        <v>195</v>
      </c>
      <c r="F793">
        <f t="shared" si="31"/>
        <v>3.4000000000000002E-4</v>
      </c>
      <c r="H793" t="s">
        <v>286</v>
      </c>
    </row>
    <row r="794" spans="1:8" x14ac:dyDescent="0.2">
      <c r="A794" t="s">
        <v>289</v>
      </c>
      <c r="B794">
        <v>2024</v>
      </c>
      <c r="C794" t="s">
        <v>0</v>
      </c>
      <c r="D794">
        <v>20.6</v>
      </c>
      <c r="E794" t="s">
        <v>216</v>
      </c>
      <c r="F794">
        <f>D794</f>
        <v>20.6</v>
      </c>
      <c r="H794" t="s">
        <v>288</v>
      </c>
    </row>
    <row r="795" spans="1:8" x14ac:dyDescent="0.2">
      <c r="D795">
        <v>21.1</v>
      </c>
      <c r="F795">
        <f t="shared" ref="F795:F811" si="32">D795</f>
        <v>21.1</v>
      </c>
    </row>
    <row r="796" spans="1:8" x14ac:dyDescent="0.2">
      <c r="D796">
        <v>20.399999999999999</v>
      </c>
      <c r="F796">
        <f t="shared" si="32"/>
        <v>20.399999999999999</v>
      </c>
    </row>
    <row r="797" spans="1:8" x14ac:dyDescent="0.2">
      <c r="D797">
        <v>20.8</v>
      </c>
      <c r="F797">
        <f t="shared" si="32"/>
        <v>20.8</v>
      </c>
    </row>
    <row r="798" spans="1:8" x14ac:dyDescent="0.2">
      <c r="D798">
        <v>20.9</v>
      </c>
      <c r="F798">
        <f t="shared" si="32"/>
        <v>20.9</v>
      </c>
    </row>
    <row r="799" spans="1:8" x14ac:dyDescent="0.2">
      <c r="D799">
        <v>21.8</v>
      </c>
      <c r="F799">
        <f t="shared" si="32"/>
        <v>21.8</v>
      </c>
    </row>
    <row r="800" spans="1:8" x14ac:dyDescent="0.2">
      <c r="D800">
        <v>23.4</v>
      </c>
      <c r="F800">
        <f t="shared" si="32"/>
        <v>23.4</v>
      </c>
    </row>
    <row r="801" spans="1:8" x14ac:dyDescent="0.2">
      <c r="D801">
        <v>20.100000000000001</v>
      </c>
      <c r="F801">
        <f t="shared" si="32"/>
        <v>20.100000000000001</v>
      </c>
    </row>
    <row r="802" spans="1:8" x14ac:dyDescent="0.2">
      <c r="D802">
        <v>20.100000000000001</v>
      </c>
      <c r="F802">
        <f t="shared" si="32"/>
        <v>20.100000000000001</v>
      </c>
    </row>
    <row r="803" spans="1:8" x14ac:dyDescent="0.2">
      <c r="D803">
        <v>21.1</v>
      </c>
      <c r="F803">
        <f t="shared" si="32"/>
        <v>21.1</v>
      </c>
    </row>
    <row r="804" spans="1:8" x14ac:dyDescent="0.2">
      <c r="D804">
        <v>21.4</v>
      </c>
      <c r="F804">
        <f t="shared" si="32"/>
        <v>21.4</v>
      </c>
    </row>
    <row r="805" spans="1:8" x14ac:dyDescent="0.2">
      <c r="D805">
        <v>21.5</v>
      </c>
      <c r="F805">
        <f t="shared" si="32"/>
        <v>21.5</v>
      </c>
    </row>
    <row r="806" spans="1:8" x14ac:dyDescent="0.2">
      <c r="D806">
        <v>19.399999999999999</v>
      </c>
      <c r="F806">
        <f t="shared" si="32"/>
        <v>19.399999999999999</v>
      </c>
    </row>
    <row r="807" spans="1:8" x14ac:dyDescent="0.2">
      <c r="D807">
        <v>18.899999999999999</v>
      </c>
      <c r="F807">
        <f t="shared" si="32"/>
        <v>18.899999999999999</v>
      </c>
    </row>
    <row r="808" spans="1:8" x14ac:dyDescent="0.2">
      <c r="D808">
        <v>21.9</v>
      </c>
      <c r="F808">
        <f t="shared" si="32"/>
        <v>21.9</v>
      </c>
    </row>
    <row r="809" spans="1:8" x14ac:dyDescent="0.2">
      <c r="D809">
        <v>16.600000000000001</v>
      </c>
      <c r="F809">
        <f t="shared" si="32"/>
        <v>16.600000000000001</v>
      </c>
    </row>
    <row r="810" spans="1:8" x14ac:dyDescent="0.2">
      <c r="D810">
        <v>17.399999999999999</v>
      </c>
      <c r="F810">
        <f t="shared" si="32"/>
        <v>17.399999999999999</v>
      </c>
    </row>
    <row r="811" spans="1:8" x14ac:dyDescent="0.2">
      <c r="D811">
        <v>17.399999999999999</v>
      </c>
      <c r="F811">
        <f t="shared" si="32"/>
        <v>17.399999999999999</v>
      </c>
    </row>
    <row r="812" spans="1:8" x14ac:dyDescent="0.2">
      <c r="A812" t="s">
        <v>291</v>
      </c>
      <c r="B812">
        <v>2018</v>
      </c>
      <c r="C812" t="s">
        <v>270</v>
      </c>
      <c r="D812">
        <v>20</v>
      </c>
      <c r="E812" t="s">
        <v>292</v>
      </c>
      <c r="F812">
        <f>D812*1000/1000</f>
        <v>20</v>
      </c>
      <c r="H812" t="s">
        <v>290</v>
      </c>
    </row>
    <row r="813" spans="1:8" x14ac:dyDescent="0.2">
      <c r="D813">
        <v>11.3</v>
      </c>
      <c r="F813">
        <f t="shared" ref="F813:F859" si="33">D813*1000/1000</f>
        <v>11.3</v>
      </c>
    </row>
    <row r="814" spans="1:8" x14ac:dyDescent="0.2">
      <c r="D814">
        <v>15.1</v>
      </c>
      <c r="F814">
        <f t="shared" si="33"/>
        <v>15.1</v>
      </c>
    </row>
    <row r="815" spans="1:8" x14ac:dyDescent="0.2">
      <c r="D815">
        <v>13.8</v>
      </c>
      <c r="F815">
        <f t="shared" si="33"/>
        <v>13.8</v>
      </c>
    </row>
    <row r="816" spans="1:8" x14ac:dyDescent="0.2">
      <c r="D816">
        <v>7.6</v>
      </c>
      <c r="F816">
        <f t="shared" si="33"/>
        <v>7.6</v>
      </c>
    </row>
    <row r="817" spans="4:6" x14ac:dyDescent="0.2">
      <c r="D817">
        <v>26.7</v>
      </c>
      <c r="F817">
        <f t="shared" si="33"/>
        <v>26.7</v>
      </c>
    </row>
    <row r="818" spans="4:6" x14ac:dyDescent="0.2">
      <c r="D818">
        <v>23.2</v>
      </c>
      <c r="F818">
        <f t="shared" si="33"/>
        <v>23.2</v>
      </c>
    </row>
    <row r="819" spans="4:6" x14ac:dyDescent="0.2">
      <c r="D819">
        <v>27.3</v>
      </c>
      <c r="F819">
        <f t="shared" si="33"/>
        <v>27.3</v>
      </c>
    </row>
    <row r="820" spans="4:6" x14ac:dyDescent="0.2">
      <c r="D820">
        <v>7</v>
      </c>
      <c r="F820">
        <f t="shared" si="33"/>
        <v>7</v>
      </c>
    </row>
    <row r="821" spans="4:6" x14ac:dyDescent="0.2">
      <c r="D821">
        <v>8.5</v>
      </c>
      <c r="F821">
        <f t="shared" si="33"/>
        <v>8.5</v>
      </c>
    </row>
    <row r="822" spans="4:6" x14ac:dyDescent="0.2">
      <c r="D822">
        <v>14.2</v>
      </c>
      <c r="F822">
        <f t="shared" si="33"/>
        <v>14.2</v>
      </c>
    </row>
    <row r="823" spans="4:6" x14ac:dyDescent="0.2">
      <c r="D823">
        <v>20.9</v>
      </c>
      <c r="F823">
        <f t="shared" si="33"/>
        <v>20.9</v>
      </c>
    </row>
    <row r="824" spans="4:6" x14ac:dyDescent="0.2">
      <c r="D824">
        <v>10.3</v>
      </c>
      <c r="F824">
        <f t="shared" si="33"/>
        <v>10.3</v>
      </c>
    </row>
    <row r="825" spans="4:6" x14ac:dyDescent="0.2">
      <c r="D825">
        <v>48.2</v>
      </c>
      <c r="F825">
        <f t="shared" si="33"/>
        <v>48.2</v>
      </c>
    </row>
    <row r="826" spans="4:6" x14ac:dyDescent="0.2">
      <c r="D826">
        <v>10.9</v>
      </c>
      <c r="F826">
        <f t="shared" si="33"/>
        <v>10.9</v>
      </c>
    </row>
    <row r="827" spans="4:6" x14ac:dyDescent="0.2">
      <c r="D827">
        <v>21</v>
      </c>
      <c r="F827">
        <f t="shared" si="33"/>
        <v>21</v>
      </c>
    </row>
    <row r="828" spans="4:6" x14ac:dyDescent="0.2">
      <c r="D828">
        <v>17.2</v>
      </c>
      <c r="F828">
        <f t="shared" si="33"/>
        <v>17.2</v>
      </c>
    </row>
    <row r="829" spans="4:6" x14ac:dyDescent="0.2">
      <c r="D829">
        <v>39.700000000000003</v>
      </c>
      <c r="F829">
        <f t="shared" si="33"/>
        <v>39.700000000000003</v>
      </c>
    </row>
    <row r="830" spans="4:6" x14ac:dyDescent="0.2">
      <c r="D830">
        <v>18.899999999999999</v>
      </c>
      <c r="F830">
        <f t="shared" si="33"/>
        <v>18.899999999999999</v>
      </c>
    </row>
    <row r="831" spans="4:6" x14ac:dyDescent="0.2">
      <c r="D831">
        <v>21.3</v>
      </c>
      <c r="F831">
        <f t="shared" si="33"/>
        <v>21.3</v>
      </c>
    </row>
    <row r="832" spans="4:6" x14ac:dyDescent="0.2">
      <c r="D832">
        <v>19.3</v>
      </c>
      <c r="F832">
        <f t="shared" si="33"/>
        <v>19.3</v>
      </c>
    </row>
    <row r="833" spans="4:6" x14ac:dyDescent="0.2">
      <c r="D833">
        <v>43.2</v>
      </c>
      <c r="F833">
        <f t="shared" si="33"/>
        <v>43.2</v>
      </c>
    </row>
    <row r="834" spans="4:6" x14ac:dyDescent="0.2">
      <c r="D834">
        <v>5.4</v>
      </c>
      <c r="F834">
        <f t="shared" si="33"/>
        <v>5.4</v>
      </c>
    </row>
    <row r="835" spans="4:6" x14ac:dyDescent="0.2">
      <c r="D835">
        <v>23.7</v>
      </c>
      <c r="F835">
        <f t="shared" si="33"/>
        <v>23.7</v>
      </c>
    </row>
    <row r="836" spans="4:6" x14ac:dyDescent="0.2">
      <c r="D836">
        <v>18.3</v>
      </c>
      <c r="F836">
        <f t="shared" si="33"/>
        <v>18.3</v>
      </c>
    </row>
    <row r="837" spans="4:6" x14ac:dyDescent="0.2">
      <c r="D837">
        <v>46.2</v>
      </c>
      <c r="F837">
        <f t="shared" si="33"/>
        <v>46.2</v>
      </c>
    </row>
    <row r="838" spans="4:6" x14ac:dyDescent="0.2">
      <c r="D838">
        <v>14.3</v>
      </c>
      <c r="F838">
        <f t="shared" si="33"/>
        <v>14.3</v>
      </c>
    </row>
    <row r="839" spans="4:6" x14ac:dyDescent="0.2">
      <c r="D839">
        <v>36.5</v>
      </c>
      <c r="F839">
        <f t="shared" si="33"/>
        <v>36.5</v>
      </c>
    </row>
    <row r="840" spans="4:6" x14ac:dyDescent="0.2">
      <c r="D840">
        <v>28</v>
      </c>
      <c r="F840">
        <f t="shared" si="33"/>
        <v>28</v>
      </c>
    </row>
    <row r="841" spans="4:6" x14ac:dyDescent="0.2">
      <c r="D841">
        <v>49.1</v>
      </c>
      <c r="F841">
        <f t="shared" si="33"/>
        <v>49.1</v>
      </c>
    </row>
    <row r="842" spans="4:6" x14ac:dyDescent="0.2">
      <c r="D842">
        <v>45.7</v>
      </c>
      <c r="F842">
        <f t="shared" si="33"/>
        <v>45.7</v>
      </c>
    </row>
    <row r="843" spans="4:6" x14ac:dyDescent="0.2">
      <c r="D843">
        <v>17.100000000000001</v>
      </c>
      <c r="F843">
        <f t="shared" si="33"/>
        <v>17.100000000000001</v>
      </c>
    </row>
    <row r="844" spans="4:6" x14ac:dyDescent="0.2">
      <c r="D844">
        <v>43.2</v>
      </c>
      <c r="F844">
        <f t="shared" si="33"/>
        <v>43.2</v>
      </c>
    </row>
    <row r="845" spans="4:6" x14ac:dyDescent="0.2">
      <c r="D845">
        <v>18</v>
      </c>
      <c r="F845">
        <f t="shared" si="33"/>
        <v>18</v>
      </c>
    </row>
    <row r="846" spans="4:6" x14ac:dyDescent="0.2">
      <c r="D846">
        <v>12.6</v>
      </c>
      <c r="F846">
        <f t="shared" si="33"/>
        <v>12.6</v>
      </c>
    </row>
    <row r="847" spans="4:6" x14ac:dyDescent="0.2">
      <c r="D847">
        <v>37.5</v>
      </c>
      <c r="F847">
        <f t="shared" si="33"/>
        <v>37.5</v>
      </c>
    </row>
    <row r="848" spans="4:6" x14ac:dyDescent="0.2">
      <c r="D848">
        <v>31</v>
      </c>
      <c r="F848">
        <f t="shared" si="33"/>
        <v>31</v>
      </c>
    </row>
    <row r="849" spans="4:6" x14ac:dyDescent="0.2">
      <c r="D849">
        <v>54.6</v>
      </c>
      <c r="F849">
        <f t="shared" si="33"/>
        <v>54.6</v>
      </c>
    </row>
    <row r="850" spans="4:6" x14ac:dyDescent="0.2">
      <c r="D850">
        <v>10.199999999999999</v>
      </c>
      <c r="F850">
        <f t="shared" si="33"/>
        <v>10.199999999999999</v>
      </c>
    </row>
    <row r="851" spans="4:6" x14ac:dyDescent="0.2">
      <c r="D851">
        <v>18.899999999999999</v>
      </c>
      <c r="F851">
        <f t="shared" si="33"/>
        <v>18.899999999999999</v>
      </c>
    </row>
    <row r="852" spans="4:6" x14ac:dyDescent="0.2">
      <c r="D852">
        <v>56.4</v>
      </c>
      <c r="F852">
        <f t="shared" si="33"/>
        <v>56.4</v>
      </c>
    </row>
    <row r="853" spans="4:6" x14ac:dyDescent="0.2">
      <c r="D853">
        <v>1.6</v>
      </c>
      <c r="F853">
        <f t="shared" si="33"/>
        <v>1.6</v>
      </c>
    </row>
    <row r="854" spans="4:6" x14ac:dyDescent="0.2">
      <c r="D854">
        <v>20.6</v>
      </c>
      <c r="F854">
        <f t="shared" si="33"/>
        <v>20.6</v>
      </c>
    </row>
    <row r="855" spans="4:6" x14ac:dyDescent="0.2">
      <c r="D855">
        <v>24.4</v>
      </c>
      <c r="F855">
        <f t="shared" si="33"/>
        <v>24.4</v>
      </c>
    </row>
    <row r="856" spans="4:6" x14ac:dyDescent="0.2">
      <c r="D856">
        <v>14.1</v>
      </c>
      <c r="F856">
        <f t="shared" si="33"/>
        <v>14.1</v>
      </c>
    </row>
    <row r="857" spans="4:6" x14ac:dyDescent="0.2">
      <c r="D857">
        <v>25.6</v>
      </c>
      <c r="F857">
        <f t="shared" si="33"/>
        <v>25.6</v>
      </c>
    </row>
    <row r="858" spans="4:6" x14ac:dyDescent="0.2">
      <c r="D858">
        <v>19.600000000000001</v>
      </c>
      <c r="F858">
        <f t="shared" si="33"/>
        <v>19.600000000000001</v>
      </c>
    </row>
    <row r="859" spans="4:6" x14ac:dyDescent="0.2">
      <c r="D859">
        <v>23.6</v>
      </c>
      <c r="F859">
        <f t="shared" si="33"/>
        <v>23.6</v>
      </c>
    </row>
    <row r="860" spans="4:6" x14ac:dyDescent="0.2">
      <c r="D860">
        <v>20</v>
      </c>
      <c r="E860" t="s">
        <v>195</v>
      </c>
      <c r="F860">
        <f>D860/1000</f>
        <v>0.02</v>
      </c>
    </row>
    <row r="861" spans="4:6" x14ac:dyDescent="0.2">
      <c r="D861">
        <v>11</v>
      </c>
      <c r="F861">
        <f t="shared" ref="F861:F880" si="34">D861/1000</f>
        <v>1.0999999999999999E-2</v>
      </c>
    </row>
    <row r="862" spans="4:6" x14ac:dyDescent="0.2">
      <c r="D862">
        <v>234.6</v>
      </c>
      <c r="F862">
        <f t="shared" si="34"/>
        <v>0.2346</v>
      </c>
    </row>
    <row r="863" spans="4:6" x14ac:dyDescent="0.2">
      <c r="D863">
        <v>178</v>
      </c>
      <c r="F863">
        <f t="shared" si="34"/>
        <v>0.17799999999999999</v>
      </c>
    </row>
    <row r="864" spans="4:6" x14ac:dyDescent="0.2">
      <c r="D864">
        <v>544</v>
      </c>
      <c r="F864">
        <f t="shared" si="34"/>
        <v>0.54400000000000004</v>
      </c>
    </row>
    <row r="865" spans="1:8" x14ac:dyDescent="0.2">
      <c r="D865">
        <v>228</v>
      </c>
      <c r="F865">
        <f t="shared" si="34"/>
        <v>0.22800000000000001</v>
      </c>
    </row>
    <row r="866" spans="1:8" x14ac:dyDescent="0.2">
      <c r="D866">
        <v>3763</v>
      </c>
      <c r="F866">
        <f t="shared" si="34"/>
        <v>3.7629999999999999</v>
      </c>
    </row>
    <row r="867" spans="1:8" x14ac:dyDescent="0.2">
      <c r="D867">
        <v>112</v>
      </c>
      <c r="F867">
        <f t="shared" si="34"/>
        <v>0.112</v>
      </c>
    </row>
    <row r="868" spans="1:8" x14ac:dyDescent="0.2">
      <c r="D868">
        <v>266</v>
      </c>
      <c r="F868">
        <f t="shared" si="34"/>
        <v>0.26600000000000001</v>
      </c>
    </row>
    <row r="869" spans="1:8" x14ac:dyDescent="0.2">
      <c r="D869">
        <v>1000</v>
      </c>
      <c r="F869">
        <f t="shared" si="34"/>
        <v>1</v>
      </c>
    </row>
    <row r="870" spans="1:8" x14ac:dyDescent="0.2">
      <c r="D870">
        <v>24000</v>
      </c>
      <c r="F870">
        <f t="shared" si="34"/>
        <v>24</v>
      </c>
    </row>
    <row r="871" spans="1:8" x14ac:dyDescent="0.2">
      <c r="D871">
        <v>4196</v>
      </c>
      <c r="F871">
        <f t="shared" si="34"/>
        <v>4.1959999999999997</v>
      </c>
    </row>
    <row r="872" spans="1:8" x14ac:dyDescent="0.2">
      <c r="D872">
        <v>15385</v>
      </c>
      <c r="F872">
        <f t="shared" si="34"/>
        <v>15.385</v>
      </c>
    </row>
    <row r="873" spans="1:8" x14ac:dyDescent="0.2">
      <c r="D873">
        <v>370</v>
      </c>
      <c r="F873">
        <f t="shared" si="34"/>
        <v>0.37</v>
      </c>
    </row>
    <row r="874" spans="1:8" x14ac:dyDescent="0.2">
      <c r="D874">
        <v>950</v>
      </c>
      <c r="F874">
        <f t="shared" si="34"/>
        <v>0.95</v>
      </c>
    </row>
    <row r="875" spans="1:8" x14ac:dyDescent="0.2">
      <c r="D875">
        <v>16700</v>
      </c>
      <c r="F875">
        <f t="shared" si="34"/>
        <v>16.7</v>
      </c>
    </row>
    <row r="876" spans="1:8" x14ac:dyDescent="0.2">
      <c r="D876">
        <v>1</v>
      </c>
      <c r="F876">
        <f t="shared" si="34"/>
        <v>1E-3</v>
      </c>
    </row>
    <row r="877" spans="1:8" x14ac:dyDescent="0.2">
      <c r="D877">
        <v>4</v>
      </c>
      <c r="F877">
        <f t="shared" si="34"/>
        <v>4.0000000000000001E-3</v>
      </c>
    </row>
    <row r="878" spans="1:8" x14ac:dyDescent="0.2">
      <c r="D878">
        <v>5</v>
      </c>
      <c r="F878">
        <f t="shared" si="34"/>
        <v>5.0000000000000001E-3</v>
      </c>
    </row>
    <row r="879" spans="1:8" x14ac:dyDescent="0.2">
      <c r="A879" t="s">
        <v>202</v>
      </c>
      <c r="B879">
        <v>2018</v>
      </c>
      <c r="C879" t="s">
        <v>0</v>
      </c>
      <c r="D879">
        <v>1.3</v>
      </c>
      <c r="E879" t="s">
        <v>195</v>
      </c>
      <c r="F879">
        <f t="shared" si="34"/>
        <v>1.2999999999999999E-3</v>
      </c>
      <c r="H879" t="s">
        <v>293</v>
      </c>
    </row>
    <row r="880" spans="1:8" x14ac:dyDescent="0.2">
      <c r="D880">
        <v>14712.5</v>
      </c>
      <c r="F880">
        <f t="shared" si="34"/>
        <v>14.7125</v>
      </c>
    </row>
    <row r="881" spans="1:8" x14ac:dyDescent="0.2">
      <c r="A881" t="s">
        <v>295</v>
      </c>
      <c r="B881">
        <v>2022</v>
      </c>
      <c r="C881" t="s">
        <v>270</v>
      </c>
      <c r="D881">
        <v>107.5</v>
      </c>
      <c r="E881" t="s">
        <v>216</v>
      </c>
      <c r="F881">
        <f>D881</f>
        <v>107.5</v>
      </c>
      <c r="G881" s="7"/>
      <c r="H881" t="s">
        <v>294</v>
      </c>
    </row>
    <row r="882" spans="1:8" x14ac:dyDescent="0.2">
      <c r="D882">
        <v>50.2</v>
      </c>
      <c r="F882">
        <f t="shared" ref="F882:F902" si="35">D882</f>
        <v>50.2</v>
      </c>
    </row>
    <row r="883" spans="1:8" x14ac:dyDescent="0.2">
      <c r="D883">
        <v>180.7</v>
      </c>
      <c r="F883">
        <f t="shared" si="35"/>
        <v>180.7</v>
      </c>
    </row>
    <row r="884" spans="1:8" x14ac:dyDescent="0.2">
      <c r="D884">
        <v>286.5</v>
      </c>
      <c r="F884">
        <f t="shared" si="35"/>
        <v>286.5</v>
      </c>
    </row>
    <row r="885" spans="1:8" x14ac:dyDescent="0.2">
      <c r="D885">
        <v>97.2</v>
      </c>
      <c r="F885">
        <f t="shared" si="35"/>
        <v>97.2</v>
      </c>
    </row>
    <row r="886" spans="1:8" x14ac:dyDescent="0.2">
      <c r="D886">
        <v>74.7</v>
      </c>
      <c r="F886">
        <f t="shared" si="35"/>
        <v>74.7</v>
      </c>
    </row>
    <row r="887" spans="1:8" x14ac:dyDescent="0.2">
      <c r="D887">
        <v>37.700000000000003</v>
      </c>
      <c r="F887">
        <f t="shared" si="35"/>
        <v>37.700000000000003</v>
      </c>
    </row>
    <row r="888" spans="1:8" x14ac:dyDescent="0.2">
      <c r="D888">
        <v>169000</v>
      </c>
      <c r="F888">
        <f t="shared" si="35"/>
        <v>169000</v>
      </c>
    </row>
    <row r="889" spans="1:8" x14ac:dyDescent="0.2">
      <c r="D889">
        <v>6</v>
      </c>
      <c r="F889">
        <f t="shared" si="35"/>
        <v>6</v>
      </c>
    </row>
    <row r="890" spans="1:8" x14ac:dyDescent="0.2">
      <c r="D890">
        <v>8.1999999999999993</v>
      </c>
      <c r="F890">
        <f t="shared" si="35"/>
        <v>8.1999999999999993</v>
      </c>
    </row>
    <row r="891" spans="1:8" x14ac:dyDescent="0.2">
      <c r="D891">
        <v>301.39999999999998</v>
      </c>
      <c r="F891">
        <f t="shared" si="35"/>
        <v>301.39999999999998</v>
      </c>
    </row>
    <row r="892" spans="1:8" x14ac:dyDescent="0.2">
      <c r="D892">
        <v>170.9</v>
      </c>
      <c r="F892">
        <f t="shared" si="35"/>
        <v>170.9</v>
      </c>
    </row>
    <row r="893" spans="1:8" x14ac:dyDescent="0.2">
      <c r="D893">
        <v>27.3</v>
      </c>
      <c r="F893">
        <f t="shared" si="35"/>
        <v>27.3</v>
      </c>
    </row>
    <row r="894" spans="1:8" x14ac:dyDescent="0.2">
      <c r="D894">
        <v>1.6</v>
      </c>
      <c r="F894">
        <f t="shared" si="35"/>
        <v>1.6</v>
      </c>
    </row>
    <row r="895" spans="1:8" x14ac:dyDescent="0.2">
      <c r="D895">
        <v>56.4</v>
      </c>
      <c r="F895">
        <f t="shared" si="35"/>
        <v>56.4</v>
      </c>
    </row>
    <row r="896" spans="1:8" x14ac:dyDescent="0.2">
      <c r="D896">
        <v>240.3</v>
      </c>
      <c r="F896">
        <f t="shared" si="35"/>
        <v>240.3</v>
      </c>
    </row>
    <row r="897" spans="1:8" x14ac:dyDescent="0.2">
      <c r="D897">
        <v>16.7</v>
      </c>
      <c r="F897">
        <f t="shared" si="35"/>
        <v>16.7</v>
      </c>
    </row>
    <row r="898" spans="1:8" x14ac:dyDescent="0.2">
      <c r="D898">
        <v>113</v>
      </c>
      <c r="F898">
        <f t="shared" si="35"/>
        <v>113</v>
      </c>
    </row>
    <row r="899" spans="1:8" x14ac:dyDescent="0.2">
      <c r="D899">
        <v>1</v>
      </c>
      <c r="F899">
        <f t="shared" si="35"/>
        <v>1</v>
      </c>
    </row>
    <row r="900" spans="1:8" x14ac:dyDescent="0.2">
      <c r="D900">
        <v>24</v>
      </c>
      <c r="F900">
        <f t="shared" si="35"/>
        <v>24</v>
      </c>
    </row>
    <row r="901" spans="1:8" x14ac:dyDescent="0.2">
      <c r="D901">
        <v>301</v>
      </c>
      <c r="F901">
        <f t="shared" si="35"/>
        <v>301</v>
      </c>
    </row>
    <row r="902" spans="1:8" x14ac:dyDescent="0.2">
      <c r="D902">
        <v>10380</v>
      </c>
      <c r="F902">
        <f t="shared" si="35"/>
        <v>10380</v>
      </c>
    </row>
    <row r="903" spans="1:8" x14ac:dyDescent="0.2">
      <c r="A903" s="3" t="s">
        <v>298</v>
      </c>
      <c r="B903" s="3">
        <v>2021</v>
      </c>
      <c r="C903" s="3" t="s">
        <v>270</v>
      </c>
      <c r="D903" s="3">
        <v>11947</v>
      </c>
      <c r="E903" s="3" t="s">
        <v>195</v>
      </c>
      <c r="F903" s="3">
        <f>D903/1000</f>
        <v>11.946999999999999</v>
      </c>
      <c r="G903" s="8" t="s">
        <v>299</v>
      </c>
      <c r="H903" s="3" t="s">
        <v>297</v>
      </c>
    </row>
    <row r="904" spans="1:8" x14ac:dyDescent="0.2">
      <c r="A904" s="3"/>
      <c r="B904" s="3"/>
      <c r="C904" s="3"/>
      <c r="D904" s="3">
        <v>18802</v>
      </c>
      <c r="E904" s="3"/>
      <c r="F904" s="3">
        <f t="shared" ref="F904:F908" si="36">D904/1000</f>
        <v>18.802</v>
      </c>
      <c r="G904" s="3"/>
      <c r="H904" s="3"/>
    </row>
    <row r="905" spans="1:8" x14ac:dyDescent="0.2">
      <c r="A905" s="3"/>
      <c r="B905" s="3"/>
      <c r="C905" s="3"/>
      <c r="D905" s="3">
        <v>14200</v>
      </c>
      <c r="E905" s="3"/>
      <c r="F905" s="3">
        <f t="shared" si="36"/>
        <v>14.2</v>
      </c>
      <c r="G905" s="3"/>
      <c r="H905" s="3"/>
    </row>
    <row r="906" spans="1:8" x14ac:dyDescent="0.2">
      <c r="A906" t="s">
        <v>301</v>
      </c>
      <c r="B906">
        <v>2016</v>
      </c>
      <c r="C906" t="s">
        <v>270</v>
      </c>
      <c r="D906">
        <f>53447+12521+1321+211+583</f>
        <v>68083</v>
      </c>
      <c r="E906" t="s">
        <v>195</v>
      </c>
      <c r="F906">
        <f t="shared" si="36"/>
        <v>68.082999999999998</v>
      </c>
      <c r="H906" t="s">
        <v>300</v>
      </c>
    </row>
    <row r="907" spans="1:8" x14ac:dyDescent="0.2">
      <c r="A907" t="s">
        <v>303</v>
      </c>
      <c r="B907">
        <v>2019</v>
      </c>
      <c r="C907" t="s">
        <v>45</v>
      </c>
      <c r="D907">
        <v>166.7</v>
      </c>
      <c r="E907" t="s">
        <v>195</v>
      </c>
      <c r="F907">
        <f t="shared" si="36"/>
        <v>0.16669999999999999</v>
      </c>
      <c r="H907" t="s">
        <v>302</v>
      </c>
    </row>
    <row r="908" spans="1:8" x14ac:dyDescent="0.2">
      <c r="D908">
        <v>0.97</v>
      </c>
      <c r="F908">
        <f t="shared" si="36"/>
        <v>9.6999999999999994E-4</v>
      </c>
    </row>
    <row r="909" spans="1:8" x14ac:dyDescent="0.2">
      <c r="D909">
        <v>1.04</v>
      </c>
      <c r="E909" t="s">
        <v>216</v>
      </c>
      <c r="F909">
        <f>D909</f>
        <v>1.04</v>
      </c>
    </row>
    <row r="910" spans="1:8" x14ac:dyDescent="0.2">
      <c r="D910">
        <v>0.41</v>
      </c>
      <c r="F910">
        <f t="shared" ref="F910:F916" si="37">D910</f>
        <v>0.41</v>
      </c>
    </row>
    <row r="911" spans="1:8" x14ac:dyDescent="0.2">
      <c r="D911">
        <v>0.72</v>
      </c>
      <c r="F911">
        <f t="shared" si="37"/>
        <v>0.72</v>
      </c>
    </row>
    <row r="912" spans="1:8" x14ac:dyDescent="0.2">
      <c r="D912">
        <v>0.93</v>
      </c>
      <c r="F912">
        <f t="shared" si="37"/>
        <v>0.93</v>
      </c>
    </row>
    <row r="913" spans="1:8" x14ac:dyDescent="0.2">
      <c r="C913" t="s">
        <v>270</v>
      </c>
      <c r="D913">
        <v>16.13</v>
      </c>
      <c r="E913" t="s">
        <v>216</v>
      </c>
      <c r="F913">
        <f t="shared" si="37"/>
        <v>16.13</v>
      </c>
    </row>
    <row r="914" spans="1:8" x14ac:dyDescent="0.2">
      <c r="D914">
        <v>19.670000000000002</v>
      </c>
      <c r="F914">
        <f t="shared" si="37"/>
        <v>19.670000000000002</v>
      </c>
    </row>
    <row r="915" spans="1:8" x14ac:dyDescent="0.2">
      <c r="D915">
        <v>1</v>
      </c>
      <c r="F915">
        <f t="shared" si="37"/>
        <v>1</v>
      </c>
    </row>
    <row r="916" spans="1:8" x14ac:dyDescent="0.2">
      <c r="D916">
        <v>170</v>
      </c>
      <c r="F916">
        <f t="shared" si="37"/>
        <v>170</v>
      </c>
    </row>
    <row r="917" spans="1:8" x14ac:dyDescent="0.2">
      <c r="A917" t="s">
        <v>305</v>
      </c>
      <c r="B917">
        <v>2020</v>
      </c>
      <c r="C917" t="s">
        <v>270</v>
      </c>
      <c r="D917">
        <v>2933</v>
      </c>
      <c r="E917" t="s">
        <v>195</v>
      </c>
      <c r="F917">
        <f>D917/1000</f>
        <v>2.9329999999999998</v>
      </c>
      <c r="H917" t="s">
        <v>304</v>
      </c>
    </row>
    <row r="918" spans="1:8" x14ac:dyDescent="0.2">
      <c r="D918">
        <v>3866</v>
      </c>
      <c r="F918">
        <f t="shared" ref="F918:F919" si="38">D918/1000</f>
        <v>3.8660000000000001</v>
      </c>
    </row>
    <row r="919" spans="1:8" x14ac:dyDescent="0.2">
      <c r="D919">
        <v>5333</v>
      </c>
      <c r="F919">
        <f t="shared" si="38"/>
        <v>5.3330000000000002</v>
      </c>
    </row>
    <row r="920" spans="1:8" x14ac:dyDescent="0.2">
      <c r="A920" t="s">
        <v>295</v>
      </c>
      <c r="B920">
        <v>2023</v>
      </c>
      <c r="C920" t="s">
        <v>270</v>
      </c>
      <c r="D920">
        <v>10.012</v>
      </c>
      <c r="E920" t="s">
        <v>216</v>
      </c>
      <c r="F920">
        <f>D920</f>
        <v>10.012</v>
      </c>
      <c r="H920" t="s">
        <v>306</v>
      </c>
    </row>
    <row r="921" spans="1:8" x14ac:dyDescent="0.2">
      <c r="D921">
        <v>6.5039999999999996</v>
      </c>
      <c r="F921">
        <f t="shared" ref="F921:F984" si="39">D921</f>
        <v>6.5039999999999996</v>
      </c>
    </row>
    <row r="922" spans="1:8" x14ac:dyDescent="0.2">
      <c r="D922">
        <v>15.396000000000001</v>
      </c>
      <c r="F922">
        <f t="shared" si="39"/>
        <v>15.396000000000001</v>
      </c>
    </row>
    <row r="923" spans="1:8" x14ac:dyDescent="0.2">
      <c r="D923">
        <v>4.1970000000000001</v>
      </c>
      <c r="F923">
        <f t="shared" si="39"/>
        <v>4.1970000000000001</v>
      </c>
    </row>
    <row r="924" spans="1:8" x14ac:dyDescent="0.2">
      <c r="D924">
        <v>2.7429999999999999</v>
      </c>
      <c r="F924">
        <f t="shared" si="39"/>
        <v>2.7429999999999999</v>
      </c>
    </row>
    <row r="925" spans="1:8" x14ac:dyDescent="0.2">
      <c r="D925">
        <v>5.1559999999999997</v>
      </c>
      <c r="F925">
        <f t="shared" si="39"/>
        <v>5.1559999999999997</v>
      </c>
    </row>
    <row r="926" spans="1:8" x14ac:dyDescent="0.2">
      <c r="D926">
        <v>14.064</v>
      </c>
      <c r="F926">
        <f t="shared" si="39"/>
        <v>14.064</v>
      </c>
    </row>
    <row r="927" spans="1:8" x14ac:dyDescent="0.2">
      <c r="D927">
        <v>10.012</v>
      </c>
      <c r="F927">
        <f t="shared" si="39"/>
        <v>10.012</v>
      </c>
    </row>
    <row r="928" spans="1:8" x14ac:dyDescent="0.2">
      <c r="D928">
        <v>495</v>
      </c>
      <c r="F928">
        <f t="shared" si="39"/>
        <v>495</v>
      </c>
    </row>
    <row r="929" spans="4:6" x14ac:dyDescent="0.2">
      <c r="D929">
        <v>62.6</v>
      </c>
      <c r="F929">
        <f t="shared" si="39"/>
        <v>62.6</v>
      </c>
    </row>
    <row r="930" spans="4:6" x14ac:dyDescent="0.2">
      <c r="D930">
        <v>15.8</v>
      </c>
      <c r="F930">
        <f t="shared" si="39"/>
        <v>15.8</v>
      </c>
    </row>
    <row r="931" spans="4:6" x14ac:dyDescent="0.2">
      <c r="D931">
        <v>28.3</v>
      </c>
      <c r="F931">
        <f t="shared" si="39"/>
        <v>28.3</v>
      </c>
    </row>
    <row r="932" spans="4:6" x14ac:dyDescent="0.2">
      <c r="D932">
        <v>6.7</v>
      </c>
      <c r="F932">
        <f t="shared" si="39"/>
        <v>6.7</v>
      </c>
    </row>
    <row r="933" spans="4:6" x14ac:dyDescent="0.2">
      <c r="D933">
        <v>27.7</v>
      </c>
      <c r="F933">
        <f t="shared" si="39"/>
        <v>27.7</v>
      </c>
    </row>
    <row r="934" spans="4:6" x14ac:dyDescent="0.2">
      <c r="D934">
        <v>52.6</v>
      </c>
      <c r="F934">
        <f t="shared" si="39"/>
        <v>52.6</v>
      </c>
    </row>
    <row r="935" spans="4:6" x14ac:dyDescent="0.2">
      <c r="D935">
        <v>0.76</v>
      </c>
      <c r="F935">
        <f t="shared" si="39"/>
        <v>0.76</v>
      </c>
    </row>
    <row r="936" spans="4:6" x14ac:dyDescent="0.2">
      <c r="D936">
        <v>0.51</v>
      </c>
      <c r="F936">
        <f t="shared" si="39"/>
        <v>0.51</v>
      </c>
    </row>
    <row r="937" spans="4:6" x14ac:dyDescent="0.2">
      <c r="D937">
        <v>0.66</v>
      </c>
      <c r="F937">
        <f t="shared" si="39"/>
        <v>0.66</v>
      </c>
    </row>
    <row r="938" spans="4:6" x14ac:dyDescent="0.2">
      <c r="D938">
        <v>19.898</v>
      </c>
      <c r="F938">
        <f t="shared" si="39"/>
        <v>19.898</v>
      </c>
    </row>
    <row r="939" spans="4:6" x14ac:dyDescent="0.2">
      <c r="D939">
        <v>8.2370000000000001</v>
      </c>
      <c r="F939">
        <f t="shared" si="39"/>
        <v>8.2370000000000001</v>
      </c>
    </row>
    <row r="940" spans="4:6" x14ac:dyDescent="0.2">
      <c r="D940">
        <v>2.4750000000000001</v>
      </c>
      <c r="F940">
        <f t="shared" si="39"/>
        <v>2.4750000000000001</v>
      </c>
    </row>
    <row r="941" spans="4:6" x14ac:dyDescent="0.2">
      <c r="D941">
        <v>2.78</v>
      </c>
      <c r="F941">
        <f t="shared" si="39"/>
        <v>2.78</v>
      </c>
    </row>
    <row r="942" spans="4:6" x14ac:dyDescent="0.2">
      <c r="D942">
        <v>2.9489999999999998</v>
      </c>
      <c r="F942">
        <f t="shared" si="39"/>
        <v>2.9489999999999998</v>
      </c>
    </row>
    <row r="943" spans="4:6" x14ac:dyDescent="0.2">
      <c r="D943">
        <v>7.9660000000000002</v>
      </c>
      <c r="F943">
        <f t="shared" si="39"/>
        <v>7.9660000000000002</v>
      </c>
    </row>
    <row r="944" spans="4:6" x14ac:dyDescent="0.2">
      <c r="D944">
        <v>1.6950000000000001</v>
      </c>
      <c r="F944">
        <f t="shared" si="39"/>
        <v>1.6950000000000001</v>
      </c>
    </row>
    <row r="945" spans="4:6" x14ac:dyDescent="0.2">
      <c r="D945">
        <v>2.915</v>
      </c>
      <c r="F945">
        <f t="shared" si="39"/>
        <v>2.915</v>
      </c>
    </row>
    <row r="946" spans="4:6" x14ac:dyDescent="0.2">
      <c r="D946">
        <v>16.7</v>
      </c>
      <c r="F946">
        <f t="shared" si="39"/>
        <v>16.7</v>
      </c>
    </row>
    <row r="947" spans="4:6" x14ac:dyDescent="0.2">
      <c r="D947">
        <v>289</v>
      </c>
      <c r="F947">
        <f t="shared" si="39"/>
        <v>289</v>
      </c>
    </row>
    <row r="948" spans="4:6" x14ac:dyDescent="0.2">
      <c r="D948">
        <v>169000</v>
      </c>
      <c r="F948">
        <f t="shared" si="39"/>
        <v>169000</v>
      </c>
    </row>
    <row r="949" spans="4:6" x14ac:dyDescent="0.2">
      <c r="D949">
        <v>74</v>
      </c>
      <c r="F949">
        <f t="shared" si="39"/>
        <v>74</v>
      </c>
    </row>
    <row r="950" spans="4:6" x14ac:dyDescent="0.2">
      <c r="D950">
        <v>41.564999999999998</v>
      </c>
      <c r="F950">
        <f t="shared" si="39"/>
        <v>41.564999999999998</v>
      </c>
    </row>
    <row r="951" spans="4:6" x14ac:dyDescent="0.2">
      <c r="D951">
        <v>70.783000000000001</v>
      </c>
      <c r="F951">
        <f t="shared" si="39"/>
        <v>70.783000000000001</v>
      </c>
    </row>
    <row r="952" spans="4:6" x14ac:dyDescent="0.2">
      <c r="D952">
        <v>13.787000000000001</v>
      </c>
      <c r="F952">
        <f t="shared" si="39"/>
        <v>13.787000000000001</v>
      </c>
    </row>
    <row r="953" spans="4:6" x14ac:dyDescent="0.2">
      <c r="D953">
        <v>15.08</v>
      </c>
      <c r="F953">
        <f t="shared" si="39"/>
        <v>15.08</v>
      </c>
    </row>
    <row r="954" spans="4:6" x14ac:dyDescent="0.2">
      <c r="D954">
        <v>37.463000000000001</v>
      </c>
      <c r="F954">
        <f t="shared" si="39"/>
        <v>37.463000000000001</v>
      </c>
    </row>
    <row r="955" spans="4:6" x14ac:dyDescent="0.2">
      <c r="D955">
        <v>34</v>
      </c>
      <c r="F955">
        <f t="shared" si="39"/>
        <v>34</v>
      </c>
    </row>
    <row r="956" spans="4:6" x14ac:dyDescent="0.2">
      <c r="D956">
        <v>314</v>
      </c>
      <c r="F956">
        <f t="shared" si="39"/>
        <v>314</v>
      </c>
    </row>
    <row r="957" spans="4:6" x14ac:dyDescent="0.2">
      <c r="D957">
        <v>302</v>
      </c>
      <c r="F957">
        <f t="shared" si="39"/>
        <v>302</v>
      </c>
    </row>
    <row r="958" spans="4:6" x14ac:dyDescent="0.2">
      <c r="D958">
        <v>1</v>
      </c>
      <c r="F958">
        <f t="shared" si="39"/>
        <v>1</v>
      </c>
    </row>
    <row r="959" spans="4:6" x14ac:dyDescent="0.2">
      <c r="D959">
        <v>8.2200000000000006</v>
      </c>
      <c r="F959">
        <f t="shared" si="39"/>
        <v>8.2200000000000006</v>
      </c>
    </row>
    <row r="960" spans="4:6" x14ac:dyDescent="0.2">
      <c r="D960">
        <v>3.1619999999999999</v>
      </c>
      <c r="F960">
        <f t="shared" si="39"/>
        <v>3.1619999999999999</v>
      </c>
    </row>
    <row r="961" spans="4:6" x14ac:dyDescent="0.2">
      <c r="D961">
        <v>5.0999999999999996</v>
      </c>
      <c r="F961">
        <f t="shared" si="39"/>
        <v>5.0999999999999996</v>
      </c>
    </row>
    <row r="962" spans="4:6" x14ac:dyDescent="0.2">
      <c r="D962">
        <v>24</v>
      </c>
      <c r="F962">
        <f t="shared" si="39"/>
        <v>24</v>
      </c>
    </row>
    <row r="963" spans="4:6" x14ac:dyDescent="0.2">
      <c r="D963">
        <v>13.75</v>
      </c>
      <c r="F963">
        <f t="shared" si="39"/>
        <v>13.75</v>
      </c>
    </row>
    <row r="964" spans="4:6" x14ac:dyDescent="0.2">
      <c r="D964">
        <v>4.0439999999999996</v>
      </c>
      <c r="F964">
        <f t="shared" si="39"/>
        <v>4.0439999999999996</v>
      </c>
    </row>
    <row r="965" spans="4:6" x14ac:dyDescent="0.2">
      <c r="D965">
        <v>36</v>
      </c>
      <c r="F965">
        <f t="shared" si="39"/>
        <v>36</v>
      </c>
    </row>
    <row r="966" spans="4:6" x14ac:dyDescent="0.2">
      <c r="D966">
        <v>1.6</v>
      </c>
      <c r="F966">
        <f t="shared" si="39"/>
        <v>1.6</v>
      </c>
    </row>
    <row r="967" spans="4:6" x14ac:dyDescent="0.2">
      <c r="D967">
        <v>56.4</v>
      </c>
      <c r="F967">
        <f t="shared" si="39"/>
        <v>56.4</v>
      </c>
    </row>
    <row r="968" spans="4:6" x14ac:dyDescent="0.2">
      <c r="D968">
        <v>6.57</v>
      </c>
      <c r="F968">
        <f t="shared" si="39"/>
        <v>6.57</v>
      </c>
    </row>
    <row r="969" spans="4:6" x14ac:dyDescent="0.2">
      <c r="D969">
        <v>5.57</v>
      </c>
      <c r="F969">
        <f t="shared" si="39"/>
        <v>5.57</v>
      </c>
    </row>
    <row r="970" spans="4:6" x14ac:dyDescent="0.2">
      <c r="D970">
        <v>23</v>
      </c>
      <c r="F970">
        <f t="shared" si="39"/>
        <v>23</v>
      </c>
    </row>
    <row r="971" spans="4:6" x14ac:dyDescent="0.2">
      <c r="D971">
        <v>27.3</v>
      </c>
      <c r="F971">
        <f t="shared" si="39"/>
        <v>27.3</v>
      </c>
    </row>
    <row r="972" spans="4:6" x14ac:dyDescent="0.2">
      <c r="D972">
        <v>170.9</v>
      </c>
      <c r="F972">
        <f t="shared" si="39"/>
        <v>170.9</v>
      </c>
    </row>
    <row r="973" spans="4:6" x14ac:dyDescent="0.2">
      <c r="D973">
        <v>112</v>
      </c>
      <c r="F973">
        <f t="shared" si="39"/>
        <v>112</v>
      </c>
    </row>
    <row r="974" spans="4:6" x14ac:dyDescent="0.2">
      <c r="D974">
        <v>16.13</v>
      </c>
      <c r="F974">
        <f t="shared" si="39"/>
        <v>16.13</v>
      </c>
    </row>
    <row r="975" spans="4:6" x14ac:dyDescent="0.2">
      <c r="D975">
        <v>113</v>
      </c>
      <c r="F975">
        <f t="shared" si="39"/>
        <v>113</v>
      </c>
    </row>
    <row r="976" spans="4:6" x14ac:dyDescent="0.2">
      <c r="D976">
        <v>240.3</v>
      </c>
      <c r="F976">
        <f t="shared" si="39"/>
        <v>240.3</v>
      </c>
    </row>
    <row r="977" spans="4:6" x14ac:dyDescent="0.2">
      <c r="D977">
        <v>14.1</v>
      </c>
      <c r="F977">
        <f t="shared" si="39"/>
        <v>14.1</v>
      </c>
    </row>
    <row r="978" spans="4:6" x14ac:dyDescent="0.2">
      <c r="D978">
        <v>8.68</v>
      </c>
      <c r="F978">
        <f t="shared" si="39"/>
        <v>8.68</v>
      </c>
    </row>
    <row r="979" spans="4:6" x14ac:dyDescent="0.2">
      <c r="D979">
        <v>1413</v>
      </c>
      <c r="F979">
        <f t="shared" si="39"/>
        <v>1413</v>
      </c>
    </row>
    <row r="980" spans="4:6" x14ac:dyDescent="0.2">
      <c r="D980">
        <v>220</v>
      </c>
      <c r="F980">
        <f t="shared" si="39"/>
        <v>220</v>
      </c>
    </row>
    <row r="981" spans="4:6" x14ac:dyDescent="0.2">
      <c r="D981">
        <v>97.66</v>
      </c>
      <c r="F981">
        <f t="shared" si="39"/>
        <v>97.66</v>
      </c>
    </row>
    <row r="982" spans="4:6" x14ac:dyDescent="0.2">
      <c r="D982">
        <v>31.1</v>
      </c>
      <c r="F982">
        <f t="shared" si="39"/>
        <v>31.1</v>
      </c>
    </row>
    <row r="983" spans="4:6" x14ac:dyDescent="0.2">
      <c r="D983">
        <v>41.3</v>
      </c>
      <c r="F983">
        <f t="shared" si="39"/>
        <v>41.3</v>
      </c>
    </row>
    <row r="984" spans="4:6" x14ac:dyDescent="0.2">
      <c r="D984">
        <v>52.1</v>
      </c>
      <c r="F984">
        <f t="shared" si="39"/>
        <v>52.1</v>
      </c>
    </row>
    <row r="985" spans="4:6" x14ac:dyDescent="0.2">
      <c r="D985">
        <v>10.119999999999999</v>
      </c>
      <c r="F985">
        <f t="shared" ref="F985:F1048" si="40">D985</f>
        <v>10.119999999999999</v>
      </c>
    </row>
    <row r="986" spans="4:6" x14ac:dyDescent="0.2">
      <c r="D986">
        <v>1.02</v>
      </c>
      <c r="F986">
        <f t="shared" si="40"/>
        <v>1.02</v>
      </c>
    </row>
    <row r="987" spans="4:6" x14ac:dyDescent="0.2">
      <c r="D987">
        <v>7.6</v>
      </c>
      <c r="F987">
        <f t="shared" si="40"/>
        <v>7.6</v>
      </c>
    </row>
    <row r="988" spans="4:6" x14ac:dyDescent="0.2">
      <c r="D988">
        <v>7.5</v>
      </c>
      <c r="F988">
        <f t="shared" si="40"/>
        <v>7.5</v>
      </c>
    </row>
    <row r="989" spans="4:6" x14ac:dyDescent="0.2">
      <c r="D989">
        <v>11.1</v>
      </c>
      <c r="F989">
        <f t="shared" si="40"/>
        <v>11.1</v>
      </c>
    </row>
    <row r="990" spans="4:6" x14ac:dyDescent="0.2">
      <c r="D990">
        <v>10.6</v>
      </c>
      <c r="F990">
        <f t="shared" si="40"/>
        <v>10.6</v>
      </c>
    </row>
    <row r="991" spans="4:6" x14ac:dyDescent="0.2">
      <c r="D991">
        <v>4.2</v>
      </c>
      <c r="F991">
        <f t="shared" si="40"/>
        <v>4.2</v>
      </c>
    </row>
    <row r="992" spans="4:6" x14ac:dyDescent="0.2">
      <c r="D992">
        <v>5.4</v>
      </c>
      <c r="F992">
        <f t="shared" si="40"/>
        <v>5.4</v>
      </c>
    </row>
    <row r="993" spans="4:6" x14ac:dyDescent="0.2">
      <c r="D993">
        <v>7.2</v>
      </c>
      <c r="F993">
        <f t="shared" si="40"/>
        <v>7.2</v>
      </c>
    </row>
    <row r="994" spans="4:6" x14ac:dyDescent="0.2">
      <c r="D994">
        <v>1.7</v>
      </c>
      <c r="F994">
        <f t="shared" si="40"/>
        <v>1.7</v>
      </c>
    </row>
    <row r="995" spans="4:6" x14ac:dyDescent="0.2">
      <c r="D995">
        <v>1.9</v>
      </c>
      <c r="F995">
        <f t="shared" si="40"/>
        <v>1.9</v>
      </c>
    </row>
    <row r="996" spans="4:6" x14ac:dyDescent="0.2">
      <c r="D996">
        <v>1.9</v>
      </c>
      <c r="F996">
        <f t="shared" si="40"/>
        <v>1.9</v>
      </c>
    </row>
    <row r="997" spans="4:6" x14ac:dyDescent="0.2">
      <c r="D997">
        <v>1.5</v>
      </c>
      <c r="F997">
        <f t="shared" si="40"/>
        <v>1.5</v>
      </c>
    </row>
    <row r="998" spans="4:6" x14ac:dyDescent="0.2">
      <c r="D998">
        <v>7</v>
      </c>
      <c r="F998">
        <f t="shared" si="40"/>
        <v>7</v>
      </c>
    </row>
    <row r="999" spans="4:6" x14ac:dyDescent="0.2">
      <c r="D999">
        <v>107.5</v>
      </c>
      <c r="F999">
        <f t="shared" si="40"/>
        <v>107.5</v>
      </c>
    </row>
    <row r="1000" spans="4:6" x14ac:dyDescent="0.2">
      <c r="D1000">
        <v>50.2</v>
      </c>
      <c r="F1000">
        <f t="shared" si="40"/>
        <v>50.2</v>
      </c>
    </row>
    <row r="1001" spans="4:6" x14ac:dyDescent="0.2">
      <c r="D1001">
        <v>180.7</v>
      </c>
      <c r="F1001">
        <f t="shared" si="40"/>
        <v>180.7</v>
      </c>
    </row>
    <row r="1002" spans="4:6" x14ac:dyDescent="0.2">
      <c r="D1002">
        <v>286.5</v>
      </c>
      <c r="F1002">
        <f t="shared" si="40"/>
        <v>286.5</v>
      </c>
    </row>
    <row r="1003" spans="4:6" x14ac:dyDescent="0.2">
      <c r="D1003">
        <v>97.2</v>
      </c>
      <c r="F1003">
        <f t="shared" si="40"/>
        <v>97.2</v>
      </c>
    </row>
    <row r="1004" spans="4:6" x14ac:dyDescent="0.2">
      <c r="D1004">
        <v>74.7</v>
      </c>
      <c r="F1004">
        <f t="shared" si="40"/>
        <v>74.7</v>
      </c>
    </row>
    <row r="1005" spans="4:6" x14ac:dyDescent="0.2">
      <c r="D1005">
        <v>37.700000000000003</v>
      </c>
      <c r="F1005">
        <f t="shared" si="40"/>
        <v>37.700000000000003</v>
      </c>
    </row>
    <row r="1006" spans="4:6" x14ac:dyDescent="0.2">
      <c r="D1006">
        <v>6.74</v>
      </c>
      <c r="F1006">
        <f t="shared" si="40"/>
        <v>6.74</v>
      </c>
    </row>
    <row r="1007" spans="4:6" x14ac:dyDescent="0.2">
      <c r="D1007">
        <v>11.04</v>
      </c>
      <c r="F1007">
        <f t="shared" si="40"/>
        <v>11.04</v>
      </c>
    </row>
    <row r="1008" spans="4:6" x14ac:dyDescent="0.2">
      <c r="D1008">
        <v>6.78</v>
      </c>
      <c r="F1008">
        <f t="shared" si="40"/>
        <v>6.78</v>
      </c>
    </row>
    <row r="1009" spans="4:6" x14ac:dyDescent="0.2">
      <c r="D1009">
        <v>6.32</v>
      </c>
      <c r="F1009">
        <f t="shared" si="40"/>
        <v>6.32</v>
      </c>
    </row>
    <row r="1010" spans="4:6" x14ac:dyDescent="0.2">
      <c r="D1010">
        <v>13.06</v>
      </c>
      <c r="F1010">
        <f t="shared" si="40"/>
        <v>13.06</v>
      </c>
    </row>
    <row r="1011" spans="4:6" x14ac:dyDescent="0.2">
      <c r="D1011">
        <v>6.31</v>
      </c>
      <c r="F1011">
        <f t="shared" si="40"/>
        <v>6.31</v>
      </c>
    </row>
    <row r="1012" spans="4:6" x14ac:dyDescent="0.2">
      <c r="D1012">
        <v>19.47</v>
      </c>
      <c r="F1012">
        <f t="shared" si="40"/>
        <v>19.47</v>
      </c>
    </row>
    <row r="1013" spans="4:6" x14ac:dyDescent="0.2">
      <c r="D1013">
        <v>10.34</v>
      </c>
      <c r="F1013">
        <f t="shared" si="40"/>
        <v>10.34</v>
      </c>
    </row>
    <row r="1014" spans="4:6" x14ac:dyDescent="0.2">
      <c r="D1014">
        <v>7.69</v>
      </c>
      <c r="F1014">
        <f t="shared" si="40"/>
        <v>7.69</v>
      </c>
    </row>
    <row r="1015" spans="4:6" x14ac:dyDescent="0.2">
      <c r="D1015">
        <v>14</v>
      </c>
      <c r="F1015">
        <f t="shared" si="40"/>
        <v>14</v>
      </c>
    </row>
    <row r="1016" spans="4:6" x14ac:dyDescent="0.2">
      <c r="D1016">
        <v>12.52</v>
      </c>
      <c r="F1016">
        <f t="shared" si="40"/>
        <v>12.52</v>
      </c>
    </row>
    <row r="1017" spans="4:6" x14ac:dyDescent="0.2">
      <c r="D1017">
        <v>15.63</v>
      </c>
      <c r="F1017">
        <f t="shared" si="40"/>
        <v>15.63</v>
      </c>
    </row>
    <row r="1018" spans="4:6" x14ac:dyDescent="0.2">
      <c r="D1018">
        <v>13.79</v>
      </c>
      <c r="F1018">
        <f t="shared" si="40"/>
        <v>13.79</v>
      </c>
    </row>
    <row r="1019" spans="4:6" x14ac:dyDescent="0.2">
      <c r="D1019">
        <v>9.84</v>
      </c>
      <c r="F1019">
        <f t="shared" si="40"/>
        <v>9.84</v>
      </c>
    </row>
    <row r="1020" spans="4:6" x14ac:dyDescent="0.2">
      <c r="D1020">
        <v>22.36</v>
      </c>
      <c r="F1020">
        <f t="shared" si="40"/>
        <v>22.36</v>
      </c>
    </row>
    <row r="1021" spans="4:6" x14ac:dyDescent="0.2">
      <c r="D1021">
        <v>9.2100000000000009</v>
      </c>
      <c r="F1021">
        <f t="shared" si="40"/>
        <v>9.2100000000000009</v>
      </c>
    </row>
    <row r="1022" spans="4:6" x14ac:dyDescent="0.2">
      <c r="D1022">
        <v>13.33</v>
      </c>
      <c r="F1022">
        <f t="shared" si="40"/>
        <v>13.33</v>
      </c>
    </row>
    <row r="1023" spans="4:6" x14ac:dyDescent="0.2">
      <c r="D1023">
        <v>5.88</v>
      </c>
      <c r="F1023">
        <f t="shared" si="40"/>
        <v>5.88</v>
      </c>
    </row>
    <row r="1024" spans="4:6" x14ac:dyDescent="0.2">
      <c r="D1024">
        <v>12.04</v>
      </c>
      <c r="F1024">
        <f t="shared" si="40"/>
        <v>12.04</v>
      </c>
    </row>
    <row r="1025" spans="4:6" x14ac:dyDescent="0.2">
      <c r="D1025">
        <v>21.25</v>
      </c>
      <c r="F1025">
        <f t="shared" si="40"/>
        <v>21.25</v>
      </c>
    </row>
    <row r="1026" spans="4:6" x14ac:dyDescent="0.2">
      <c r="D1026">
        <v>16.62</v>
      </c>
      <c r="F1026">
        <f t="shared" si="40"/>
        <v>16.62</v>
      </c>
    </row>
    <row r="1027" spans="4:6" x14ac:dyDescent="0.2">
      <c r="D1027">
        <v>17.91</v>
      </c>
      <c r="F1027">
        <f t="shared" si="40"/>
        <v>17.91</v>
      </c>
    </row>
    <row r="1028" spans="4:6" x14ac:dyDescent="0.2">
      <c r="D1028">
        <v>14.53</v>
      </c>
      <c r="F1028">
        <f t="shared" si="40"/>
        <v>14.53</v>
      </c>
    </row>
    <row r="1029" spans="4:6" x14ac:dyDescent="0.2">
      <c r="D1029">
        <v>13.04</v>
      </c>
      <c r="F1029">
        <f t="shared" si="40"/>
        <v>13.04</v>
      </c>
    </row>
    <row r="1030" spans="4:6" x14ac:dyDescent="0.2">
      <c r="D1030">
        <v>29.66</v>
      </c>
      <c r="F1030">
        <f t="shared" si="40"/>
        <v>29.66</v>
      </c>
    </row>
    <row r="1031" spans="4:6" x14ac:dyDescent="0.2">
      <c r="D1031">
        <v>26.3</v>
      </c>
      <c r="F1031">
        <f t="shared" si="40"/>
        <v>26.3</v>
      </c>
    </row>
    <row r="1032" spans="4:6" x14ac:dyDescent="0.2">
      <c r="D1032">
        <v>8.1199999999999992</v>
      </c>
      <c r="F1032">
        <f t="shared" si="40"/>
        <v>8.1199999999999992</v>
      </c>
    </row>
    <row r="1033" spans="4:6" x14ac:dyDescent="0.2">
      <c r="D1033">
        <v>810</v>
      </c>
      <c r="F1033">
        <f t="shared" si="40"/>
        <v>810</v>
      </c>
    </row>
    <row r="1034" spans="4:6" x14ac:dyDescent="0.2">
      <c r="D1034">
        <v>1.67</v>
      </c>
      <c r="F1034">
        <f t="shared" si="40"/>
        <v>1.67</v>
      </c>
    </row>
    <row r="1035" spans="4:6" x14ac:dyDescent="0.2">
      <c r="D1035">
        <v>5.3</v>
      </c>
      <c r="F1035">
        <f t="shared" si="40"/>
        <v>5.3</v>
      </c>
    </row>
    <row r="1036" spans="4:6" x14ac:dyDescent="0.2">
      <c r="D1036">
        <v>4.7</v>
      </c>
      <c r="F1036">
        <f t="shared" si="40"/>
        <v>4.7</v>
      </c>
    </row>
    <row r="1037" spans="4:6" x14ac:dyDescent="0.2">
      <c r="D1037">
        <v>12.73</v>
      </c>
      <c r="F1037">
        <f t="shared" si="40"/>
        <v>12.73</v>
      </c>
    </row>
    <row r="1038" spans="4:6" x14ac:dyDescent="0.2">
      <c r="D1038">
        <v>6.91</v>
      </c>
      <c r="F1038">
        <f t="shared" si="40"/>
        <v>6.91</v>
      </c>
    </row>
    <row r="1039" spans="4:6" x14ac:dyDescent="0.2">
      <c r="D1039">
        <v>2.19</v>
      </c>
      <c r="F1039">
        <f t="shared" si="40"/>
        <v>2.19</v>
      </c>
    </row>
    <row r="1040" spans="4:6" x14ac:dyDescent="0.2">
      <c r="D1040">
        <v>0.23</v>
      </c>
      <c r="F1040">
        <f t="shared" si="40"/>
        <v>0.23</v>
      </c>
    </row>
    <row r="1041" spans="4:6" x14ac:dyDescent="0.2">
      <c r="D1041">
        <v>9379</v>
      </c>
      <c r="F1041">
        <f t="shared" si="40"/>
        <v>9379</v>
      </c>
    </row>
    <row r="1042" spans="4:6" x14ac:dyDescent="0.2">
      <c r="D1042">
        <v>7652</v>
      </c>
      <c r="F1042">
        <f t="shared" si="40"/>
        <v>7652</v>
      </c>
    </row>
    <row r="1043" spans="4:6" x14ac:dyDescent="0.2">
      <c r="D1043">
        <v>500</v>
      </c>
      <c r="F1043">
        <f t="shared" si="40"/>
        <v>500</v>
      </c>
    </row>
    <row r="1044" spans="4:6" x14ac:dyDescent="0.2">
      <c r="D1044">
        <v>2600</v>
      </c>
      <c r="F1044">
        <f t="shared" si="40"/>
        <v>2600</v>
      </c>
    </row>
    <row r="1045" spans="4:6" x14ac:dyDescent="0.2">
      <c r="D1045">
        <v>2062.8000000000002</v>
      </c>
      <c r="F1045">
        <f t="shared" si="40"/>
        <v>2062.8000000000002</v>
      </c>
    </row>
    <row r="1046" spans="4:6" x14ac:dyDescent="0.2">
      <c r="D1046">
        <v>2541</v>
      </c>
      <c r="F1046">
        <f t="shared" si="40"/>
        <v>2541</v>
      </c>
    </row>
    <row r="1047" spans="4:6" x14ac:dyDescent="0.2">
      <c r="D1047">
        <v>17.8</v>
      </c>
      <c r="F1047">
        <f t="shared" si="40"/>
        <v>17.8</v>
      </c>
    </row>
    <row r="1048" spans="4:6" x14ac:dyDescent="0.2">
      <c r="D1048">
        <v>27.8</v>
      </c>
      <c r="F1048">
        <f t="shared" si="40"/>
        <v>27.8</v>
      </c>
    </row>
    <row r="1049" spans="4:6" x14ac:dyDescent="0.2">
      <c r="D1049">
        <v>47.13</v>
      </c>
      <c r="F1049">
        <f t="shared" ref="F1049:F1059" si="41">D1049</f>
        <v>47.13</v>
      </c>
    </row>
    <row r="1050" spans="4:6" x14ac:dyDescent="0.2">
      <c r="D1050">
        <v>311</v>
      </c>
      <c r="F1050">
        <f t="shared" si="41"/>
        <v>311</v>
      </c>
    </row>
    <row r="1051" spans="4:6" x14ac:dyDescent="0.2">
      <c r="D1051">
        <v>4080</v>
      </c>
      <c r="F1051">
        <f t="shared" si="41"/>
        <v>4080</v>
      </c>
    </row>
    <row r="1052" spans="4:6" x14ac:dyDescent="0.2">
      <c r="D1052">
        <v>6360</v>
      </c>
      <c r="F1052">
        <f t="shared" si="41"/>
        <v>6360</v>
      </c>
    </row>
    <row r="1053" spans="4:6" x14ac:dyDescent="0.2">
      <c r="D1053">
        <v>214</v>
      </c>
      <c r="F1053">
        <f t="shared" si="41"/>
        <v>214</v>
      </c>
    </row>
    <row r="1054" spans="4:6" x14ac:dyDescent="0.2">
      <c r="D1054">
        <v>206</v>
      </c>
      <c r="F1054">
        <f t="shared" si="41"/>
        <v>206</v>
      </c>
    </row>
    <row r="1055" spans="4:6" x14ac:dyDescent="0.2">
      <c r="D1055">
        <v>200</v>
      </c>
      <c r="F1055">
        <f t="shared" si="41"/>
        <v>200</v>
      </c>
    </row>
    <row r="1056" spans="4:6" x14ac:dyDescent="0.2">
      <c r="D1056">
        <v>238</v>
      </c>
      <c r="F1056">
        <f t="shared" si="41"/>
        <v>238</v>
      </c>
    </row>
    <row r="1057" spans="1:8" x14ac:dyDescent="0.2">
      <c r="D1057">
        <v>129</v>
      </c>
      <c r="F1057">
        <f t="shared" si="41"/>
        <v>129</v>
      </c>
    </row>
    <row r="1058" spans="1:8" x14ac:dyDescent="0.2">
      <c r="A1058" t="s">
        <v>309</v>
      </c>
      <c r="B1058">
        <v>2020</v>
      </c>
      <c r="C1058" t="s">
        <v>270</v>
      </c>
      <c r="D1058">
        <v>113</v>
      </c>
      <c r="E1058" t="s">
        <v>216</v>
      </c>
      <c r="F1058">
        <f t="shared" si="41"/>
        <v>113</v>
      </c>
      <c r="H1058" t="s">
        <v>308</v>
      </c>
    </row>
    <row r="1059" spans="1:8" x14ac:dyDescent="0.2">
      <c r="D1059">
        <v>40.1</v>
      </c>
      <c r="F1059">
        <f t="shared" si="41"/>
        <v>40.1</v>
      </c>
    </row>
    <row r="1060" spans="1:8" x14ac:dyDescent="0.2">
      <c r="D1060">
        <v>27.3</v>
      </c>
      <c r="F1060">
        <f>D1060</f>
        <v>27.3</v>
      </c>
    </row>
    <row r="1061" spans="1:8" x14ac:dyDescent="0.2">
      <c r="D1061">
        <v>17</v>
      </c>
      <c r="F1061">
        <f t="shared" ref="F1061:F1124" si="42">D1061</f>
        <v>17</v>
      </c>
    </row>
    <row r="1062" spans="1:8" x14ac:dyDescent="0.2">
      <c r="D1062">
        <v>9.65</v>
      </c>
      <c r="F1062">
        <f t="shared" si="42"/>
        <v>9.65</v>
      </c>
    </row>
    <row r="1063" spans="1:8" x14ac:dyDescent="0.2">
      <c r="D1063">
        <v>8.5</v>
      </c>
      <c r="F1063">
        <f t="shared" si="42"/>
        <v>8.5</v>
      </c>
    </row>
    <row r="1064" spans="1:8" x14ac:dyDescent="0.2">
      <c r="D1064">
        <v>8.0299999999999994</v>
      </c>
      <c r="F1064">
        <f t="shared" si="42"/>
        <v>8.0299999999999994</v>
      </c>
    </row>
    <row r="1065" spans="1:8" x14ac:dyDescent="0.2">
      <c r="D1065">
        <v>2.5</v>
      </c>
      <c r="F1065">
        <f t="shared" si="42"/>
        <v>2.5</v>
      </c>
    </row>
    <row r="1066" spans="1:8" x14ac:dyDescent="0.2">
      <c r="D1066">
        <v>2.2000000000000002</v>
      </c>
      <c r="F1066">
        <f t="shared" si="42"/>
        <v>2.2000000000000002</v>
      </c>
    </row>
    <row r="1067" spans="1:8" x14ac:dyDescent="0.2">
      <c r="D1067">
        <v>1</v>
      </c>
      <c r="F1067">
        <f t="shared" si="42"/>
        <v>1</v>
      </c>
    </row>
    <row r="1068" spans="1:8" x14ac:dyDescent="0.2">
      <c r="D1068">
        <v>0.8</v>
      </c>
      <c r="F1068">
        <f t="shared" si="42"/>
        <v>0.8</v>
      </c>
    </row>
    <row r="1069" spans="1:8" x14ac:dyDescent="0.2">
      <c r="D1069">
        <v>0.45</v>
      </c>
      <c r="F1069">
        <f t="shared" si="42"/>
        <v>0.45</v>
      </c>
    </row>
    <row r="1070" spans="1:8" x14ac:dyDescent="0.2">
      <c r="A1070" t="s">
        <v>313</v>
      </c>
      <c r="B1070">
        <v>2023</v>
      </c>
      <c r="C1070" t="s">
        <v>270</v>
      </c>
      <c r="D1070">
        <v>228</v>
      </c>
      <c r="E1070" t="s">
        <v>216</v>
      </c>
      <c r="F1070">
        <f t="shared" si="42"/>
        <v>228</v>
      </c>
      <c r="H1070" t="s">
        <v>310</v>
      </c>
    </row>
    <row r="1071" spans="1:8" x14ac:dyDescent="0.2">
      <c r="D1071">
        <v>2353</v>
      </c>
      <c r="F1071">
        <f t="shared" si="42"/>
        <v>2353</v>
      </c>
    </row>
    <row r="1072" spans="1:8" x14ac:dyDescent="0.2">
      <c r="D1072">
        <v>636</v>
      </c>
      <c r="F1072">
        <f t="shared" si="42"/>
        <v>636</v>
      </c>
    </row>
    <row r="1073" spans="1:8" x14ac:dyDescent="0.2">
      <c r="A1073" t="s">
        <v>312</v>
      </c>
      <c r="B1073">
        <v>2024</v>
      </c>
      <c r="C1073" t="s">
        <v>270</v>
      </c>
      <c r="D1073">
        <v>11</v>
      </c>
      <c r="E1073" t="s">
        <v>216</v>
      </c>
      <c r="F1073">
        <f t="shared" si="42"/>
        <v>11</v>
      </c>
      <c r="H1073" t="s">
        <v>311</v>
      </c>
    </row>
    <row r="1074" spans="1:8" x14ac:dyDescent="0.2">
      <c r="D1074">
        <v>150</v>
      </c>
      <c r="F1074">
        <f t="shared" si="42"/>
        <v>150</v>
      </c>
    </row>
    <row r="1075" spans="1:8" x14ac:dyDescent="0.2">
      <c r="D1075">
        <v>0.7</v>
      </c>
      <c r="F1075">
        <f t="shared" si="42"/>
        <v>0.7</v>
      </c>
    </row>
    <row r="1076" spans="1:8" x14ac:dyDescent="0.2">
      <c r="D1076">
        <v>240</v>
      </c>
      <c r="F1076">
        <f t="shared" si="42"/>
        <v>240</v>
      </c>
    </row>
    <row r="1077" spans="1:8" x14ac:dyDescent="0.2">
      <c r="A1077" t="s">
        <v>315</v>
      </c>
      <c r="B1077">
        <v>2019</v>
      </c>
      <c r="C1077" t="s">
        <v>270</v>
      </c>
      <c r="D1077">
        <v>113</v>
      </c>
      <c r="E1077" t="s">
        <v>216</v>
      </c>
      <c r="F1077">
        <f t="shared" si="42"/>
        <v>113</v>
      </c>
      <c r="H1077" t="s">
        <v>314</v>
      </c>
    </row>
    <row r="1078" spans="1:8" x14ac:dyDescent="0.2">
      <c r="A1078" t="s">
        <v>307</v>
      </c>
      <c r="B1078">
        <v>2025</v>
      </c>
      <c r="C1078" t="s">
        <v>270</v>
      </c>
      <c r="D1078">
        <v>27.7</v>
      </c>
      <c r="E1078" t="s">
        <v>216</v>
      </c>
      <c r="F1078">
        <f t="shared" si="42"/>
        <v>27.7</v>
      </c>
      <c r="H1078" t="s">
        <v>316</v>
      </c>
    </row>
    <row r="1079" spans="1:8" x14ac:dyDescent="0.2">
      <c r="D1079">
        <v>286.5</v>
      </c>
      <c r="F1079">
        <f t="shared" si="42"/>
        <v>286.5</v>
      </c>
    </row>
    <row r="1080" spans="1:8" x14ac:dyDescent="0.2">
      <c r="D1080">
        <v>37.700000000000003</v>
      </c>
      <c r="F1080">
        <f t="shared" si="42"/>
        <v>37.700000000000003</v>
      </c>
    </row>
    <row r="1081" spans="1:8" x14ac:dyDescent="0.2">
      <c r="D1081">
        <v>97.2</v>
      </c>
      <c r="F1081">
        <f t="shared" si="42"/>
        <v>97.2</v>
      </c>
    </row>
    <row r="1082" spans="1:8" x14ac:dyDescent="0.2">
      <c r="D1082">
        <v>429</v>
      </c>
      <c r="F1082">
        <f t="shared" si="42"/>
        <v>429</v>
      </c>
    </row>
    <row r="1083" spans="1:8" x14ac:dyDescent="0.2">
      <c r="D1083">
        <v>50.6</v>
      </c>
      <c r="F1083">
        <f t="shared" si="42"/>
        <v>50.6</v>
      </c>
    </row>
    <row r="1084" spans="1:8" x14ac:dyDescent="0.2">
      <c r="A1084" t="s">
        <v>318</v>
      </c>
      <c r="B1084">
        <v>2024</v>
      </c>
      <c r="C1084" t="s">
        <v>270</v>
      </c>
      <c r="D1084">
        <v>2.5329999999999999</v>
      </c>
      <c r="E1084" t="s">
        <v>216</v>
      </c>
      <c r="F1084">
        <f t="shared" si="42"/>
        <v>2.5329999999999999</v>
      </c>
      <c r="H1084" t="s">
        <v>317</v>
      </c>
    </row>
    <row r="1085" spans="1:8" x14ac:dyDescent="0.2">
      <c r="D1085">
        <v>5.16</v>
      </c>
      <c r="F1085">
        <f t="shared" si="42"/>
        <v>5.16</v>
      </c>
    </row>
    <row r="1086" spans="1:8" x14ac:dyDescent="0.2">
      <c r="D1086">
        <v>19.898</v>
      </c>
      <c r="F1086">
        <f t="shared" si="42"/>
        <v>19.898</v>
      </c>
    </row>
    <row r="1087" spans="1:8" x14ac:dyDescent="0.2">
      <c r="D1087">
        <v>8.2370000000000001</v>
      </c>
      <c r="F1087">
        <f t="shared" si="42"/>
        <v>8.2370000000000001</v>
      </c>
    </row>
    <row r="1088" spans="1:8" x14ac:dyDescent="0.2">
      <c r="D1088">
        <v>2.4750000000000001</v>
      </c>
      <c r="F1088">
        <f t="shared" si="42"/>
        <v>2.4750000000000001</v>
      </c>
    </row>
    <row r="1089" spans="4:6" x14ac:dyDescent="0.2">
      <c r="D1089">
        <v>2.78</v>
      </c>
      <c r="F1089">
        <f t="shared" si="42"/>
        <v>2.78</v>
      </c>
    </row>
    <row r="1090" spans="4:6" x14ac:dyDescent="0.2">
      <c r="D1090">
        <v>7.9660000000000002</v>
      </c>
      <c r="F1090">
        <f t="shared" si="42"/>
        <v>7.9660000000000002</v>
      </c>
    </row>
    <row r="1091" spans="4:6" x14ac:dyDescent="0.2">
      <c r="D1091">
        <v>1.6950000000000001</v>
      </c>
      <c r="F1091">
        <f t="shared" si="42"/>
        <v>1.6950000000000001</v>
      </c>
    </row>
    <row r="1092" spans="4:6" x14ac:dyDescent="0.2">
      <c r="D1092">
        <v>16.7</v>
      </c>
      <c r="F1092">
        <f t="shared" si="42"/>
        <v>16.7</v>
      </c>
    </row>
    <row r="1093" spans="4:6" x14ac:dyDescent="0.2">
      <c r="D1093">
        <v>13.787000000000001</v>
      </c>
      <c r="F1093">
        <f t="shared" si="42"/>
        <v>13.787000000000001</v>
      </c>
    </row>
    <row r="1094" spans="4:6" x14ac:dyDescent="0.2">
      <c r="D1094">
        <v>15.08</v>
      </c>
      <c r="F1094">
        <f t="shared" si="42"/>
        <v>15.08</v>
      </c>
    </row>
    <row r="1095" spans="4:6" x14ac:dyDescent="0.2">
      <c r="D1095">
        <v>37.463000000000001</v>
      </c>
      <c r="F1095">
        <f t="shared" si="42"/>
        <v>37.463000000000001</v>
      </c>
    </row>
    <row r="1096" spans="4:6" x14ac:dyDescent="0.2">
      <c r="D1096">
        <v>34</v>
      </c>
      <c r="F1096">
        <f t="shared" si="42"/>
        <v>34</v>
      </c>
    </row>
    <row r="1097" spans="4:6" x14ac:dyDescent="0.2">
      <c r="D1097">
        <v>186.7</v>
      </c>
      <c r="F1097">
        <f t="shared" si="42"/>
        <v>186.7</v>
      </c>
    </row>
    <row r="1098" spans="4:6" x14ac:dyDescent="0.2">
      <c r="D1098">
        <v>76.3</v>
      </c>
      <c r="F1098">
        <f t="shared" si="42"/>
        <v>76.3</v>
      </c>
    </row>
    <row r="1099" spans="4:6" x14ac:dyDescent="0.2">
      <c r="D1099">
        <v>36</v>
      </c>
      <c r="F1099">
        <f t="shared" si="42"/>
        <v>36</v>
      </c>
    </row>
    <row r="1100" spans="4:6" x14ac:dyDescent="0.2">
      <c r="D1100">
        <v>1.57</v>
      </c>
      <c r="F1100">
        <f t="shared" si="42"/>
        <v>1.57</v>
      </c>
    </row>
    <row r="1101" spans="4:6" x14ac:dyDescent="0.2">
      <c r="D1101">
        <v>56.4</v>
      </c>
      <c r="F1101">
        <f t="shared" si="42"/>
        <v>56.4</v>
      </c>
    </row>
    <row r="1102" spans="4:6" x14ac:dyDescent="0.2">
      <c r="D1102">
        <v>22.7</v>
      </c>
      <c r="F1102">
        <f t="shared" si="42"/>
        <v>22.7</v>
      </c>
    </row>
    <row r="1103" spans="4:6" x14ac:dyDescent="0.2">
      <c r="D1103">
        <v>14.1</v>
      </c>
      <c r="F1103">
        <f t="shared" si="42"/>
        <v>14.1</v>
      </c>
    </row>
    <row r="1104" spans="4:6" x14ac:dyDescent="0.2">
      <c r="D1104">
        <v>11.468999999999999</v>
      </c>
      <c r="F1104">
        <f t="shared" si="42"/>
        <v>11.468999999999999</v>
      </c>
    </row>
    <row r="1105" spans="4:6" x14ac:dyDescent="0.2">
      <c r="D1105">
        <v>14.407</v>
      </c>
      <c r="F1105">
        <f t="shared" si="42"/>
        <v>14.407</v>
      </c>
    </row>
    <row r="1106" spans="4:6" x14ac:dyDescent="0.2">
      <c r="D1106">
        <v>1</v>
      </c>
      <c r="F1106">
        <f t="shared" si="42"/>
        <v>1</v>
      </c>
    </row>
    <row r="1107" spans="4:6" x14ac:dyDescent="0.2">
      <c r="D1107">
        <v>169</v>
      </c>
      <c r="F1107">
        <f t="shared" si="42"/>
        <v>169</v>
      </c>
    </row>
    <row r="1108" spans="4:6" x14ac:dyDescent="0.2">
      <c r="D1108">
        <v>23</v>
      </c>
      <c r="F1108">
        <f t="shared" si="42"/>
        <v>23</v>
      </c>
    </row>
    <row r="1109" spans="4:6" x14ac:dyDescent="0.2">
      <c r="D1109">
        <v>170.9</v>
      </c>
      <c r="F1109">
        <f t="shared" si="42"/>
        <v>170.9</v>
      </c>
    </row>
    <row r="1110" spans="4:6" x14ac:dyDescent="0.2">
      <c r="D1110">
        <v>14.895</v>
      </c>
      <c r="F1110">
        <f t="shared" si="42"/>
        <v>14.895</v>
      </c>
    </row>
    <row r="1111" spans="4:6" x14ac:dyDescent="0.2">
      <c r="D1111">
        <v>9.4749999999999996</v>
      </c>
      <c r="F1111">
        <f t="shared" si="42"/>
        <v>9.4749999999999996</v>
      </c>
    </row>
    <row r="1112" spans="4:6" x14ac:dyDescent="0.2">
      <c r="D1112">
        <v>13.2</v>
      </c>
      <c r="F1112">
        <f t="shared" si="42"/>
        <v>13.2</v>
      </c>
    </row>
    <row r="1113" spans="4:6" x14ac:dyDescent="0.2">
      <c r="D1113">
        <v>14.13</v>
      </c>
      <c r="F1113">
        <f t="shared" si="42"/>
        <v>14.13</v>
      </c>
    </row>
    <row r="1114" spans="4:6" x14ac:dyDescent="0.2">
      <c r="D1114">
        <v>220</v>
      </c>
      <c r="F1114">
        <f t="shared" si="42"/>
        <v>220</v>
      </c>
    </row>
    <row r="1115" spans="4:6" x14ac:dyDescent="0.2">
      <c r="D1115">
        <v>2.92</v>
      </c>
      <c r="F1115">
        <f t="shared" si="42"/>
        <v>2.92</v>
      </c>
    </row>
    <row r="1116" spans="4:6" x14ac:dyDescent="0.2">
      <c r="D1116">
        <v>52.1</v>
      </c>
      <c r="F1116">
        <f t="shared" si="42"/>
        <v>52.1</v>
      </c>
    </row>
    <row r="1117" spans="4:6" x14ac:dyDescent="0.2">
      <c r="D1117">
        <v>1.02</v>
      </c>
      <c r="F1117">
        <f t="shared" si="42"/>
        <v>1.02</v>
      </c>
    </row>
    <row r="1118" spans="4:6" x14ac:dyDescent="0.2">
      <c r="D1118">
        <v>7.5</v>
      </c>
      <c r="F1118">
        <f t="shared" si="42"/>
        <v>7.5</v>
      </c>
    </row>
    <row r="1119" spans="4:6" x14ac:dyDescent="0.2">
      <c r="D1119">
        <v>32</v>
      </c>
      <c r="F1119">
        <f t="shared" si="42"/>
        <v>32</v>
      </c>
    </row>
    <row r="1120" spans="4:6" x14ac:dyDescent="0.2">
      <c r="D1120">
        <v>7</v>
      </c>
      <c r="F1120">
        <f t="shared" si="42"/>
        <v>7</v>
      </c>
    </row>
    <row r="1121" spans="4:6" x14ac:dyDescent="0.2">
      <c r="D1121">
        <v>180.7</v>
      </c>
      <c r="F1121">
        <f t="shared" si="42"/>
        <v>180.7</v>
      </c>
    </row>
    <row r="1122" spans="4:6" x14ac:dyDescent="0.2">
      <c r="D1122">
        <v>97.2</v>
      </c>
      <c r="F1122">
        <f t="shared" si="42"/>
        <v>97.2</v>
      </c>
    </row>
    <row r="1123" spans="4:6" x14ac:dyDescent="0.2">
      <c r="D1123">
        <v>74.7</v>
      </c>
      <c r="F1123">
        <f t="shared" si="42"/>
        <v>74.7</v>
      </c>
    </row>
    <row r="1124" spans="4:6" x14ac:dyDescent="0.2">
      <c r="D1124">
        <v>14</v>
      </c>
      <c r="F1124">
        <f t="shared" si="42"/>
        <v>14</v>
      </c>
    </row>
    <row r="1125" spans="4:6" x14ac:dyDescent="0.2">
      <c r="D1125">
        <v>22.36</v>
      </c>
      <c r="F1125">
        <f t="shared" ref="F1125:F1188" si="43">D1125</f>
        <v>22.36</v>
      </c>
    </row>
    <row r="1126" spans="4:6" x14ac:dyDescent="0.2">
      <c r="D1126">
        <v>21.25</v>
      </c>
      <c r="F1126">
        <f t="shared" si="43"/>
        <v>21.25</v>
      </c>
    </row>
    <row r="1127" spans="4:6" x14ac:dyDescent="0.2">
      <c r="D1127">
        <v>29.66</v>
      </c>
      <c r="F1127">
        <f t="shared" si="43"/>
        <v>29.66</v>
      </c>
    </row>
    <row r="1128" spans="4:6" x14ac:dyDescent="0.2">
      <c r="D1128">
        <v>13.06</v>
      </c>
      <c r="F1128">
        <f t="shared" si="43"/>
        <v>13.06</v>
      </c>
    </row>
    <row r="1129" spans="4:6" x14ac:dyDescent="0.2">
      <c r="D1129">
        <v>0.81</v>
      </c>
      <c r="F1129">
        <f t="shared" si="43"/>
        <v>0.81</v>
      </c>
    </row>
    <row r="1130" spans="4:6" x14ac:dyDescent="0.2">
      <c r="D1130">
        <v>0.83</v>
      </c>
      <c r="F1130">
        <f t="shared" si="43"/>
        <v>0.83</v>
      </c>
    </row>
    <row r="1131" spans="4:6" x14ac:dyDescent="0.2">
      <c r="D1131">
        <v>4.7</v>
      </c>
      <c r="F1131">
        <f t="shared" si="43"/>
        <v>4.7</v>
      </c>
    </row>
    <row r="1132" spans="4:6" x14ac:dyDescent="0.2">
      <c r="D1132">
        <v>12.73</v>
      </c>
      <c r="F1132">
        <f t="shared" si="43"/>
        <v>12.73</v>
      </c>
    </row>
    <row r="1133" spans="4:6" x14ac:dyDescent="0.2">
      <c r="D1133">
        <v>6.91</v>
      </c>
      <c r="F1133">
        <f t="shared" si="43"/>
        <v>6.91</v>
      </c>
    </row>
    <row r="1134" spans="4:6" x14ac:dyDescent="0.2">
      <c r="D1134">
        <v>2.19</v>
      </c>
      <c r="F1134">
        <f t="shared" si="43"/>
        <v>2.19</v>
      </c>
    </row>
    <row r="1135" spans="4:6" x14ac:dyDescent="0.2">
      <c r="D1135">
        <v>0.23</v>
      </c>
      <c r="F1135">
        <f t="shared" si="43"/>
        <v>0.23</v>
      </c>
    </row>
    <row r="1136" spans="4:6" x14ac:dyDescent="0.2">
      <c r="D1136">
        <v>9.3789999999999996</v>
      </c>
      <c r="F1136">
        <f t="shared" si="43"/>
        <v>9.3789999999999996</v>
      </c>
    </row>
    <row r="1137" spans="4:6" x14ac:dyDescent="0.2">
      <c r="D1137">
        <v>7.6520000000000001</v>
      </c>
      <c r="F1137">
        <f t="shared" si="43"/>
        <v>7.6520000000000001</v>
      </c>
    </row>
    <row r="1138" spans="4:6" x14ac:dyDescent="0.2">
      <c r="D1138">
        <v>0.5</v>
      </c>
      <c r="F1138">
        <f t="shared" si="43"/>
        <v>0.5</v>
      </c>
    </row>
    <row r="1139" spans="4:6" x14ac:dyDescent="0.2">
      <c r="D1139">
        <v>26</v>
      </c>
      <c r="F1139">
        <f t="shared" si="43"/>
        <v>26</v>
      </c>
    </row>
    <row r="1140" spans="4:6" x14ac:dyDescent="0.2">
      <c r="D1140">
        <v>2.0628000000000002</v>
      </c>
      <c r="F1140">
        <f t="shared" si="43"/>
        <v>2.0628000000000002</v>
      </c>
    </row>
    <row r="1141" spans="4:6" x14ac:dyDescent="0.2">
      <c r="D1141">
        <v>6.36</v>
      </c>
      <c r="F1141">
        <f t="shared" si="43"/>
        <v>6.36</v>
      </c>
    </row>
    <row r="1142" spans="4:6" x14ac:dyDescent="0.2">
      <c r="D1142">
        <v>238</v>
      </c>
      <c r="F1142">
        <f t="shared" si="43"/>
        <v>238</v>
      </c>
    </row>
    <row r="1143" spans="4:6" x14ac:dyDescent="0.2">
      <c r="D1143">
        <v>129</v>
      </c>
      <c r="F1143">
        <f t="shared" si="43"/>
        <v>129</v>
      </c>
    </row>
    <row r="1144" spans="4:6" x14ac:dyDescent="0.2">
      <c r="D1144">
        <v>240</v>
      </c>
      <c r="F1144">
        <f t="shared" si="43"/>
        <v>240</v>
      </c>
    </row>
    <row r="1145" spans="4:6" x14ac:dyDescent="0.2">
      <c r="D1145">
        <v>1</v>
      </c>
      <c r="F1145">
        <f t="shared" si="43"/>
        <v>1</v>
      </c>
    </row>
    <row r="1146" spans="4:6" x14ac:dyDescent="0.2">
      <c r="D1146">
        <v>24</v>
      </c>
      <c r="F1146">
        <f t="shared" si="43"/>
        <v>24</v>
      </c>
    </row>
    <row r="1147" spans="4:6" x14ac:dyDescent="0.2">
      <c r="D1147">
        <v>4.1959999999999997</v>
      </c>
      <c r="F1147">
        <f t="shared" si="43"/>
        <v>4.1959999999999997</v>
      </c>
    </row>
    <row r="1148" spans="4:6" x14ac:dyDescent="0.2">
      <c r="D1148">
        <v>15.385</v>
      </c>
      <c r="F1148">
        <f t="shared" si="43"/>
        <v>15.385</v>
      </c>
    </row>
    <row r="1149" spans="4:6" x14ac:dyDescent="0.2">
      <c r="D1149">
        <v>0.996</v>
      </c>
      <c r="F1149">
        <f t="shared" si="43"/>
        <v>0.996</v>
      </c>
    </row>
    <row r="1150" spans="4:6" x14ac:dyDescent="0.2">
      <c r="D1150">
        <v>14.9</v>
      </c>
      <c r="F1150">
        <f t="shared" si="43"/>
        <v>14.9</v>
      </c>
    </row>
    <row r="1151" spans="4:6" x14ac:dyDescent="0.2">
      <c r="D1151">
        <v>4.4000000000000004</v>
      </c>
      <c r="F1151">
        <f t="shared" si="43"/>
        <v>4.4000000000000004</v>
      </c>
    </row>
    <row r="1152" spans="4:6" x14ac:dyDescent="0.2">
      <c r="D1152">
        <v>18</v>
      </c>
      <c r="F1152">
        <f t="shared" si="43"/>
        <v>18</v>
      </c>
    </row>
    <row r="1153" spans="4:6" x14ac:dyDescent="0.2">
      <c r="D1153">
        <v>41</v>
      </c>
      <c r="F1153">
        <f t="shared" si="43"/>
        <v>41</v>
      </c>
    </row>
    <row r="1154" spans="4:6" x14ac:dyDescent="0.2">
      <c r="D1154">
        <v>2</v>
      </c>
      <c r="F1154">
        <f t="shared" si="43"/>
        <v>2</v>
      </c>
    </row>
    <row r="1155" spans="4:6" x14ac:dyDescent="0.2">
      <c r="D1155">
        <v>1</v>
      </c>
      <c r="F1155">
        <f t="shared" si="43"/>
        <v>1</v>
      </c>
    </row>
    <row r="1156" spans="4:6" x14ac:dyDescent="0.2">
      <c r="D1156">
        <v>24</v>
      </c>
      <c r="F1156">
        <f t="shared" si="43"/>
        <v>24</v>
      </c>
    </row>
    <row r="1157" spans="4:6" x14ac:dyDescent="0.2">
      <c r="D1157">
        <v>1.6</v>
      </c>
      <c r="F1157">
        <f t="shared" si="43"/>
        <v>1.6</v>
      </c>
    </row>
    <row r="1158" spans="4:6" x14ac:dyDescent="0.2">
      <c r="D1158">
        <v>0.7</v>
      </c>
      <c r="F1158">
        <f t="shared" si="43"/>
        <v>0.7</v>
      </c>
    </row>
    <row r="1159" spans="4:6" x14ac:dyDescent="0.2">
      <c r="D1159">
        <v>113</v>
      </c>
      <c r="F1159">
        <f t="shared" si="43"/>
        <v>113</v>
      </c>
    </row>
    <row r="1160" spans="4:6" x14ac:dyDescent="0.2">
      <c r="D1160">
        <v>0.37</v>
      </c>
      <c r="F1160">
        <f t="shared" si="43"/>
        <v>0.37</v>
      </c>
    </row>
    <row r="1161" spans="4:6" x14ac:dyDescent="0.2">
      <c r="D1161">
        <v>15</v>
      </c>
      <c r="F1161">
        <f t="shared" si="43"/>
        <v>15</v>
      </c>
    </row>
    <row r="1162" spans="4:6" x14ac:dyDescent="0.2">
      <c r="D1162">
        <v>28</v>
      </c>
      <c r="F1162">
        <f t="shared" si="43"/>
        <v>28</v>
      </c>
    </row>
    <row r="1163" spans="4:6" x14ac:dyDescent="0.2">
      <c r="D1163">
        <v>21</v>
      </c>
      <c r="F1163">
        <f t="shared" si="43"/>
        <v>21</v>
      </c>
    </row>
    <row r="1164" spans="4:6" x14ac:dyDescent="0.2">
      <c r="D1164">
        <v>6.7</v>
      </c>
      <c r="F1164">
        <f t="shared" si="43"/>
        <v>6.7</v>
      </c>
    </row>
    <row r="1165" spans="4:6" x14ac:dyDescent="0.2">
      <c r="D1165">
        <v>51</v>
      </c>
      <c r="F1165">
        <f t="shared" si="43"/>
        <v>51</v>
      </c>
    </row>
    <row r="1166" spans="4:6" x14ac:dyDescent="0.2">
      <c r="D1166">
        <v>62.6</v>
      </c>
      <c r="F1166">
        <f t="shared" si="43"/>
        <v>62.6</v>
      </c>
    </row>
    <row r="1167" spans="4:6" x14ac:dyDescent="0.2">
      <c r="D1167">
        <v>165</v>
      </c>
      <c r="F1167">
        <f t="shared" si="43"/>
        <v>165</v>
      </c>
    </row>
    <row r="1168" spans="4:6" x14ac:dyDescent="0.2">
      <c r="D1168">
        <v>101</v>
      </c>
      <c r="F1168">
        <f t="shared" si="43"/>
        <v>101</v>
      </c>
    </row>
    <row r="1169" spans="1:8" x14ac:dyDescent="0.2">
      <c r="D1169">
        <v>113</v>
      </c>
      <c r="F1169">
        <f t="shared" si="43"/>
        <v>113</v>
      </c>
    </row>
    <row r="1170" spans="1:8" x14ac:dyDescent="0.2">
      <c r="D1170">
        <v>55.4</v>
      </c>
      <c r="F1170">
        <f t="shared" si="43"/>
        <v>55.4</v>
      </c>
    </row>
    <row r="1171" spans="1:8" x14ac:dyDescent="0.2">
      <c r="D1171">
        <v>73.8</v>
      </c>
      <c r="F1171">
        <f t="shared" si="43"/>
        <v>73.8</v>
      </c>
    </row>
    <row r="1172" spans="1:8" x14ac:dyDescent="0.2">
      <c r="D1172">
        <v>62.2</v>
      </c>
      <c r="F1172">
        <f t="shared" si="43"/>
        <v>62.2</v>
      </c>
    </row>
    <row r="1173" spans="1:8" x14ac:dyDescent="0.2">
      <c r="D1173">
        <v>12.2</v>
      </c>
      <c r="F1173">
        <f t="shared" si="43"/>
        <v>12.2</v>
      </c>
    </row>
    <row r="1174" spans="1:8" x14ac:dyDescent="0.2">
      <c r="D1174">
        <v>4.04</v>
      </c>
      <c r="F1174">
        <f t="shared" si="43"/>
        <v>4.04</v>
      </c>
    </row>
    <row r="1175" spans="1:8" x14ac:dyDescent="0.2">
      <c r="D1175">
        <v>36</v>
      </c>
      <c r="F1175">
        <f t="shared" si="43"/>
        <v>36</v>
      </c>
    </row>
    <row r="1176" spans="1:8" x14ac:dyDescent="0.2">
      <c r="D1176">
        <v>1</v>
      </c>
      <c r="F1176">
        <f t="shared" si="43"/>
        <v>1</v>
      </c>
    </row>
    <row r="1177" spans="1:8" x14ac:dyDescent="0.2">
      <c r="D1177">
        <v>24</v>
      </c>
      <c r="F1177">
        <f t="shared" si="43"/>
        <v>24</v>
      </c>
    </row>
    <row r="1178" spans="1:8" x14ac:dyDescent="0.2">
      <c r="D1178">
        <v>4.8</v>
      </c>
      <c r="F1178">
        <f t="shared" si="43"/>
        <v>4.8</v>
      </c>
    </row>
    <row r="1179" spans="1:8" x14ac:dyDescent="0.2">
      <c r="D1179">
        <v>2.7</v>
      </c>
      <c r="F1179">
        <f t="shared" si="43"/>
        <v>2.7</v>
      </c>
    </row>
    <row r="1180" spans="1:8" x14ac:dyDescent="0.2">
      <c r="D1180">
        <v>5.4</v>
      </c>
      <c r="F1180">
        <f t="shared" si="43"/>
        <v>5.4</v>
      </c>
    </row>
    <row r="1181" spans="1:8" x14ac:dyDescent="0.2">
      <c r="D1181">
        <v>2.2000000000000002</v>
      </c>
      <c r="F1181">
        <f t="shared" si="43"/>
        <v>2.2000000000000002</v>
      </c>
    </row>
    <row r="1182" spans="1:8" x14ac:dyDescent="0.2">
      <c r="A1182" t="s">
        <v>320</v>
      </c>
      <c r="B1182">
        <v>2023</v>
      </c>
      <c r="C1182" t="s">
        <v>270</v>
      </c>
      <c r="D1182">
        <v>16.48</v>
      </c>
      <c r="E1182" t="s">
        <v>216</v>
      </c>
      <c r="F1182">
        <f t="shared" si="43"/>
        <v>16.48</v>
      </c>
      <c r="H1182" t="s">
        <v>319</v>
      </c>
    </row>
    <row r="1183" spans="1:8" x14ac:dyDescent="0.2">
      <c r="D1183">
        <v>6.71</v>
      </c>
      <c r="F1183">
        <f t="shared" si="43"/>
        <v>6.71</v>
      </c>
    </row>
    <row r="1184" spans="1:8" x14ac:dyDescent="0.2">
      <c r="D1184">
        <v>57.18</v>
      </c>
      <c r="F1184">
        <f t="shared" si="43"/>
        <v>57.18</v>
      </c>
    </row>
    <row r="1185" spans="1:8" x14ac:dyDescent="0.2">
      <c r="D1185">
        <v>20.91</v>
      </c>
      <c r="F1185">
        <f t="shared" si="43"/>
        <v>20.91</v>
      </c>
    </row>
    <row r="1186" spans="1:8" x14ac:dyDescent="0.2">
      <c r="D1186">
        <v>4.82</v>
      </c>
      <c r="F1186">
        <f t="shared" si="43"/>
        <v>4.82</v>
      </c>
    </row>
    <row r="1187" spans="1:8" x14ac:dyDescent="0.2">
      <c r="D1187">
        <v>0.02</v>
      </c>
      <c r="F1187">
        <f t="shared" si="43"/>
        <v>0.02</v>
      </c>
    </row>
    <row r="1188" spans="1:8" x14ac:dyDescent="0.2">
      <c r="D1188">
        <v>2.69</v>
      </c>
      <c r="F1188">
        <f t="shared" si="43"/>
        <v>2.69</v>
      </c>
    </row>
    <row r="1189" spans="1:8" x14ac:dyDescent="0.2">
      <c r="D1189">
        <v>0.25</v>
      </c>
      <c r="F1189">
        <f t="shared" ref="F1189:F1192" si="44">D1189</f>
        <v>0.25</v>
      </c>
    </row>
    <row r="1190" spans="1:8" x14ac:dyDescent="0.2">
      <c r="D1190">
        <v>170.9</v>
      </c>
      <c r="F1190">
        <f t="shared" si="44"/>
        <v>170.9</v>
      </c>
    </row>
    <row r="1191" spans="1:8" x14ac:dyDescent="0.2">
      <c r="D1191">
        <v>129</v>
      </c>
      <c r="F1191">
        <f t="shared" si="44"/>
        <v>129</v>
      </c>
    </row>
    <row r="1192" spans="1:8" x14ac:dyDescent="0.2">
      <c r="D1192">
        <v>24</v>
      </c>
      <c r="F1192">
        <f t="shared" si="44"/>
        <v>24</v>
      </c>
    </row>
    <row r="1193" spans="1:8" x14ac:dyDescent="0.2">
      <c r="A1193" t="s">
        <v>322</v>
      </c>
      <c r="B1193">
        <v>2024</v>
      </c>
      <c r="C1193" t="s">
        <v>270</v>
      </c>
      <c r="D1193">
        <v>8000</v>
      </c>
      <c r="E1193" t="s">
        <v>195</v>
      </c>
      <c r="F1193">
        <f>D1193/1000</f>
        <v>8</v>
      </c>
      <c r="H1193" t="s">
        <v>321</v>
      </c>
    </row>
    <row r="1194" spans="1:8" x14ac:dyDescent="0.2">
      <c r="D1194">
        <v>1350000</v>
      </c>
      <c r="F1194">
        <f t="shared" ref="F1194:F1255" si="45">D1194/1000</f>
        <v>1350</v>
      </c>
    </row>
    <row r="1195" spans="1:8" x14ac:dyDescent="0.2">
      <c r="D1195">
        <v>193</v>
      </c>
      <c r="F1195">
        <f t="shared" si="45"/>
        <v>0.193</v>
      </c>
    </row>
    <row r="1196" spans="1:8" x14ac:dyDescent="0.2">
      <c r="D1196">
        <v>169000000</v>
      </c>
      <c r="F1196">
        <f t="shared" si="45"/>
        <v>169000</v>
      </c>
    </row>
    <row r="1197" spans="1:8" x14ac:dyDescent="0.2">
      <c r="D1197">
        <v>468200</v>
      </c>
      <c r="F1197">
        <f t="shared" si="45"/>
        <v>468.2</v>
      </c>
    </row>
    <row r="1198" spans="1:8" x14ac:dyDescent="0.2">
      <c r="D1198">
        <v>342800</v>
      </c>
      <c r="F1198">
        <f t="shared" si="45"/>
        <v>342.8</v>
      </c>
    </row>
    <row r="1199" spans="1:8" x14ac:dyDescent="0.2">
      <c r="D1199">
        <v>400200</v>
      </c>
      <c r="F1199">
        <f t="shared" si="45"/>
        <v>400.2</v>
      </c>
    </row>
    <row r="1200" spans="1:8" x14ac:dyDescent="0.2">
      <c r="D1200">
        <v>439000</v>
      </c>
      <c r="F1200">
        <f t="shared" si="45"/>
        <v>439</v>
      </c>
    </row>
    <row r="1201" spans="1:8" x14ac:dyDescent="0.2">
      <c r="D1201">
        <v>382000</v>
      </c>
      <c r="F1201">
        <f t="shared" si="45"/>
        <v>382</v>
      </c>
    </row>
    <row r="1202" spans="1:8" x14ac:dyDescent="0.2">
      <c r="D1202">
        <v>200600</v>
      </c>
      <c r="F1202">
        <f t="shared" si="45"/>
        <v>200.6</v>
      </c>
    </row>
    <row r="1203" spans="1:8" x14ac:dyDescent="0.2">
      <c r="D1203">
        <v>403800</v>
      </c>
      <c r="F1203">
        <f t="shared" si="45"/>
        <v>403.8</v>
      </c>
    </row>
    <row r="1204" spans="1:8" x14ac:dyDescent="0.2">
      <c r="D1204">
        <v>411200</v>
      </c>
      <c r="F1204">
        <f t="shared" si="45"/>
        <v>411.2</v>
      </c>
    </row>
    <row r="1205" spans="1:8" x14ac:dyDescent="0.2">
      <c r="D1205">
        <v>368200</v>
      </c>
      <c r="F1205">
        <f t="shared" si="45"/>
        <v>368.2</v>
      </c>
    </row>
    <row r="1206" spans="1:8" x14ac:dyDescent="0.2">
      <c r="D1206">
        <v>231600</v>
      </c>
      <c r="F1206">
        <f t="shared" si="45"/>
        <v>231.6</v>
      </c>
    </row>
    <row r="1207" spans="1:8" x14ac:dyDescent="0.2">
      <c r="D1207">
        <v>512000</v>
      </c>
      <c r="F1207">
        <f t="shared" si="45"/>
        <v>512</v>
      </c>
    </row>
    <row r="1208" spans="1:8" x14ac:dyDescent="0.2">
      <c r="D1208">
        <v>486800</v>
      </c>
      <c r="F1208">
        <f t="shared" si="45"/>
        <v>486.8</v>
      </c>
    </row>
    <row r="1209" spans="1:8" x14ac:dyDescent="0.2">
      <c r="D1209">
        <v>487600</v>
      </c>
      <c r="F1209">
        <f t="shared" si="45"/>
        <v>487.6</v>
      </c>
    </row>
    <row r="1210" spans="1:8" x14ac:dyDescent="0.2">
      <c r="D1210">
        <v>188200</v>
      </c>
      <c r="F1210">
        <f t="shared" si="45"/>
        <v>188.2</v>
      </c>
    </row>
    <row r="1211" spans="1:8" x14ac:dyDescent="0.2">
      <c r="D1211">
        <v>262000</v>
      </c>
      <c r="F1211">
        <f t="shared" si="45"/>
        <v>262</v>
      </c>
    </row>
    <row r="1212" spans="1:8" x14ac:dyDescent="0.2">
      <c r="D1212">
        <v>406440</v>
      </c>
      <c r="F1212">
        <f t="shared" si="45"/>
        <v>406.44</v>
      </c>
    </row>
    <row r="1213" spans="1:8" x14ac:dyDescent="0.2">
      <c r="D1213">
        <v>436560</v>
      </c>
      <c r="F1213">
        <f t="shared" si="45"/>
        <v>436.56</v>
      </c>
    </row>
    <row r="1214" spans="1:8" x14ac:dyDescent="0.2">
      <c r="D1214">
        <v>374400</v>
      </c>
      <c r="F1214">
        <f t="shared" si="45"/>
        <v>374.4</v>
      </c>
    </row>
    <row r="1215" spans="1:8" x14ac:dyDescent="0.2">
      <c r="D1215">
        <v>206800</v>
      </c>
      <c r="F1215">
        <f t="shared" si="45"/>
        <v>206.8</v>
      </c>
    </row>
    <row r="1216" spans="1:8" x14ac:dyDescent="0.2">
      <c r="A1216" t="s">
        <v>324</v>
      </c>
      <c r="B1216">
        <v>2022</v>
      </c>
      <c r="C1216" t="s">
        <v>270</v>
      </c>
      <c r="D1216">
        <v>1000</v>
      </c>
      <c r="E1216" t="s">
        <v>195</v>
      </c>
      <c r="F1216">
        <f t="shared" si="45"/>
        <v>1</v>
      </c>
      <c r="H1216" t="s">
        <v>323</v>
      </c>
    </row>
    <row r="1217" spans="4:6" x14ac:dyDescent="0.2">
      <c r="D1217">
        <v>186700</v>
      </c>
      <c r="F1217">
        <f t="shared" si="45"/>
        <v>186.7</v>
      </c>
    </row>
    <row r="1218" spans="4:6" x14ac:dyDescent="0.2">
      <c r="D1218">
        <v>660</v>
      </c>
      <c r="F1218">
        <f t="shared" si="45"/>
        <v>0.66</v>
      </c>
    </row>
    <row r="1219" spans="4:6" x14ac:dyDescent="0.2">
      <c r="D1219">
        <v>510</v>
      </c>
      <c r="F1219">
        <f t="shared" si="45"/>
        <v>0.51</v>
      </c>
    </row>
    <row r="1220" spans="4:6" x14ac:dyDescent="0.2">
      <c r="D1220">
        <v>14900</v>
      </c>
      <c r="F1220">
        <f t="shared" si="45"/>
        <v>14.9</v>
      </c>
    </row>
    <row r="1221" spans="4:6" x14ac:dyDescent="0.2">
      <c r="D1221">
        <v>170965</v>
      </c>
      <c r="F1221">
        <f t="shared" si="45"/>
        <v>170.965</v>
      </c>
    </row>
    <row r="1222" spans="4:6" x14ac:dyDescent="0.2">
      <c r="D1222">
        <v>14895</v>
      </c>
      <c r="F1222">
        <f t="shared" si="45"/>
        <v>14.895</v>
      </c>
    </row>
    <row r="1223" spans="4:6" x14ac:dyDescent="0.2">
      <c r="D1223">
        <v>9655</v>
      </c>
      <c r="F1223">
        <f t="shared" si="45"/>
        <v>9.6549999999999994</v>
      </c>
    </row>
    <row r="1224" spans="4:6" x14ac:dyDescent="0.2">
      <c r="D1224">
        <v>13200</v>
      </c>
      <c r="F1224">
        <f t="shared" si="45"/>
        <v>13.2</v>
      </c>
    </row>
    <row r="1225" spans="4:6" x14ac:dyDescent="0.2">
      <c r="D1225">
        <v>404300</v>
      </c>
      <c r="F1225">
        <f t="shared" si="45"/>
        <v>404.3</v>
      </c>
    </row>
    <row r="1226" spans="4:6" x14ac:dyDescent="0.2">
      <c r="D1226">
        <v>2.2999999999999998</v>
      </c>
      <c r="F1226">
        <f t="shared" si="45"/>
        <v>2.3E-3</v>
      </c>
    </row>
    <row r="1227" spans="4:6" x14ac:dyDescent="0.2">
      <c r="D1227">
        <v>113000</v>
      </c>
      <c r="F1227">
        <f t="shared" si="45"/>
        <v>113</v>
      </c>
    </row>
    <row r="1228" spans="4:6" x14ac:dyDescent="0.2">
      <c r="D1228">
        <v>7.91</v>
      </c>
      <c r="F1228">
        <f t="shared" si="45"/>
        <v>7.9100000000000004E-3</v>
      </c>
    </row>
    <row r="1229" spans="4:6" x14ac:dyDescent="0.2">
      <c r="D1229">
        <v>56300</v>
      </c>
      <c r="F1229">
        <f t="shared" si="45"/>
        <v>56.3</v>
      </c>
    </row>
    <row r="1230" spans="4:6" x14ac:dyDescent="0.2">
      <c r="D1230">
        <v>51200</v>
      </c>
      <c r="F1230">
        <f t="shared" si="45"/>
        <v>51.2</v>
      </c>
    </row>
    <row r="1231" spans="4:6" x14ac:dyDescent="0.2">
      <c r="D1231">
        <v>48500</v>
      </c>
      <c r="F1231">
        <f t="shared" si="45"/>
        <v>48.5</v>
      </c>
    </row>
    <row r="1232" spans="4:6" x14ac:dyDescent="0.2">
      <c r="D1232">
        <v>2920</v>
      </c>
      <c r="F1232">
        <f t="shared" si="45"/>
        <v>2.92</v>
      </c>
    </row>
    <row r="1233" spans="1:8" x14ac:dyDescent="0.2">
      <c r="D1233">
        <v>133000</v>
      </c>
      <c r="F1233">
        <f t="shared" si="45"/>
        <v>133</v>
      </c>
    </row>
    <row r="1234" spans="1:8" x14ac:dyDescent="0.2">
      <c r="D1234">
        <v>36300</v>
      </c>
      <c r="F1234">
        <f t="shared" si="45"/>
        <v>36.299999999999997</v>
      </c>
    </row>
    <row r="1235" spans="1:8" x14ac:dyDescent="0.2">
      <c r="D1235">
        <v>6908</v>
      </c>
      <c r="F1235">
        <f t="shared" si="45"/>
        <v>6.9080000000000004</v>
      </c>
    </row>
    <row r="1236" spans="1:8" x14ac:dyDescent="0.2">
      <c r="D1236">
        <v>2190</v>
      </c>
      <c r="F1236">
        <f t="shared" si="45"/>
        <v>2.19</v>
      </c>
    </row>
    <row r="1237" spans="1:8" x14ac:dyDescent="0.2">
      <c r="D1237">
        <v>234.7</v>
      </c>
      <c r="F1237">
        <f t="shared" si="45"/>
        <v>0.23469999999999999</v>
      </c>
    </row>
    <row r="1238" spans="1:8" x14ac:dyDescent="0.2">
      <c r="D1238">
        <v>1401000</v>
      </c>
      <c r="F1238">
        <f t="shared" si="45"/>
        <v>1401</v>
      </c>
    </row>
    <row r="1239" spans="1:8" x14ac:dyDescent="0.2">
      <c r="D1239">
        <v>26300</v>
      </c>
      <c r="F1239">
        <f t="shared" si="45"/>
        <v>26.3</v>
      </c>
    </row>
    <row r="1240" spans="1:8" x14ac:dyDescent="0.2">
      <c r="D1240">
        <v>32000</v>
      </c>
      <c r="F1240">
        <f t="shared" si="45"/>
        <v>32</v>
      </c>
    </row>
    <row r="1241" spans="1:8" x14ac:dyDescent="0.2">
      <c r="D1241">
        <v>10900</v>
      </c>
      <c r="F1241">
        <f t="shared" si="45"/>
        <v>10.9</v>
      </c>
    </row>
    <row r="1242" spans="1:8" x14ac:dyDescent="0.2">
      <c r="D1242">
        <v>2575</v>
      </c>
      <c r="F1242">
        <f t="shared" si="45"/>
        <v>2.5750000000000002</v>
      </c>
    </row>
    <row r="1243" spans="1:8" x14ac:dyDescent="0.2">
      <c r="A1243" t="s">
        <v>326</v>
      </c>
      <c r="B1243">
        <v>2024</v>
      </c>
      <c r="C1243" t="s">
        <v>270</v>
      </c>
      <c r="D1243">
        <v>12200</v>
      </c>
      <c r="E1243" t="s">
        <v>195</v>
      </c>
      <c r="F1243">
        <f t="shared" si="45"/>
        <v>12.2</v>
      </c>
      <c r="H1243" t="s">
        <v>325</v>
      </c>
    </row>
    <row r="1244" spans="1:8" x14ac:dyDescent="0.2">
      <c r="C1244" t="s">
        <v>0</v>
      </c>
      <c r="D1244">
        <v>100</v>
      </c>
      <c r="E1244" t="s">
        <v>195</v>
      </c>
      <c r="F1244">
        <f t="shared" si="45"/>
        <v>0.1</v>
      </c>
    </row>
    <row r="1245" spans="1:8" x14ac:dyDescent="0.2">
      <c r="D1245">
        <v>133</v>
      </c>
      <c r="F1245">
        <f t="shared" si="45"/>
        <v>0.13300000000000001</v>
      </c>
    </row>
    <row r="1246" spans="1:8" x14ac:dyDescent="0.2">
      <c r="D1246">
        <v>117</v>
      </c>
      <c r="F1246">
        <f t="shared" si="45"/>
        <v>0.11700000000000001</v>
      </c>
    </row>
    <row r="1247" spans="1:8" x14ac:dyDescent="0.2">
      <c r="D1247">
        <v>388</v>
      </c>
      <c r="F1247">
        <f t="shared" si="45"/>
        <v>0.38800000000000001</v>
      </c>
    </row>
    <row r="1248" spans="1:8" x14ac:dyDescent="0.2">
      <c r="D1248">
        <v>350</v>
      </c>
      <c r="F1248">
        <f t="shared" si="45"/>
        <v>0.35</v>
      </c>
    </row>
    <row r="1249" spans="1:8" x14ac:dyDescent="0.2">
      <c r="D1249">
        <v>383</v>
      </c>
      <c r="F1249">
        <f t="shared" si="45"/>
        <v>0.38300000000000001</v>
      </c>
    </row>
    <row r="1250" spans="1:8" x14ac:dyDescent="0.2">
      <c r="D1250">
        <v>455</v>
      </c>
      <c r="F1250">
        <f t="shared" si="45"/>
        <v>0.45500000000000002</v>
      </c>
    </row>
    <row r="1251" spans="1:8" x14ac:dyDescent="0.2">
      <c r="D1251">
        <v>544</v>
      </c>
      <c r="F1251">
        <f t="shared" si="45"/>
        <v>0.54400000000000004</v>
      </c>
    </row>
    <row r="1252" spans="1:8" x14ac:dyDescent="0.2">
      <c r="D1252">
        <v>500</v>
      </c>
      <c r="F1252">
        <f t="shared" si="45"/>
        <v>0.5</v>
      </c>
    </row>
    <row r="1253" spans="1:8" x14ac:dyDescent="0.2">
      <c r="D1253">
        <v>444</v>
      </c>
      <c r="F1253">
        <f t="shared" si="45"/>
        <v>0.44400000000000001</v>
      </c>
    </row>
    <row r="1254" spans="1:8" x14ac:dyDescent="0.2">
      <c r="D1254">
        <v>277</v>
      </c>
      <c r="F1254">
        <f t="shared" si="45"/>
        <v>0.27700000000000002</v>
      </c>
    </row>
    <row r="1255" spans="1:8" x14ac:dyDescent="0.2">
      <c r="D1255">
        <v>361</v>
      </c>
      <c r="F1255">
        <f t="shared" si="45"/>
        <v>0.36099999999999999</v>
      </c>
    </row>
    <row r="1256" spans="1:8" x14ac:dyDescent="0.2">
      <c r="A1256" t="s">
        <v>312</v>
      </c>
      <c r="C1256" t="s">
        <v>270</v>
      </c>
      <c r="D1256">
        <v>15.9</v>
      </c>
      <c r="E1256" t="s">
        <v>216</v>
      </c>
      <c r="F1256">
        <f>D1256</f>
        <v>15.9</v>
      </c>
      <c r="H1256" t="s">
        <v>327</v>
      </c>
    </row>
    <row r="1257" spans="1:8" x14ac:dyDescent="0.2">
      <c r="D1257">
        <v>40</v>
      </c>
      <c r="F1257">
        <f t="shared" ref="F1257:F1290" si="46">D1257</f>
        <v>40</v>
      </c>
    </row>
    <row r="1258" spans="1:8" x14ac:dyDescent="0.2">
      <c r="D1258">
        <v>56.5</v>
      </c>
      <c r="F1258">
        <f t="shared" si="46"/>
        <v>56.5</v>
      </c>
    </row>
    <row r="1259" spans="1:8" x14ac:dyDescent="0.2">
      <c r="D1259">
        <v>45.7</v>
      </c>
      <c r="F1259">
        <f t="shared" si="46"/>
        <v>45.7</v>
      </c>
    </row>
    <row r="1260" spans="1:8" x14ac:dyDescent="0.2">
      <c r="D1260">
        <v>46.1</v>
      </c>
      <c r="F1260">
        <f t="shared" si="46"/>
        <v>46.1</v>
      </c>
    </row>
    <row r="1261" spans="1:8" x14ac:dyDescent="0.2">
      <c r="D1261">
        <v>51.2</v>
      </c>
      <c r="F1261">
        <f t="shared" si="46"/>
        <v>51.2</v>
      </c>
    </row>
    <row r="1262" spans="1:8" x14ac:dyDescent="0.2">
      <c r="D1262">
        <v>31.7</v>
      </c>
      <c r="F1262">
        <f t="shared" si="46"/>
        <v>31.7</v>
      </c>
    </row>
    <row r="1263" spans="1:8" x14ac:dyDescent="0.2">
      <c r="D1263">
        <v>37.799999999999997</v>
      </c>
      <c r="F1263">
        <f t="shared" si="46"/>
        <v>37.799999999999997</v>
      </c>
    </row>
    <row r="1264" spans="1:8" x14ac:dyDescent="0.2">
      <c r="D1264">
        <v>48.5</v>
      </c>
      <c r="F1264">
        <f t="shared" si="46"/>
        <v>48.5</v>
      </c>
    </row>
    <row r="1265" spans="1:8" x14ac:dyDescent="0.2">
      <c r="A1265" t="s">
        <v>329</v>
      </c>
      <c r="B1265">
        <v>2025</v>
      </c>
      <c r="C1265" t="s">
        <v>270</v>
      </c>
      <c r="D1265">
        <v>0.9</v>
      </c>
      <c r="E1265" t="s">
        <v>216</v>
      </c>
      <c r="F1265">
        <f t="shared" si="46"/>
        <v>0.9</v>
      </c>
      <c r="H1265" t="s">
        <v>328</v>
      </c>
    </row>
    <row r="1266" spans="1:8" x14ac:dyDescent="0.2">
      <c r="D1266">
        <v>4.9400000000000004</v>
      </c>
      <c r="F1266">
        <f t="shared" si="46"/>
        <v>4.9400000000000004</v>
      </c>
    </row>
    <row r="1267" spans="1:8" x14ac:dyDescent="0.2">
      <c r="D1267">
        <v>11.1</v>
      </c>
      <c r="F1267">
        <f t="shared" si="46"/>
        <v>11.1</v>
      </c>
    </row>
    <row r="1268" spans="1:8" x14ac:dyDescent="0.2">
      <c r="D1268">
        <v>150</v>
      </c>
      <c r="F1268">
        <f t="shared" si="46"/>
        <v>150</v>
      </c>
    </row>
    <row r="1269" spans="1:8" x14ac:dyDescent="0.2">
      <c r="D1269">
        <v>9.1</v>
      </c>
      <c r="F1269">
        <f t="shared" si="46"/>
        <v>9.1</v>
      </c>
    </row>
    <row r="1270" spans="1:8" x14ac:dyDescent="0.2">
      <c r="D1270">
        <v>636</v>
      </c>
      <c r="F1270">
        <f t="shared" si="46"/>
        <v>636</v>
      </c>
    </row>
    <row r="1271" spans="1:8" x14ac:dyDescent="0.2">
      <c r="D1271">
        <v>228</v>
      </c>
      <c r="F1271">
        <f t="shared" si="46"/>
        <v>228</v>
      </c>
    </row>
    <row r="1272" spans="1:8" x14ac:dyDescent="0.2">
      <c r="D1272">
        <v>1353</v>
      </c>
      <c r="F1272">
        <f t="shared" si="46"/>
        <v>1353</v>
      </c>
    </row>
    <row r="1273" spans="1:8" x14ac:dyDescent="0.2">
      <c r="D1273">
        <v>55.4</v>
      </c>
      <c r="F1273">
        <f t="shared" si="46"/>
        <v>55.4</v>
      </c>
    </row>
    <row r="1274" spans="1:8" x14ac:dyDescent="0.2">
      <c r="D1274">
        <v>73.8</v>
      </c>
      <c r="F1274">
        <f t="shared" si="46"/>
        <v>73.8</v>
      </c>
    </row>
    <row r="1275" spans="1:8" x14ac:dyDescent="0.2">
      <c r="D1275">
        <v>37.700000000000003</v>
      </c>
      <c r="F1275">
        <f t="shared" si="46"/>
        <v>37.700000000000003</v>
      </c>
    </row>
    <row r="1276" spans="1:8" x14ac:dyDescent="0.2">
      <c r="D1276">
        <v>97.2</v>
      </c>
      <c r="F1276">
        <f t="shared" si="46"/>
        <v>97.2</v>
      </c>
    </row>
    <row r="1277" spans="1:8" x14ac:dyDescent="0.2">
      <c r="D1277">
        <v>48.5</v>
      </c>
      <c r="F1277">
        <f t="shared" si="46"/>
        <v>48.5</v>
      </c>
    </row>
    <row r="1278" spans="1:8" x14ac:dyDescent="0.2">
      <c r="D1278">
        <v>56.5</v>
      </c>
      <c r="F1278">
        <f t="shared" si="46"/>
        <v>56.5</v>
      </c>
    </row>
    <row r="1279" spans="1:8" x14ac:dyDescent="0.2">
      <c r="D1279">
        <v>2.2000000000000002</v>
      </c>
      <c r="F1279">
        <f t="shared" si="46"/>
        <v>2.2000000000000002</v>
      </c>
    </row>
    <row r="1280" spans="1:8" x14ac:dyDescent="0.2">
      <c r="D1280">
        <v>11.3</v>
      </c>
      <c r="F1280">
        <f t="shared" si="46"/>
        <v>11.3</v>
      </c>
    </row>
    <row r="1281" spans="1:8" x14ac:dyDescent="0.2">
      <c r="D1281">
        <v>50</v>
      </c>
      <c r="F1281">
        <f t="shared" si="46"/>
        <v>50</v>
      </c>
    </row>
    <row r="1282" spans="1:8" x14ac:dyDescent="0.2">
      <c r="D1282">
        <v>133</v>
      </c>
      <c r="F1282">
        <f t="shared" si="46"/>
        <v>133</v>
      </c>
    </row>
    <row r="1283" spans="1:8" x14ac:dyDescent="0.2">
      <c r="D1283">
        <v>101</v>
      </c>
      <c r="F1283">
        <f t="shared" si="46"/>
        <v>101</v>
      </c>
    </row>
    <row r="1284" spans="1:8" x14ac:dyDescent="0.2">
      <c r="D1284">
        <v>8.6999999999999993</v>
      </c>
      <c r="F1284">
        <f t="shared" si="46"/>
        <v>8.6999999999999993</v>
      </c>
    </row>
    <row r="1285" spans="1:8" x14ac:dyDescent="0.2">
      <c r="D1285">
        <v>14.4</v>
      </c>
      <c r="F1285">
        <f t="shared" si="46"/>
        <v>14.4</v>
      </c>
    </row>
    <row r="1286" spans="1:8" x14ac:dyDescent="0.2">
      <c r="D1286">
        <v>113</v>
      </c>
      <c r="F1286">
        <f t="shared" si="46"/>
        <v>113</v>
      </c>
    </row>
    <row r="1287" spans="1:8" x14ac:dyDescent="0.2">
      <c r="D1287">
        <v>240</v>
      </c>
      <c r="F1287">
        <f t="shared" si="46"/>
        <v>240</v>
      </c>
    </row>
    <row r="1288" spans="1:8" x14ac:dyDescent="0.2">
      <c r="D1288">
        <v>1.6</v>
      </c>
      <c r="F1288">
        <f t="shared" si="46"/>
        <v>1.6</v>
      </c>
    </row>
    <row r="1289" spans="1:8" x14ac:dyDescent="0.2">
      <c r="D1289">
        <v>56.4</v>
      </c>
      <c r="F1289">
        <f t="shared" si="46"/>
        <v>56.4</v>
      </c>
    </row>
    <row r="1290" spans="1:8" x14ac:dyDescent="0.2">
      <c r="D1290">
        <v>4.4000000000000004</v>
      </c>
      <c r="F1290">
        <f t="shared" si="46"/>
        <v>4.4000000000000004</v>
      </c>
    </row>
    <row r="1291" spans="1:8" x14ac:dyDescent="0.2">
      <c r="A1291" t="s">
        <v>331</v>
      </c>
      <c r="B1291">
        <v>2020</v>
      </c>
      <c r="C1291" t="s">
        <v>270</v>
      </c>
      <c r="D1291">
        <v>1000</v>
      </c>
      <c r="E1291" t="s">
        <v>195</v>
      </c>
      <c r="F1291">
        <f>D1291/1000</f>
        <v>1</v>
      </c>
      <c r="H1291" t="s">
        <v>330</v>
      </c>
    </row>
    <row r="1292" spans="1:8" x14ac:dyDescent="0.2">
      <c r="D1292">
        <v>8479</v>
      </c>
      <c r="F1292">
        <f t="shared" ref="F1292:F1355" si="47">D1292/1000</f>
        <v>8.4789999999999992</v>
      </c>
    </row>
    <row r="1293" spans="1:8" x14ac:dyDescent="0.2">
      <c r="D1293">
        <v>4196</v>
      </c>
      <c r="F1293">
        <f t="shared" si="47"/>
        <v>4.1959999999999997</v>
      </c>
    </row>
    <row r="1294" spans="1:8" x14ac:dyDescent="0.2">
      <c r="D1294">
        <v>15385</v>
      </c>
      <c r="F1294">
        <f t="shared" si="47"/>
        <v>15.385</v>
      </c>
    </row>
    <row r="1295" spans="1:8" x14ac:dyDescent="0.2">
      <c r="D1295">
        <v>1000</v>
      </c>
      <c r="F1295">
        <f t="shared" si="47"/>
        <v>1</v>
      </c>
    </row>
    <row r="1296" spans="1:8" x14ac:dyDescent="0.2">
      <c r="D1296">
        <v>2065</v>
      </c>
      <c r="F1296">
        <f t="shared" si="47"/>
        <v>2.0649999999999999</v>
      </c>
    </row>
    <row r="1297" spans="1:8" x14ac:dyDescent="0.2">
      <c r="D1297">
        <v>11932</v>
      </c>
      <c r="F1297">
        <f t="shared" si="47"/>
        <v>11.932</v>
      </c>
    </row>
    <row r="1298" spans="1:8" x14ac:dyDescent="0.2">
      <c r="D1298">
        <v>4400</v>
      </c>
      <c r="F1298">
        <f t="shared" si="47"/>
        <v>4.4000000000000004</v>
      </c>
    </row>
    <row r="1299" spans="1:8" x14ac:dyDescent="0.2">
      <c r="D1299">
        <v>14900</v>
      </c>
      <c r="F1299">
        <f t="shared" si="47"/>
        <v>14.9</v>
      </c>
    </row>
    <row r="1300" spans="1:8" x14ac:dyDescent="0.2">
      <c r="D1300">
        <v>23000</v>
      </c>
      <c r="F1300">
        <f t="shared" si="47"/>
        <v>23</v>
      </c>
    </row>
    <row r="1301" spans="1:8" x14ac:dyDescent="0.2">
      <c r="D1301">
        <v>170000</v>
      </c>
      <c r="F1301">
        <f t="shared" si="47"/>
        <v>170</v>
      </c>
    </row>
    <row r="1302" spans="1:8" x14ac:dyDescent="0.2">
      <c r="D1302">
        <v>14740</v>
      </c>
      <c r="F1302">
        <f t="shared" si="47"/>
        <v>14.74</v>
      </c>
    </row>
    <row r="1303" spans="1:8" x14ac:dyDescent="0.2">
      <c r="D1303">
        <v>18660</v>
      </c>
      <c r="F1303">
        <f t="shared" si="47"/>
        <v>18.66</v>
      </c>
    </row>
    <row r="1304" spans="1:8" x14ac:dyDescent="0.2">
      <c r="D1304">
        <v>1565</v>
      </c>
      <c r="F1304">
        <f t="shared" si="47"/>
        <v>1.5649999999999999</v>
      </c>
    </row>
    <row r="1305" spans="1:8" x14ac:dyDescent="0.2">
      <c r="D1305">
        <v>56386</v>
      </c>
      <c r="F1305">
        <f t="shared" si="47"/>
        <v>56.386000000000003</v>
      </c>
    </row>
    <row r="1306" spans="1:8" x14ac:dyDescent="0.2">
      <c r="A1306" t="s">
        <v>333</v>
      </c>
      <c r="B1306">
        <v>2019</v>
      </c>
      <c r="C1306" t="s">
        <v>45</v>
      </c>
      <c r="D1306">
        <v>67</v>
      </c>
      <c r="E1306" t="s">
        <v>195</v>
      </c>
      <c r="F1306">
        <f t="shared" si="47"/>
        <v>6.7000000000000004E-2</v>
      </c>
      <c r="H1306" t="s">
        <v>332</v>
      </c>
    </row>
    <row r="1307" spans="1:8" x14ac:dyDescent="0.2">
      <c r="D1307">
        <v>34</v>
      </c>
      <c r="F1307">
        <f t="shared" si="47"/>
        <v>3.4000000000000002E-2</v>
      </c>
    </row>
    <row r="1308" spans="1:8" x14ac:dyDescent="0.2">
      <c r="D1308">
        <v>10</v>
      </c>
      <c r="F1308">
        <f t="shared" si="47"/>
        <v>0.01</v>
      </c>
    </row>
    <row r="1309" spans="1:8" x14ac:dyDescent="0.2">
      <c r="D1309">
        <v>100</v>
      </c>
      <c r="F1309">
        <f t="shared" si="47"/>
        <v>0.1</v>
      </c>
    </row>
    <row r="1310" spans="1:8" x14ac:dyDescent="0.2">
      <c r="D1310">
        <v>900</v>
      </c>
      <c r="F1310">
        <f t="shared" si="47"/>
        <v>0.9</v>
      </c>
    </row>
    <row r="1311" spans="1:8" x14ac:dyDescent="0.2">
      <c r="D1311">
        <v>25</v>
      </c>
      <c r="F1311">
        <f t="shared" si="47"/>
        <v>2.5000000000000001E-2</v>
      </c>
    </row>
    <row r="1312" spans="1:8" x14ac:dyDescent="0.2">
      <c r="D1312">
        <v>53</v>
      </c>
      <c r="F1312">
        <f t="shared" si="47"/>
        <v>5.2999999999999999E-2</v>
      </c>
    </row>
    <row r="1313" spans="4:6" x14ac:dyDescent="0.2">
      <c r="D1313">
        <v>18</v>
      </c>
      <c r="F1313">
        <f t="shared" si="47"/>
        <v>1.7999999999999999E-2</v>
      </c>
    </row>
    <row r="1314" spans="4:6" x14ac:dyDescent="0.2">
      <c r="D1314">
        <v>629</v>
      </c>
      <c r="F1314">
        <f t="shared" si="47"/>
        <v>0.629</v>
      </c>
    </row>
    <row r="1315" spans="4:6" x14ac:dyDescent="0.2">
      <c r="D1315">
        <v>1739</v>
      </c>
      <c r="F1315">
        <f t="shared" si="47"/>
        <v>1.7390000000000001</v>
      </c>
    </row>
    <row r="1316" spans="4:6" x14ac:dyDescent="0.2">
      <c r="D1316">
        <v>560</v>
      </c>
      <c r="F1316">
        <f t="shared" si="47"/>
        <v>0.56000000000000005</v>
      </c>
    </row>
    <row r="1317" spans="4:6" x14ac:dyDescent="0.2">
      <c r="D1317">
        <v>4205</v>
      </c>
      <c r="F1317">
        <f t="shared" si="47"/>
        <v>4.2050000000000001</v>
      </c>
    </row>
    <row r="1318" spans="4:6" x14ac:dyDescent="0.2">
      <c r="D1318">
        <v>54</v>
      </c>
      <c r="F1318">
        <f t="shared" si="47"/>
        <v>5.3999999999999999E-2</v>
      </c>
    </row>
    <row r="1319" spans="4:6" x14ac:dyDescent="0.2">
      <c r="D1319">
        <v>506</v>
      </c>
      <c r="F1319">
        <f t="shared" si="47"/>
        <v>0.50600000000000001</v>
      </c>
    </row>
    <row r="1320" spans="4:6" x14ac:dyDescent="0.2">
      <c r="D1320">
        <v>37.1</v>
      </c>
      <c r="F1320">
        <f t="shared" si="47"/>
        <v>3.7100000000000001E-2</v>
      </c>
    </row>
    <row r="1321" spans="4:6" x14ac:dyDescent="0.2">
      <c r="D1321">
        <v>171.8</v>
      </c>
      <c r="F1321">
        <f t="shared" si="47"/>
        <v>0.17180000000000001</v>
      </c>
    </row>
    <row r="1322" spans="4:6" x14ac:dyDescent="0.2">
      <c r="D1322">
        <v>123.6</v>
      </c>
      <c r="F1322">
        <f t="shared" si="47"/>
        <v>0.12359999999999999</v>
      </c>
    </row>
    <row r="1323" spans="4:6" x14ac:dyDescent="0.2">
      <c r="D1323">
        <v>72</v>
      </c>
      <c r="F1323">
        <f t="shared" si="47"/>
        <v>7.1999999999999995E-2</v>
      </c>
    </row>
    <row r="1324" spans="4:6" x14ac:dyDescent="0.2">
      <c r="D1324">
        <v>802</v>
      </c>
      <c r="F1324">
        <f t="shared" si="47"/>
        <v>0.80200000000000005</v>
      </c>
    </row>
    <row r="1325" spans="4:6" x14ac:dyDescent="0.2">
      <c r="D1325">
        <v>60</v>
      </c>
      <c r="F1325">
        <f t="shared" si="47"/>
        <v>0.06</v>
      </c>
    </row>
    <row r="1326" spans="4:6" x14ac:dyDescent="0.2">
      <c r="D1326">
        <v>240</v>
      </c>
      <c r="F1326">
        <f t="shared" si="47"/>
        <v>0.24</v>
      </c>
    </row>
    <row r="1327" spans="4:6" x14ac:dyDescent="0.2">
      <c r="D1327">
        <v>200</v>
      </c>
      <c r="F1327">
        <f t="shared" si="47"/>
        <v>0.2</v>
      </c>
    </row>
    <row r="1328" spans="4:6" x14ac:dyDescent="0.2">
      <c r="D1328">
        <v>1150</v>
      </c>
      <c r="F1328">
        <f t="shared" si="47"/>
        <v>1.1499999999999999</v>
      </c>
    </row>
    <row r="1329" spans="4:6" x14ac:dyDescent="0.2">
      <c r="D1329">
        <v>212</v>
      </c>
      <c r="F1329">
        <f t="shared" si="47"/>
        <v>0.21199999999999999</v>
      </c>
    </row>
    <row r="1330" spans="4:6" x14ac:dyDescent="0.2">
      <c r="D1330">
        <v>25</v>
      </c>
      <c r="F1330">
        <f t="shared" si="47"/>
        <v>2.5000000000000001E-2</v>
      </c>
    </row>
    <row r="1331" spans="4:6" x14ac:dyDescent="0.2">
      <c r="D1331">
        <v>300</v>
      </c>
      <c r="F1331">
        <f t="shared" si="47"/>
        <v>0.3</v>
      </c>
    </row>
    <row r="1332" spans="4:6" x14ac:dyDescent="0.2">
      <c r="D1332">
        <v>11</v>
      </c>
      <c r="F1332">
        <f t="shared" si="47"/>
        <v>1.0999999999999999E-2</v>
      </c>
    </row>
    <row r="1333" spans="4:6" x14ac:dyDescent="0.2">
      <c r="D1333">
        <v>234.6</v>
      </c>
      <c r="F1333">
        <f t="shared" si="47"/>
        <v>0.2346</v>
      </c>
    </row>
    <row r="1334" spans="4:6" x14ac:dyDescent="0.2">
      <c r="D1334">
        <v>80</v>
      </c>
      <c r="F1334">
        <f t="shared" si="47"/>
        <v>0.08</v>
      </c>
    </row>
    <row r="1335" spans="4:6" x14ac:dyDescent="0.2">
      <c r="D1335">
        <v>9597</v>
      </c>
      <c r="F1335">
        <f t="shared" si="47"/>
        <v>9.5969999999999995</v>
      </c>
    </row>
    <row r="1336" spans="4:6" x14ac:dyDescent="0.2">
      <c r="D1336">
        <v>102.9</v>
      </c>
      <c r="F1336">
        <f t="shared" si="47"/>
        <v>0.10290000000000001</v>
      </c>
    </row>
    <row r="1337" spans="4:6" x14ac:dyDescent="0.2">
      <c r="D1337">
        <v>163.30000000000001</v>
      </c>
      <c r="F1337">
        <f t="shared" si="47"/>
        <v>0.1633</v>
      </c>
    </row>
    <row r="1338" spans="4:6" x14ac:dyDescent="0.2">
      <c r="D1338">
        <v>1.3</v>
      </c>
      <c r="F1338">
        <f t="shared" si="47"/>
        <v>1.2999999999999999E-3</v>
      </c>
    </row>
    <row r="1339" spans="4:6" x14ac:dyDescent="0.2">
      <c r="D1339">
        <v>14712.5</v>
      </c>
      <c r="F1339">
        <f t="shared" si="47"/>
        <v>14.7125</v>
      </c>
    </row>
    <row r="1340" spans="4:6" x14ac:dyDescent="0.2">
      <c r="D1340">
        <v>7100</v>
      </c>
      <c r="F1340">
        <f t="shared" si="47"/>
        <v>7.1</v>
      </c>
    </row>
    <row r="1341" spans="4:6" x14ac:dyDescent="0.2">
      <c r="D1341">
        <v>42960</v>
      </c>
      <c r="F1341">
        <f t="shared" si="47"/>
        <v>42.96</v>
      </c>
    </row>
    <row r="1342" spans="4:6" x14ac:dyDescent="0.2">
      <c r="D1342">
        <v>49</v>
      </c>
      <c r="F1342">
        <f t="shared" si="47"/>
        <v>4.9000000000000002E-2</v>
      </c>
    </row>
    <row r="1343" spans="4:6" x14ac:dyDescent="0.2">
      <c r="D1343">
        <v>279</v>
      </c>
      <c r="F1343">
        <f t="shared" si="47"/>
        <v>0.27900000000000003</v>
      </c>
    </row>
    <row r="1344" spans="4:6" x14ac:dyDescent="0.2">
      <c r="D1344">
        <v>178</v>
      </c>
      <c r="F1344">
        <f t="shared" si="47"/>
        <v>0.17799999999999999</v>
      </c>
    </row>
    <row r="1345" spans="4:6" x14ac:dyDescent="0.2">
      <c r="D1345">
        <v>544</v>
      </c>
      <c r="F1345">
        <f t="shared" si="47"/>
        <v>0.54400000000000004</v>
      </c>
    </row>
    <row r="1346" spans="4:6" x14ac:dyDescent="0.2">
      <c r="D1346">
        <v>270.17</v>
      </c>
      <c r="F1346">
        <f t="shared" si="47"/>
        <v>0.27017000000000002</v>
      </c>
    </row>
    <row r="1347" spans="4:6" x14ac:dyDescent="0.2">
      <c r="D1347">
        <v>866.59</v>
      </c>
      <c r="F1347">
        <f t="shared" si="47"/>
        <v>0.86659000000000008</v>
      </c>
    </row>
    <row r="1348" spans="4:6" x14ac:dyDescent="0.2">
      <c r="D1348">
        <v>520</v>
      </c>
      <c r="F1348">
        <f t="shared" si="47"/>
        <v>0.52</v>
      </c>
    </row>
    <row r="1349" spans="4:6" x14ac:dyDescent="0.2">
      <c r="D1349">
        <v>2310</v>
      </c>
      <c r="F1349">
        <f t="shared" si="47"/>
        <v>2.31</v>
      </c>
    </row>
    <row r="1350" spans="4:6" x14ac:dyDescent="0.2">
      <c r="D1350">
        <v>360</v>
      </c>
      <c r="F1350">
        <f t="shared" si="47"/>
        <v>0.36</v>
      </c>
    </row>
    <row r="1351" spans="4:6" x14ac:dyDescent="0.2">
      <c r="D1351">
        <v>1320</v>
      </c>
      <c r="F1351">
        <f t="shared" si="47"/>
        <v>1.32</v>
      </c>
    </row>
    <row r="1352" spans="4:6" x14ac:dyDescent="0.2">
      <c r="D1352">
        <v>54</v>
      </c>
      <c r="F1352">
        <f t="shared" si="47"/>
        <v>5.3999999999999999E-2</v>
      </c>
    </row>
    <row r="1353" spans="4:6" x14ac:dyDescent="0.2">
      <c r="D1353">
        <v>506</v>
      </c>
      <c r="F1353">
        <f t="shared" si="47"/>
        <v>0.50600000000000001</v>
      </c>
    </row>
    <row r="1354" spans="4:6" x14ac:dyDescent="0.2">
      <c r="D1354">
        <v>3000</v>
      </c>
      <c r="F1354">
        <f t="shared" si="47"/>
        <v>3</v>
      </c>
    </row>
    <row r="1355" spans="4:6" x14ac:dyDescent="0.2">
      <c r="D1355">
        <v>18000</v>
      </c>
      <c r="F1355">
        <f t="shared" si="47"/>
        <v>18</v>
      </c>
    </row>
    <row r="1356" spans="4:6" x14ac:dyDescent="0.2">
      <c r="D1356">
        <v>50.6</v>
      </c>
      <c r="F1356">
        <f t="shared" ref="F1356:F1419" si="48">D1356/1000</f>
        <v>5.0599999999999999E-2</v>
      </c>
    </row>
    <row r="1357" spans="4:6" x14ac:dyDescent="0.2">
      <c r="D1357">
        <v>13.2</v>
      </c>
      <c r="F1357">
        <f t="shared" si="48"/>
        <v>1.32E-2</v>
      </c>
    </row>
    <row r="1358" spans="4:6" x14ac:dyDescent="0.2">
      <c r="D1358">
        <v>5.3</v>
      </c>
      <c r="F1358">
        <f t="shared" si="48"/>
        <v>5.3E-3</v>
      </c>
    </row>
    <row r="1359" spans="4:6" x14ac:dyDescent="0.2">
      <c r="D1359">
        <v>68.88</v>
      </c>
      <c r="F1359">
        <f t="shared" si="48"/>
        <v>6.8879999999999997E-2</v>
      </c>
    </row>
    <row r="1360" spans="4:6" x14ac:dyDescent="0.2">
      <c r="D1360">
        <v>20</v>
      </c>
      <c r="F1360">
        <f t="shared" si="48"/>
        <v>0.02</v>
      </c>
    </row>
    <row r="1361" spans="1:8" x14ac:dyDescent="0.2">
      <c r="D1361">
        <v>27830</v>
      </c>
      <c r="F1361">
        <f t="shared" si="48"/>
        <v>27.83</v>
      </c>
    </row>
    <row r="1362" spans="1:8" x14ac:dyDescent="0.2">
      <c r="D1362">
        <v>61</v>
      </c>
      <c r="F1362">
        <f t="shared" si="48"/>
        <v>6.0999999999999999E-2</v>
      </c>
    </row>
    <row r="1363" spans="1:8" x14ac:dyDescent="0.2">
      <c r="D1363">
        <v>4500</v>
      </c>
      <c r="F1363">
        <f t="shared" si="48"/>
        <v>4.5</v>
      </c>
    </row>
    <row r="1364" spans="1:8" x14ac:dyDescent="0.2">
      <c r="A1364" t="s">
        <v>335</v>
      </c>
      <c r="B1364">
        <v>2021</v>
      </c>
      <c r="C1364" t="s">
        <v>45</v>
      </c>
      <c r="D1364">
        <v>1845</v>
      </c>
      <c r="E1364" t="s">
        <v>195</v>
      </c>
      <c r="F1364">
        <f t="shared" si="48"/>
        <v>1.845</v>
      </c>
      <c r="H1364" t="s">
        <v>334</v>
      </c>
    </row>
    <row r="1365" spans="1:8" x14ac:dyDescent="0.2">
      <c r="D1365">
        <v>5385</v>
      </c>
      <c r="F1365">
        <f t="shared" si="48"/>
        <v>5.3849999999999998</v>
      </c>
    </row>
    <row r="1366" spans="1:8" x14ac:dyDescent="0.2">
      <c r="D1366">
        <v>243</v>
      </c>
      <c r="F1366">
        <f t="shared" si="48"/>
        <v>0.24299999999999999</v>
      </c>
    </row>
    <row r="1367" spans="1:8" x14ac:dyDescent="0.2">
      <c r="D1367">
        <v>7228</v>
      </c>
      <c r="F1367">
        <f t="shared" si="48"/>
        <v>7.2279999999999998</v>
      </c>
    </row>
    <row r="1368" spans="1:8" x14ac:dyDescent="0.2">
      <c r="D1368">
        <v>1100</v>
      </c>
      <c r="F1368">
        <f t="shared" si="48"/>
        <v>1.1000000000000001</v>
      </c>
    </row>
    <row r="1369" spans="1:8" x14ac:dyDescent="0.2">
      <c r="D1369">
        <v>165</v>
      </c>
      <c r="F1369">
        <f t="shared" si="48"/>
        <v>0.16500000000000001</v>
      </c>
    </row>
    <row r="1370" spans="1:8" x14ac:dyDescent="0.2">
      <c r="D1370">
        <v>248</v>
      </c>
      <c r="F1370">
        <f t="shared" si="48"/>
        <v>0.248</v>
      </c>
    </row>
    <row r="1371" spans="1:8" x14ac:dyDescent="0.2">
      <c r="D1371">
        <v>82</v>
      </c>
      <c r="F1371">
        <f t="shared" si="48"/>
        <v>8.2000000000000003E-2</v>
      </c>
    </row>
    <row r="1372" spans="1:8" x14ac:dyDescent="0.2">
      <c r="D1372">
        <v>328</v>
      </c>
      <c r="F1372">
        <f t="shared" si="48"/>
        <v>0.32800000000000001</v>
      </c>
    </row>
    <row r="1373" spans="1:8" x14ac:dyDescent="0.2">
      <c r="D1373">
        <v>165</v>
      </c>
      <c r="F1373">
        <f t="shared" si="48"/>
        <v>0.16500000000000001</v>
      </c>
    </row>
    <row r="1374" spans="1:8" x14ac:dyDescent="0.2">
      <c r="D1374">
        <v>83</v>
      </c>
      <c r="F1374">
        <f t="shared" si="48"/>
        <v>8.3000000000000004E-2</v>
      </c>
    </row>
    <row r="1375" spans="1:8" x14ac:dyDescent="0.2">
      <c r="D1375">
        <v>100</v>
      </c>
      <c r="F1375">
        <f t="shared" si="48"/>
        <v>0.1</v>
      </c>
    </row>
    <row r="1376" spans="1:8" x14ac:dyDescent="0.2">
      <c r="D1376">
        <v>300</v>
      </c>
      <c r="F1376">
        <f t="shared" si="48"/>
        <v>0.3</v>
      </c>
    </row>
    <row r="1377" spans="4:6" x14ac:dyDescent="0.2">
      <c r="D1377">
        <v>400</v>
      </c>
      <c r="F1377">
        <f t="shared" si="48"/>
        <v>0.4</v>
      </c>
    </row>
    <row r="1378" spans="4:6" x14ac:dyDescent="0.2">
      <c r="D1378">
        <v>1900</v>
      </c>
      <c r="F1378">
        <f t="shared" si="48"/>
        <v>1.9</v>
      </c>
    </row>
    <row r="1379" spans="4:6" x14ac:dyDescent="0.2">
      <c r="D1379">
        <v>320</v>
      </c>
      <c r="F1379">
        <f t="shared" si="48"/>
        <v>0.32</v>
      </c>
    </row>
    <row r="1380" spans="4:6" x14ac:dyDescent="0.2">
      <c r="D1380">
        <v>290</v>
      </c>
      <c r="F1380">
        <f t="shared" si="48"/>
        <v>0.28999999999999998</v>
      </c>
    </row>
    <row r="1381" spans="4:6" x14ac:dyDescent="0.2">
      <c r="D1381">
        <v>70</v>
      </c>
      <c r="F1381">
        <f t="shared" si="48"/>
        <v>7.0000000000000007E-2</v>
      </c>
    </row>
    <row r="1382" spans="4:6" x14ac:dyDescent="0.2">
      <c r="D1382">
        <v>1360</v>
      </c>
      <c r="F1382">
        <f t="shared" si="48"/>
        <v>1.36</v>
      </c>
    </row>
    <row r="1383" spans="4:6" x14ac:dyDescent="0.2">
      <c r="D1383">
        <v>230</v>
      </c>
      <c r="F1383">
        <f t="shared" si="48"/>
        <v>0.23</v>
      </c>
    </row>
    <row r="1384" spans="4:6" x14ac:dyDescent="0.2">
      <c r="D1384">
        <v>140</v>
      </c>
      <c r="F1384">
        <f t="shared" si="48"/>
        <v>0.14000000000000001</v>
      </c>
    </row>
    <row r="1385" spans="4:6" x14ac:dyDescent="0.2">
      <c r="D1385">
        <v>800</v>
      </c>
      <c r="F1385">
        <f t="shared" si="48"/>
        <v>0.8</v>
      </c>
    </row>
    <row r="1386" spans="4:6" x14ac:dyDescent="0.2">
      <c r="D1386">
        <v>430</v>
      </c>
      <c r="F1386">
        <f t="shared" si="48"/>
        <v>0.43</v>
      </c>
    </row>
    <row r="1387" spans="4:6" x14ac:dyDescent="0.2">
      <c r="D1387">
        <v>780</v>
      </c>
      <c r="F1387">
        <f t="shared" si="48"/>
        <v>0.78</v>
      </c>
    </row>
    <row r="1388" spans="4:6" x14ac:dyDescent="0.2">
      <c r="D1388">
        <v>120</v>
      </c>
      <c r="F1388">
        <f t="shared" si="48"/>
        <v>0.12</v>
      </c>
    </row>
    <row r="1389" spans="4:6" x14ac:dyDescent="0.2">
      <c r="D1389">
        <v>40</v>
      </c>
      <c r="F1389">
        <f t="shared" si="48"/>
        <v>0.04</v>
      </c>
    </row>
    <row r="1390" spans="4:6" x14ac:dyDescent="0.2">
      <c r="D1390">
        <v>80</v>
      </c>
      <c r="F1390">
        <f t="shared" si="48"/>
        <v>0.08</v>
      </c>
    </row>
    <row r="1391" spans="4:6" x14ac:dyDescent="0.2">
      <c r="D1391">
        <v>230</v>
      </c>
      <c r="F1391">
        <f t="shared" si="48"/>
        <v>0.23</v>
      </c>
    </row>
    <row r="1392" spans="4:6" x14ac:dyDescent="0.2">
      <c r="D1392">
        <v>280</v>
      </c>
      <c r="F1392">
        <f t="shared" si="48"/>
        <v>0.28000000000000003</v>
      </c>
    </row>
    <row r="1393" spans="4:6" x14ac:dyDescent="0.2">
      <c r="D1393">
        <v>50</v>
      </c>
      <c r="F1393">
        <f t="shared" si="48"/>
        <v>0.05</v>
      </c>
    </row>
    <row r="1394" spans="4:6" x14ac:dyDescent="0.2">
      <c r="D1394">
        <v>2210</v>
      </c>
      <c r="F1394">
        <f t="shared" si="48"/>
        <v>2.21</v>
      </c>
    </row>
    <row r="1395" spans="4:6" x14ac:dyDescent="0.2">
      <c r="D1395">
        <v>1240</v>
      </c>
      <c r="F1395">
        <f t="shared" si="48"/>
        <v>1.24</v>
      </c>
    </row>
    <row r="1396" spans="4:6" x14ac:dyDescent="0.2">
      <c r="D1396">
        <v>990</v>
      </c>
      <c r="F1396">
        <f t="shared" si="48"/>
        <v>0.99</v>
      </c>
    </row>
    <row r="1397" spans="4:6" x14ac:dyDescent="0.2">
      <c r="D1397">
        <v>3470</v>
      </c>
      <c r="F1397">
        <f t="shared" si="48"/>
        <v>3.47</v>
      </c>
    </row>
    <row r="1398" spans="4:6" x14ac:dyDescent="0.2">
      <c r="D1398">
        <v>730</v>
      </c>
      <c r="F1398">
        <f t="shared" si="48"/>
        <v>0.73</v>
      </c>
    </row>
    <row r="1399" spans="4:6" x14ac:dyDescent="0.2">
      <c r="D1399">
        <v>2550</v>
      </c>
      <c r="F1399">
        <f t="shared" si="48"/>
        <v>2.5499999999999998</v>
      </c>
    </row>
    <row r="1400" spans="4:6" x14ac:dyDescent="0.2">
      <c r="D1400">
        <v>1590</v>
      </c>
      <c r="F1400">
        <f t="shared" si="48"/>
        <v>1.59</v>
      </c>
    </row>
    <row r="1401" spans="4:6" x14ac:dyDescent="0.2">
      <c r="D1401">
        <v>3210</v>
      </c>
      <c r="F1401">
        <f t="shared" si="48"/>
        <v>3.21</v>
      </c>
    </row>
    <row r="1402" spans="4:6" x14ac:dyDescent="0.2">
      <c r="D1402">
        <v>750</v>
      </c>
      <c r="F1402">
        <f t="shared" si="48"/>
        <v>0.75</v>
      </c>
    </row>
    <row r="1403" spans="4:6" x14ac:dyDescent="0.2">
      <c r="D1403">
        <v>530</v>
      </c>
      <c r="F1403">
        <f t="shared" si="48"/>
        <v>0.53</v>
      </c>
    </row>
    <row r="1404" spans="4:6" x14ac:dyDescent="0.2">
      <c r="D1404">
        <v>4270</v>
      </c>
      <c r="F1404">
        <f t="shared" si="48"/>
        <v>4.2699999999999996</v>
      </c>
    </row>
    <row r="1405" spans="4:6" x14ac:dyDescent="0.2">
      <c r="D1405">
        <v>670</v>
      </c>
      <c r="F1405">
        <f t="shared" si="48"/>
        <v>0.67</v>
      </c>
    </row>
    <row r="1406" spans="4:6" x14ac:dyDescent="0.2">
      <c r="D1406">
        <v>1250</v>
      </c>
      <c r="F1406">
        <f t="shared" si="48"/>
        <v>1.25</v>
      </c>
    </row>
    <row r="1407" spans="4:6" x14ac:dyDescent="0.2">
      <c r="D1407">
        <v>2790</v>
      </c>
      <c r="F1407">
        <f t="shared" si="48"/>
        <v>2.79</v>
      </c>
    </row>
    <row r="1408" spans="4:6" x14ac:dyDescent="0.2">
      <c r="D1408">
        <v>130</v>
      </c>
      <c r="F1408">
        <f t="shared" si="48"/>
        <v>0.13</v>
      </c>
    </row>
    <row r="1409" spans="4:6" x14ac:dyDescent="0.2">
      <c r="D1409">
        <v>260</v>
      </c>
      <c r="F1409">
        <f t="shared" si="48"/>
        <v>0.26</v>
      </c>
    </row>
    <row r="1410" spans="4:6" x14ac:dyDescent="0.2">
      <c r="D1410">
        <v>210</v>
      </c>
      <c r="F1410">
        <f t="shared" si="48"/>
        <v>0.21</v>
      </c>
    </row>
    <row r="1411" spans="4:6" x14ac:dyDescent="0.2">
      <c r="D1411">
        <v>160</v>
      </c>
      <c r="F1411">
        <f t="shared" si="48"/>
        <v>0.16</v>
      </c>
    </row>
    <row r="1412" spans="4:6" x14ac:dyDescent="0.2">
      <c r="D1412">
        <v>480</v>
      </c>
      <c r="F1412">
        <f t="shared" si="48"/>
        <v>0.48</v>
      </c>
    </row>
    <row r="1413" spans="4:6" x14ac:dyDescent="0.2">
      <c r="D1413">
        <v>100</v>
      </c>
      <c r="F1413">
        <f t="shared" si="48"/>
        <v>0.1</v>
      </c>
    </row>
    <row r="1414" spans="4:6" x14ac:dyDescent="0.2">
      <c r="D1414">
        <v>1740</v>
      </c>
      <c r="F1414">
        <f t="shared" si="48"/>
        <v>1.74</v>
      </c>
    </row>
    <row r="1415" spans="4:6" x14ac:dyDescent="0.2">
      <c r="D1415">
        <v>1210</v>
      </c>
      <c r="F1415">
        <f t="shared" si="48"/>
        <v>1.21</v>
      </c>
    </row>
    <row r="1416" spans="4:6" x14ac:dyDescent="0.2">
      <c r="D1416">
        <v>27830</v>
      </c>
      <c r="F1416">
        <f t="shared" si="48"/>
        <v>27.83</v>
      </c>
    </row>
    <row r="1417" spans="4:6" x14ac:dyDescent="0.2">
      <c r="D1417">
        <v>100</v>
      </c>
      <c r="F1417">
        <f t="shared" si="48"/>
        <v>0.1</v>
      </c>
    </row>
    <row r="1418" spans="4:6" x14ac:dyDescent="0.2">
      <c r="D1418">
        <v>40</v>
      </c>
      <c r="F1418">
        <f t="shared" si="48"/>
        <v>0.04</v>
      </c>
    </row>
    <row r="1419" spans="4:6" x14ac:dyDescent="0.2">
      <c r="D1419">
        <v>60</v>
      </c>
      <c r="F1419">
        <f t="shared" si="48"/>
        <v>0.06</v>
      </c>
    </row>
    <row r="1420" spans="4:6" x14ac:dyDescent="0.2">
      <c r="D1420">
        <v>60</v>
      </c>
      <c r="F1420">
        <f t="shared" ref="F1420:F1483" si="49">D1420/1000</f>
        <v>0.06</v>
      </c>
    </row>
    <row r="1421" spans="4:6" x14ac:dyDescent="0.2">
      <c r="D1421">
        <v>20</v>
      </c>
      <c r="F1421">
        <f t="shared" si="49"/>
        <v>0.02</v>
      </c>
    </row>
    <row r="1422" spans="4:6" x14ac:dyDescent="0.2">
      <c r="D1422">
        <v>70</v>
      </c>
      <c r="F1422">
        <f t="shared" si="49"/>
        <v>7.0000000000000007E-2</v>
      </c>
    </row>
    <row r="1423" spans="4:6" x14ac:dyDescent="0.2">
      <c r="D1423">
        <v>50</v>
      </c>
      <c r="F1423">
        <f t="shared" si="49"/>
        <v>0.05</v>
      </c>
    </row>
    <row r="1424" spans="4:6" x14ac:dyDescent="0.2">
      <c r="D1424">
        <v>190</v>
      </c>
      <c r="F1424">
        <f t="shared" si="49"/>
        <v>0.19</v>
      </c>
    </row>
    <row r="1425" spans="4:6" x14ac:dyDescent="0.2">
      <c r="D1425">
        <v>470</v>
      </c>
      <c r="F1425">
        <f t="shared" si="49"/>
        <v>0.47</v>
      </c>
    </row>
    <row r="1426" spans="4:6" x14ac:dyDescent="0.2">
      <c r="D1426">
        <v>250</v>
      </c>
      <c r="F1426">
        <f t="shared" si="49"/>
        <v>0.25</v>
      </c>
    </row>
    <row r="1427" spans="4:6" x14ac:dyDescent="0.2">
      <c r="D1427">
        <v>170</v>
      </c>
      <c r="F1427">
        <f t="shared" si="49"/>
        <v>0.17</v>
      </c>
    </row>
    <row r="1428" spans="4:6" x14ac:dyDescent="0.2">
      <c r="D1428">
        <v>50</v>
      </c>
      <c r="F1428">
        <f t="shared" si="49"/>
        <v>0.05</v>
      </c>
    </row>
    <row r="1429" spans="4:6" x14ac:dyDescent="0.2">
      <c r="D1429">
        <v>76</v>
      </c>
      <c r="F1429">
        <f t="shared" si="49"/>
        <v>7.5999999999999998E-2</v>
      </c>
    </row>
    <row r="1430" spans="4:6" x14ac:dyDescent="0.2">
      <c r="D1430">
        <v>474</v>
      </c>
      <c r="F1430">
        <f t="shared" si="49"/>
        <v>0.47399999999999998</v>
      </c>
    </row>
    <row r="1431" spans="4:6" x14ac:dyDescent="0.2">
      <c r="D1431">
        <v>1433</v>
      </c>
      <c r="F1431">
        <f t="shared" si="49"/>
        <v>1.4330000000000001</v>
      </c>
    </row>
    <row r="1432" spans="4:6" x14ac:dyDescent="0.2">
      <c r="D1432">
        <v>197</v>
      </c>
      <c r="F1432">
        <f t="shared" si="49"/>
        <v>0.19700000000000001</v>
      </c>
    </row>
    <row r="1433" spans="4:6" x14ac:dyDescent="0.2">
      <c r="D1433">
        <v>741</v>
      </c>
      <c r="F1433">
        <f t="shared" si="49"/>
        <v>0.74099999999999999</v>
      </c>
    </row>
    <row r="1434" spans="4:6" x14ac:dyDescent="0.2">
      <c r="D1434">
        <v>7707</v>
      </c>
      <c r="F1434">
        <f t="shared" si="49"/>
        <v>7.7069999999999999</v>
      </c>
    </row>
    <row r="1435" spans="4:6" x14ac:dyDescent="0.2">
      <c r="D1435">
        <v>2430</v>
      </c>
      <c r="F1435">
        <f t="shared" si="49"/>
        <v>2.4300000000000002</v>
      </c>
    </row>
    <row r="1436" spans="4:6" x14ac:dyDescent="0.2">
      <c r="D1436">
        <v>4200</v>
      </c>
      <c r="F1436">
        <f t="shared" si="49"/>
        <v>4.2</v>
      </c>
    </row>
    <row r="1437" spans="4:6" x14ac:dyDescent="0.2">
      <c r="D1437">
        <v>80</v>
      </c>
      <c r="F1437">
        <f t="shared" si="49"/>
        <v>0.08</v>
      </c>
    </row>
    <row r="1438" spans="4:6" x14ac:dyDescent="0.2">
      <c r="D1438">
        <v>420</v>
      </c>
      <c r="F1438">
        <f t="shared" si="49"/>
        <v>0.42</v>
      </c>
    </row>
    <row r="1439" spans="4:6" x14ac:dyDescent="0.2">
      <c r="D1439">
        <v>40</v>
      </c>
      <c r="F1439">
        <f t="shared" si="49"/>
        <v>0.04</v>
      </c>
    </row>
    <row r="1440" spans="4:6" x14ac:dyDescent="0.2">
      <c r="D1440">
        <v>480</v>
      </c>
      <c r="F1440">
        <f t="shared" si="49"/>
        <v>0.48</v>
      </c>
    </row>
    <row r="1441" spans="4:6" x14ac:dyDescent="0.2">
      <c r="D1441">
        <v>40</v>
      </c>
      <c r="F1441">
        <f t="shared" si="49"/>
        <v>0.04</v>
      </c>
    </row>
    <row r="1442" spans="4:6" x14ac:dyDescent="0.2">
      <c r="D1442">
        <v>30</v>
      </c>
      <c r="F1442">
        <f t="shared" si="49"/>
        <v>0.03</v>
      </c>
    </row>
    <row r="1443" spans="4:6" x14ac:dyDescent="0.2">
      <c r="D1443">
        <v>40</v>
      </c>
      <c r="F1443">
        <f t="shared" si="49"/>
        <v>0.04</v>
      </c>
    </row>
    <row r="1444" spans="4:6" x14ac:dyDescent="0.2">
      <c r="D1444">
        <v>60</v>
      </c>
      <c r="F1444">
        <f t="shared" si="49"/>
        <v>0.06</v>
      </c>
    </row>
    <row r="1445" spans="4:6" x14ac:dyDescent="0.2">
      <c r="D1445">
        <v>15</v>
      </c>
      <c r="F1445">
        <f t="shared" si="49"/>
        <v>1.4999999999999999E-2</v>
      </c>
    </row>
    <row r="1446" spans="4:6" x14ac:dyDescent="0.2">
      <c r="D1446">
        <v>50</v>
      </c>
      <c r="F1446">
        <f t="shared" si="49"/>
        <v>0.05</v>
      </c>
    </row>
    <row r="1447" spans="4:6" x14ac:dyDescent="0.2">
      <c r="D1447">
        <v>35</v>
      </c>
      <c r="F1447">
        <f t="shared" si="49"/>
        <v>3.5000000000000003E-2</v>
      </c>
    </row>
    <row r="1448" spans="4:6" x14ac:dyDescent="0.2">
      <c r="D1448">
        <v>10</v>
      </c>
      <c r="F1448">
        <f t="shared" si="49"/>
        <v>0.01</v>
      </c>
    </row>
    <row r="1449" spans="4:6" x14ac:dyDescent="0.2">
      <c r="D1449">
        <v>15</v>
      </c>
      <c r="F1449">
        <f t="shared" si="49"/>
        <v>1.4999999999999999E-2</v>
      </c>
    </row>
    <row r="1450" spans="4:6" x14ac:dyDescent="0.2">
      <c r="D1450">
        <v>55</v>
      </c>
      <c r="F1450">
        <f t="shared" si="49"/>
        <v>5.5E-2</v>
      </c>
    </row>
    <row r="1451" spans="4:6" x14ac:dyDescent="0.2">
      <c r="D1451">
        <v>30</v>
      </c>
      <c r="F1451">
        <f t="shared" si="49"/>
        <v>0.03</v>
      </c>
    </row>
    <row r="1452" spans="4:6" x14ac:dyDescent="0.2">
      <c r="D1452">
        <v>50</v>
      </c>
      <c r="F1452">
        <f t="shared" si="49"/>
        <v>0.05</v>
      </c>
    </row>
    <row r="1453" spans="4:6" x14ac:dyDescent="0.2">
      <c r="D1453">
        <v>50</v>
      </c>
      <c r="F1453">
        <f t="shared" si="49"/>
        <v>0.05</v>
      </c>
    </row>
    <row r="1454" spans="4:6" x14ac:dyDescent="0.2">
      <c r="D1454">
        <v>20</v>
      </c>
      <c r="F1454">
        <f t="shared" si="49"/>
        <v>0.02</v>
      </c>
    </row>
    <row r="1455" spans="4:6" x14ac:dyDescent="0.2">
      <c r="D1455">
        <v>25</v>
      </c>
      <c r="F1455">
        <f t="shared" si="49"/>
        <v>2.5000000000000001E-2</v>
      </c>
    </row>
    <row r="1456" spans="4:6" x14ac:dyDescent="0.2">
      <c r="D1456">
        <v>15.6</v>
      </c>
      <c r="F1456">
        <f t="shared" si="49"/>
        <v>1.5599999999999999E-2</v>
      </c>
    </row>
    <row r="1457" spans="4:6" x14ac:dyDescent="0.2">
      <c r="D1457">
        <v>539.20000000000005</v>
      </c>
      <c r="F1457">
        <f t="shared" si="49"/>
        <v>0.53920000000000001</v>
      </c>
    </row>
    <row r="1458" spans="4:6" x14ac:dyDescent="0.2">
      <c r="D1458">
        <v>0</v>
      </c>
      <c r="F1458">
        <f t="shared" si="49"/>
        <v>0</v>
      </c>
    </row>
    <row r="1459" spans="4:6" x14ac:dyDescent="0.2">
      <c r="D1459">
        <v>3</v>
      </c>
      <c r="F1459">
        <f t="shared" si="49"/>
        <v>3.0000000000000001E-3</v>
      </c>
    </row>
    <row r="1460" spans="4:6" x14ac:dyDescent="0.2">
      <c r="D1460">
        <v>27</v>
      </c>
      <c r="F1460">
        <f t="shared" si="49"/>
        <v>2.7E-2</v>
      </c>
    </row>
    <row r="1461" spans="4:6" x14ac:dyDescent="0.2">
      <c r="D1461">
        <v>25</v>
      </c>
      <c r="F1461">
        <f t="shared" si="49"/>
        <v>2.5000000000000001E-2</v>
      </c>
    </row>
    <row r="1462" spans="4:6" x14ac:dyDescent="0.2">
      <c r="D1462">
        <v>30</v>
      </c>
      <c r="F1462">
        <f t="shared" si="49"/>
        <v>0.03</v>
      </c>
    </row>
    <row r="1463" spans="4:6" x14ac:dyDescent="0.2">
      <c r="D1463">
        <v>15</v>
      </c>
      <c r="F1463">
        <f t="shared" si="49"/>
        <v>1.4999999999999999E-2</v>
      </c>
    </row>
    <row r="1464" spans="4:6" x14ac:dyDescent="0.2">
      <c r="D1464">
        <v>1400</v>
      </c>
      <c r="F1464">
        <f t="shared" si="49"/>
        <v>1.4</v>
      </c>
    </row>
    <row r="1465" spans="4:6" x14ac:dyDescent="0.2">
      <c r="D1465">
        <v>800</v>
      </c>
      <c r="F1465">
        <f t="shared" si="49"/>
        <v>0.8</v>
      </c>
    </row>
    <row r="1466" spans="4:6" x14ac:dyDescent="0.2">
      <c r="D1466">
        <v>900</v>
      </c>
      <c r="F1466">
        <f t="shared" si="49"/>
        <v>0.9</v>
      </c>
    </row>
    <row r="1467" spans="4:6" x14ac:dyDescent="0.2">
      <c r="D1467">
        <v>700</v>
      </c>
      <c r="F1467">
        <f t="shared" si="49"/>
        <v>0.7</v>
      </c>
    </row>
    <row r="1468" spans="4:6" x14ac:dyDescent="0.2">
      <c r="D1468">
        <v>500</v>
      </c>
      <c r="F1468">
        <f t="shared" si="49"/>
        <v>0.5</v>
      </c>
    </row>
    <row r="1469" spans="4:6" x14ac:dyDescent="0.2">
      <c r="D1469">
        <v>1000</v>
      </c>
      <c r="F1469">
        <f t="shared" si="49"/>
        <v>1</v>
      </c>
    </row>
    <row r="1470" spans="4:6" x14ac:dyDescent="0.2">
      <c r="D1470">
        <v>1200</v>
      </c>
      <c r="F1470">
        <f t="shared" si="49"/>
        <v>1.2</v>
      </c>
    </row>
    <row r="1471" spans="4:6" x14ac:dyDescent="0.2">
      <c r="D1471">
        <v>500</v>
      </c>
      <c r="F1471">
        <f t="shared" si="49"/>
        <v>0.5</v>
      </c>
    </row>
    <row r="1472" spans="4:6" x14ac:dyDescent="0.2">
      <c r="D1472">
        <v>500</v>
      </c>
      <c r="F1472">
        <f t="shared" si="49"/>
        <v>0.5</v>
      </c>
    </row>
    <row r="1473" spans="4:6" x14ac:dyDescent="0.2">
      <c r="D1473">
        <v>500</v>
      </c>
      <c r="F1473">
        <f t="shared" si="49"/>
        <v>0.5</v>
      </c>
    </row>
    <row r="1474" spans="4:6" x14ac:dyDescent="0.2">
      <c r="D1474">
        <v>500</v>
      </c>
      <c r="F1474">
        <f t="shared" si="49"/>
        <v>0.5</v>
      </c>
    </row>
    <row r="1475" spans="4:6" x14ac:dyDescent="0.2">
      <c r="D1475">
        <v>500</v>
      </c>
      <c r="F1475">
        <f t="shared" si="49"/>
        <v>0.5</v>
      </c>
    </row>
    <row r="1476" spans="4:6" x14ac:dyDescent="0.2">
      <c r="D1476">
        <v>900</v>
      </c>
      <c r="F1476">
        <f t="shared" si="49"/>
        <v>0.9</v>
      </c>
    </row>
    <row r="1477" spans="4:6" x14ac:dyDescent="0.2">
      <c r="D1477">
        <v>1100</v>
      </c>
      <c r="F1477">
        <f t="shared" si="49"/>
        <v>1.1000000000000001</v>
      </c>
    </row>
    <row r="1478" spans="4:6" x14ac:dyDescent="0.2">
      <c r="D1478">
        <v>500</v>
      </c>
      <c r="F1478">
        <f t="shared" si="49"/>
        <v>0.5</v>
      </c>
    </row>
    <row r="1479" spans="4:6" x14ac:dyDescent="0.2">
      <c r="D1479">
        <v>700</v>
      </c>
      <c r="F1479">
        <f t="shared" si="49"/>
        <v>0.7</v>
      </c>
    </row>
    <row r="1480" spans="4:6" x14ac:dyDescent="0.2">
      <c r="D1480">
        <v>1100</v>
      </c>
      <c r="F1480">
        <f t="shared" si="49"/>
        <v>1.1000000000000001</v>
      </c>
    </row>
    <row r="1481" spans="4:6" x14ac:dyDescent="0.2">
      <c r="D1481">
        <v>1500</v>
      </c>
      <c r="F1481">
        <f t="shared" si="49"/>
        <v>1.5</v>
      </c>
    </row>
    <row r="1482" spans="4:6" x14ac:dyDescent="0.2">
      <c r="D1482">
        <v>400</v>
      </c>
      <c r="F1482">
        <f t="shared" si="49"/>
        <v>0.4</v>
      </c>
    </row>
    <row r="1483" spans="4:6" x14ac:dyDescent="0.2">
      <c r="D1483">
        <v>800</v>
      </c>
      <c r="F1483">
        <f t="shared" si="49"/>
        <v>0.8</v>
      </c>
    </row>
    <row r="1484" spans="4:6" x14ac:dyDescent="0.2">
      <c r="D1484">
        <v>400</v>
      </c>
      <c r="F1484">
        <f t="shared" ref="F1484:F1547" si="50">D1484/1000</f>
        <v>0.4</v>
      </c>
    </row>
    <row r="1485" spans="4:6" x14ac:dyDescent="0.2">
      <c r="D1485">
        <v>200</v>
      </c>
      <c r="F1485">
        <f t="shared" si="50"/>
        <v>0.2</v>
      </c>
    </row>
    <row r="1486" spans="4:6" x14ac:dyDescent="0.2">
      <c r="D1486">
        <v>200</v>
      </c>
      <c r="F1486">
        <f t="shared" si="50"/>
        <v>0.2</v>
      </c>
    </row>
    <row r="1487" spans="4:6" x14ac:dyDescent="0.2">
      <c r="D1487">
        <v>300</v>
      </c>
      <c r="F1487">
        <f t="shared" si="50"/>
        <v>0.3</v>
      </c>
    </row>
    <row r="1488" spans="4:6" x14ac:dyDescent="0.2">
      <c r="D1488">
        <v>300</v>
      </c>
      <c r="F1488">
        <f t="shared" si="50"/>
        <v>0.3</v>
      </c>
    </row>
    <row r="1489" spans="4:6" x14ac:dyDescent="0.2">
      <c r="D1489">
        <v>200</v>
      </c>
      <c r="F1489">
        <f t="shared" si="50"/>
        <v>0.2</v>
      </c>
    </row>
    <row r="1490" spans="4:6" x14ac:dyDescent="0.2">
      <c r="D1490">
        <v>1200</v>
      </c>
      <c r="F1490">
        <f t="shared" si="50"/>
        <v>1.2</v>
      </c>
    </row>
    <row r="1491" spans="4:6" x14ac:dyDescent="0.2">
      <c r="D1491">
        <v>600</v>
      </c>
      <c r="F1491">
        <f t="shared" si="50"/>
        <v>0.6</v>
      </c>
    </row>
    <row r="1492" spans="4:6" x14ac:dyDescent="0.2">
      <c r="D1492">
        <v>400</v>
      </c>
      <c r="F1492">
        <f t="shared" si="50"/>
        <v>0.4</v>
      </c>
    </row>
    <row r="1493" spans="4:6" x14ac:dyDescent="0.2">
      <c r="D1493">
        <v>4520</v>
      </c>
      <c r="F1493">
        <f t="shared" si="50"/>
        <v>4.5199999999999996</v>
      </c>
    </row>
    <row r="1494" spans="4:6" x14ac:dyDescent="0.2">
      <c r="D1494">
        <v>4050</v>
      </c>
      <c r="F1494">
        <f t="shared" si="50"/>
        <v>4.05</v>
      </c>
    </row>
    <row r="1495" spans="4:6" x14ac:dyDescent="0.2">
      <c r="D1495">
        <v>5568</v>
      </c>
      <c r="F1495">
        <f t="shared" si="50"/>
        <v>5.5679999999999996</v>
      </c>
    </row>
    <row r="1496" spans="4:6" x14ac:dyDescent="0.2">
      <c r="D1496">
        <v>2834</v>
      </c>
      <c r="F1496">
        <f t="shared" si="50"/>
        <v>2.8340000000000001</v>
      </c>
    </row>
    <row r="1497" spans="4:6" x14ac:dyDescent="0.2">
      <c r="D1497">
        <v>3856</v>
      </c>
      <c r="F1497">
        <f t="shared" si="50"/>
        <v>3.8559999999999999</v>
      </c>
    </row>
    <row r="1498" spans="4:6" x14ac:dyDescent="0.2">
      <c r="D1498">
        <v>5391</v>
      </c>
      <c r="F1498">
        <f t="shared" si="50"/>
        <v>5.391</v>
      </c>
    </row>
    <row r="1499" spans="4:6" x14ac:dyDescent="0.2">
      <c r="D1499">
        <v>4176</v>
      </c>
      <c r="F1499">
        <f t="shared" si="50"/>
        <v>4.1760000000000002</v>
      </c>
    </row>
    <row r="1500" spans="4:6" x14ac:dyDescent="0.2">
      <c r="D1500">
        <v>6595</v>
      </c>
      <c r="F1500">
        <f t="shared" si="50"/>
        <v>6.5949999999999998</v>
      </c>
    </row>
    <row r="1501" spans="4:6" x14ac:dyDescent="0.2">
      <c r="D1501">
        <v>6348</v>
      </c>
      <c r="F1501">
        <f t="shared" si="50"/>
        <v>6.3479999999999999</v>
      </c>
    </row>
    <row r="1502" spans="4:6" x14ac:dyDescent="0.2">
      <c r="D1502">
        <v>440</v>
      </c>
      <c r="F1502">
        <f t="shared" si="50"/>
        <v>0.44</v>
      </c>
    </row>
    <row r="1503" spans="4:6" x14ac:dyDescent="0.2">
      <c r="D1503">
        <v>520</v>
      </c>
      <c r="F1503">
        <f t="shared" si="50"/>
        <v>0.52</v>
      </c>
    </row>
    <row r="1504" spans="4:6" x14ac:dyDescent="0.2">
      <c r="D1504">
        <v>470</v>
      </c>
      <c r="F1504">
        <f t="shared" si="50"/>
        <v>0.47</v>
      </c>
    </row>
    <row r="1505" spans="4:6" x14ac:dyDescent="0.2">
      <c r="D1505">
        <v>520</v>
      </c>
      <c r="F1505">
        <f t="shared" si="50"/>
        <v>0.52</v>
      </c>
    </row>
    <row r="1506" spans="4:6" x14ac:dyDescent="0.2">
      <c r="D1506">
        <v>37.200000000000003</v>
      </c>
      <c r="F1506">
        <f t="shared" si="50"/>
        <v>3.7200000000000004E-2</v>
      </c>
    </row>
    <row r="1507" spans="4:6" x14ac:dyDescent="0.2">
      <c r="D1507">
        <v>6.9</v>
      </c>
      <c r="F1507">
        <f t="shared" si="50"/>
        <v>6.9000000000000008E-3</v>
      </c>
    </row>
    <row r="1508" spans="4:6" x14ac:dyDescent="0.2">
      <c r="D1508">
        <v>400</v>
      </c>
      <c r="F1508">
        <f t="shared" si="50"/>
        <v>0.4</v>
      </c>
    </row>
    <row r="1509" spans="4:6" x14ac:dyDescent="0.2">
      <c r="D1509">
        <v>280</v>
      </c>
      <c r="F1509">
        <f t="shared" si="50"/>
        <v>0.28000000000000003</v>
      </c>
    </row>
    <row r="1510" spans="4:6" x14ac:dyDescent="0.2">
      <c r="D1510">
        <v>141</v>
      </c>
      <c r="F1510">
        <f t="shared" si="50"/>
        <v>0.14099999999999999</v>
      </c>
    </row>
    <row r="1511" spans="4:6" x14ac:dyDescent="0.2">
      <c r="D1511">
        <v>385</v>
      </c>
      <c r="F1511">
        <f t="shared" si="50"/>
        <v>0.38500000000000001</v>
      </c>
    </row>
    <row r="1512" spans="4:6" x14ac:dyDescent="0.2">
      <c r="D1512">
        <v>461</v>
      </c>
      <c r="F1512">
        <f t="shared" si="50"/>
        <v>0.46100000000000002</v>
      </c>
    </row>
    <row r="1513" spans="4:6" x14ac:dyDescent="0.2">
      <c r="D1513">
        <v>4</v>
      </c>
      <c r="F1513">
        <f t="shared" si="50"/>
        <v>4.0000000000000001E-3</v>
      </c>
    </row>
    <row r="1514" spans="4:6" x14ac:dyDescent="0.2">
      <c r="D1514">
        <v>0</v>
      </c>
      <c r="F1514">
        <f t="shared" si="50"/>
        <v>0</v>
      </c>
    </row>
    <row r="1515" spans="4:6" x14ac:dyDescent="0.2">
      <c r="D1515">
        <v>8</v>
      </c>
      <c r="F1515">
        <f t="shared" si="50"/>
        <v>8.0000000000000002E-3</v>
      </c>
    </row>
    <row r="1516" spans="4:6" x14ac:dyDescent="0.2">
      <c r="D1516">
        <v>1</v>
      </c>
      <c r="F1516">
        <f t="shared" si="50"/>
        <v>1E-3</v>
      </c>
    </row>
    <row r="1517" spans="4:6" x14ac:dyDescent="0.2">
      <c r="D1517">
        <v>0</v>
      </c>
      <c r="F1517">
        <f t="shared" si="50"/>
        <v>0</v>
      </c>
    </row>
    <row r="1518" spans="4:6" x14ac:dyDescent="0.2">
      <c r="D1518">
        <v>0</v>
      </c>
      <c r="F1518">
        <f t="shared" si="50"/>
        <v>0</v>
      </c>
    </row>
    <row r="1519" spans="4:6" x14ac:dyDescent="0.2">
      <c r="D1519">
        <v>1</v>
      </c>
      <c r="F1519">
        <f t="shared" si="50"/>
        <v>1E-3</v>
      </c>
    </row>
    <row r="1520" spans="4:6" x14ac:dyDescent="0.2">
      <c r="D1520">
        <v>3</v>
      </c>
      <c r="F1520">
        <f t="shared" si="50"/>
        <v>3.0000000000000001E-3</v>
      </c>
    </row>
    <row r="1521" spans="4:6" x14ac:dyDescent="0.2">
      <c r="D1521">
        <v>0</v>
      </c>
      <c r="F1521">
        <f t="shared" si="50"/>
        <v>0</v>
      </c>
    </row>
    <row r="1522" spans="4:6" x14ac:dyDescent="0.2">
      <c r="D1522">
        <v>1</v>
      </c>
      <c r="F1522">
        <f t="shared" si="50"/>
        <v>1E-3</v>
      </c>
    </row>
    <row r="1523" spans="4:6" x14ac:dyDescent="0.2">
      <c r="D1523">
        <v>1</v>
      </c>
      <c r="F1523">
        <f t="shared" si="50"/>
        <v>1E-3</v>
      </c>
    </row>
    <row r="1524" spans="4:6" x14ac:dyDescent="0.2">
      <c r="D1524">
        <v>10</v>
      </c>
      <c r="F1524">
        <f t="shared" si="50"/>
        <v>0.01</v>
      </c>
    </row>
    <row r="1525" spans="4:6" x14ac:dyDescent="0.2">
      <c r="D1525">
        <v>0</v>
      </c>
      <c r="F1525">
        <f t="shared" si="50"/>
        <v>0</v>
      </c>
    </row>
    <row r="1526" spans="4:6" x14ac:dyDescent="0.2">
      <c r="D1526">
        <v>0</v>
      </c>
      <c r="F1526">
        <f t="shared" si="50"/>
        <v>0</v>
      </c>
    </row>
    <row r="1527" spans="4:6" x14ac:dyDescent="0.2">
      <c r="D1527">
        <v>0</v>
      </c>
      <c r="F1527">
        <f t="shared" si="50"/>
        <v>0</v>
      </c>
    </row>
    <row r="1528" spans="4:6" x14ac:dyDescent="0.2">
      <c r="D1528">
        <v>0</v>
      </c>
      <c r="F1528">
        <f t="shared" si="50"/>
        <v>0</v>
      </c>
    </row>
    <row r="1529" spans="4:6" x14ac:dyDescent="0.2">
      <c r="D1529">
        <v>2</v>
      </c>
      <c r="F1529">
        <f t="shared" si="50"/>
        <v>2E-3</v>
      </c>
    </row>
    <row r="1530" spans="4:6" x14ac:dyDescent="0.2">
      <c r="D1530">
        <v>1</v>
      </c>
      <c r="F1530">
        <f t="shared" si="50"/>
        <v>1E-3</v>
      </c>
    </row>
    <row r="1531" spans="4:6" x14ac:dyDescent="0.2">
      <c r="D1531">
        <v>0</v>
      </c>
      <c r="F1531">
        <f t="shared" si="50"/>
        <v>0</v>
      </c>
    </row>
    <row r="1532" spans="4:6" x14ac:dyDescent="0.2">
      <c r="D1532">
        <v>0</v>
      </c>
      <c r="F1532">
        <f t="shared" si="50"/>
        <v>0</v>
      </c>
    </row>
    <row r="1533" spans="4:6" x14ac:dyDescent="0.2">
      <c r="D1533">
        <v>0</v>
      </c>
      <c r="F1533">
        <f t="shared" si="50"/>
        <v>0</v>
      </c>
    </row>
    <row r="1534" spans="4:6" x14ac:dyDescent="0.2">
      <c r="D1534">
        <v>0</v>
      </c>
      <c r="F1534">
        <f t="shared" si="50"/>
        <v>0</v>
      </c>
    </row>
    <row r="1535" spans="4:6" x14ac:dyDescent="0.2">
      <c r="D1535">
        <v>0</v>
      </c>
      <c r="F1535">
        <f t="shared" si="50"/>
        <v>0</v>
      </c>
    </row>
    <row r="1536" spans="4:6" x14ac:dyDescent="0.2">
      <c r="D1536">
        <v>0</v>
      </c>
      <c r="F1536">
        <f t="shared" si="50"/>
        <v>0</v>
      </c>
    </row>
    <row r="1537" spans="4:6" x14ac:dyDescent="0.2">
      <c r="D1537">
        <v>0</v>
      </c>
      <c r="F1537">
        <f t="shared" si="50"/>
        <v>0</v>
      </c>
    </row>
    <row r="1538" spans="4:6" x14ac:dyDescent="0.2">
      <c r="D1538">
        <v>1</v>
      </c>
      <c r="F1538">
        <f t="shared" si="50"/>
        <v>1E-3</v>
      </c>
    </row>
    <row r="1539" spans="4:6" x14ac:dyDescent="0.2">
      <c r="D1539">
        <v>2</v>
      </c>
      <c r="F1539">
        <f t="shared" si="50"/>
        <v>2E-3</v>
      </c>
    </row>
    <row r="1540" spans="4:6" x14ac:dyDescent="0.2">
      <c r="D1540">
        <v>0</v>
      </c>
      <c r="F1540">
        <f t="shared" si="50"/>
        <v>0</v>
      </c>
    </row>
    <row r="1541" spans="4:6" x14ac:dyDescent="0.2">
      <c r="D1541">
        <v>0</v>
      </c>
      <c r="F1541">
        <f t="shared" si="50"/>
        <v>0</v>
      </c>
    </row>
    <row r="1542" spans="4:6" x14ac:dyDescent="0.2">
      <c r="D1542">
        <v>0</v>
      </c>
      <c r="F1542">
        <f t="shared" si="50"/>
        <v>0</v>
      </c>
    </row>
    <row r="1543" spans="4:6" x14ac:dyDescent="0.2">
      <c r="D1543">
        <v>0</v>
      </c>
      <c r="F1543">
        <f t="shared" si="50"/>
        <v>0</v>
      </c>
    </row>
    <row r="1544" spans="4:6" x14ac:dyDescent="0.2">
      <c r="D1544">
        <v>0</v>
      </c>
      <c r="F1544">
        <f t="shared" si="50"/>
        <v>0</v>
      </c>
    </row>
    <row r="1545" spans="4:6" x14ac:dyDescent="0.2">
      <c r="D1545">
        <v>5</v>
      </c>
      <c r="F1545">
        <f t="shared" si="50"/>
        <v>5.0000000000000001E-3</v>
      </c>
    </row>
    <row r="1546" spans="4:6" x14ac:dyDescent="0.2">
      <c r="D1546">
        <v>4</v>
      </c>
      <c r="F1546">
        <f t="shared" si="50"/>
        <v>4.0000000000000001E-3</v>
      </c>
    </row>
    <row r="1547" spans="4:6" x14ac:dyDescent="0.2">
      <c r="D1547">
        <v>0</v>
      </c>
      <c r="F1547">
        <f t="shared" si="50"/>
        <v>0</v>
      </c>
    </row>
    <row r="1548" spans="4:6" x14ac:dyDescent="0.2">
      <c r="D1548">
        <v>0</v>
      </c>
      <c r="F1548">
        <f t="shared" ref="F1548:F1611" si="51">D1548/1000</f>
        <v>0</v>
      </c>
    </row>
    <row r="1549" spans="4:6" x14ac:dyDescent="0.2">
      <c r="D1549">
        <v>5</v>
      </c>
      <c r="F1549">
        <f t="shared" si="51"/>
        <v>5.0000000000000001E-3</v>
      </c>
    </row>
    <row r="1550" spans="4:6" x14ac:dyDescent="0.2">
      <c r="D1550">
        <v>4</v>
      </c>
      <c r="F1550">
        <f t="shared" si="51"/>
        <v>4.0000000000000001E-3</v>
      </c>
    </row>
    <row r="1551" spans="4:6" x14ac:dyDescent="0.2">
      <c r="D1551">
        <v>4</v>
      </c>
      <c r="F1551">
        <f t="shared" si="51"/>
        <v>4.0000000000000001E-3</v>
      </c>
    </row>
    <row r="1552" spans="4:6" x14ac:dyDescent="0.2">
      <c r="D1552">
        <v>0</v>
      </c>
      <c r="F1552">
        <f t="shared" si="51"/>
        <v>0</v>
      </c>
    </row>
    <row r="1553" spans="4:6" x14ac:dyDescent="0.2">
      <c r="D1553">
        <v>2</v>
      </c>
      <c r="F1553">
        <f t="shared" si="51"/>
        <v>2E-3</v>
      </c>
    </row>
    <row r="1554" spans="4:6" x14ac:dyDescent="0.2">
      <c r="D1554">
        <v>2</v>
      </c>
      <c r="F1554">
        <f t="shared" si="51"/>
        <v>2E-3</v>
      </c>
    </row>
    <row r="1555" spans="4:6" x14ac:dyDescent="0.2">
      <c r="D1555">
        <v>2</v>
      </c>
      <c r="F1555">
        <f t="shared" si="51"/>
        <v>2E-3</v>
      </c>
    </row>
    <row r="1556" spans="4:6" x14ac:dyDescent="0.2">
      <c r="D1556">
        <v>0</v>
      </c>
      <c r="F1556">
        <f t="shared" si="51"/>
        <v>0</v>
      </c>
    </row>
    <row r="1557" spans="4:6" x14ac:dyDescent="0.2">
      <c r="D1557">
        <v>0</v>
      </c>
      <c r="F1557">
        <f t="shared" si="51"/>
        <v>0</v>
      </c>
    </row>
    <row r="1558" spans="4:6" x14ac:dyDescent="0.2">
      <c r="D1558">
        <v>0</v>
      </c>
      <c r="F1558">
        <f t="shared" si="51"/>
        <v>0</v>
      </c>
    </row>
    <row r="1559" spans="4:6" x14ac:dyDescent="0.2">
      <c r="D1559">
        <v>3</v>
      </c>
      <c r="F1559">
        <f t="shared" si="51"/>
        <v>3.0000000000000001E-3</v>
      </c>
    </row>
    <row r="1560" spans="4:6" x14ac:dyDescent="0.2">
      <c r="D1560">
        <v>6</v>
      </c>
      <c r="F1560">
        <f t="shared" si="51"/>
        <v>6.0000000000000001E-3</v>
      </c>
    </row>
    <row r="1561" spans="4:6" x14ac:dyDescent="0.2">
      <c r="D1561">
        <v>0</v>
      </c>
      <c r="F1561">
        <f t="shared" si="51"/>
        <v>0</v>
      </c>
    </row>
    <row r="1562" spans="4:6" x14ac:dyDescent="0.2">
      <c r="D1562">
        <v>4</v>
      </c>
      <c r="F1562">
        <f t="shared" si="51"/>
        <v>4.0000000000000001E-3</v>
      </c>
    </row>
    <row r="1563" spans="4:6" x14ac:dyDescent="0.2">
      <c r="D1563">
        <v>1</v>
      </c>
      <c r="F1563">
        <f t="shared" si="51"/>
        <v>1E-3</v>
      </c>
    </row>
    <row r="1564" spans="4:6" x14ac:dyDescent="0.2">
      <c r="D1564">
        <v>0</v>
      </c>
      <c r="F1564">
        <f t="shared" si="51"/>
        <v>0</v>
      </c>
    </row>
    <row r="1565" spans="4:6" x14ac:dyDescent="0.2">
      <c r="D1565">
        <v>0</v>
      </c>
      <c r="F1565">
        <f t="shared" si="51"/>
        <v>0</v>
      </c>
    </row>
    <row r="1566" spans="4:6" x14ac:dyDescent="0.2">
      <c r="D1566">
        <v>3</v>
      </c>
      <c r="F1566">
        <f t="shared" si="51"/>
        <v>3.0000000000000001E-3</v>
      </c>
    </row>
    <row r="1567" spans="4:6" x14ac:dyDescent="0.2">
      <c r="D1567">
        <v>3</v>
      </c>
      <c r="F1567">
        <f t="shared" si="51"/>
        <v>3.0000000000000001E-3</v>
      </c>
    </row>
    <row r="1568" spans="4:6" x14ac:dyDescent="0.2">
      <c r="D1568">
        <v>0</v>
      </c>
      <c r="F1568">
        <f t="shared" si="51"/>
        <v>0</v>
      </c>
    </row>
    <row r="1569" spans="4:6" x14ac:dyDescent="0.2">
      <c r="D1569">
        <v>1</v>
      </c>
      <c r="F1569">
        <f t="shared" si="51"/>
        <v>1E-3</v>
      </c>
    </row>
    <row r="1570" spans="4:6" x14ac:dyDescent="0.2">
      <c r="D1570">
        <v>1</v>
      </c>
      <c r="F1570">
        <f t="shared" si="51"/>
        <v>1E-3</v>
      </c>
    </row>
    <row r="1571" spans="4:6" x14ac:dyDescent="0.2">
      <c r="D1571">
        <v>0</v>
      </c>
      <c r="F1571">
        <f t="shared" si="51"/>
        <v>0</v>
      </c>
    </row>
    <row r="1572" spans="4:6" x14ac:dyDescent="0.2">
      <c r="D1572">
        <v>2</v>
      </c>
      <c r="F1572">
        <f t="shared" si="51"/>
        <v>2E-3</v>
      </c>
    </row>
    <row r="1573" spans="4:6" x14ac:dyDescent="0.2">
      <c r="D1573">
        <v>1</v>
      </c>
      <c r="F1573">
        <f t="shared" si="51"/>
        <v>1E-3</v>
      </c>
    </row>
    <row r="1574" spans="4:6" x14ac:dyDescent="0.2">
      <c r="D1574">
        <v>0</v>
      </c>
      <c r="F1574">
        <f t="shared" si="51"/>
        <v>0</v>
      </c>
    </row>
    <row r="1575" spans="4:6" x14ac:dyDescent="0.2">
      <c r="D1575">
        <v>1</v>
      </c>
      <c r="F1575">
        <f t="shared" si="51"/>
        <v>1E-3</v>
      </c>
    </row>
    <row r="1576" spans="4:6" x14ac:dyDescent="0.2">
      <c r="D1576">
        <v>0</v>
      </c>
      <c r="F1576">
        <f t="shared" si="51"/>
        <v>0</v>
      </c>
    </row>
    <row r="1577" spans="4:6" x14ac:dyDescent="0.2">
      <c r="D1577">
        <v>1</v>
      </c>
      <c r="F1577">
        <f t="shared" si="51"/>
        <v>1E-3</v>
      </c>
    </row>
    <row r="1578" spans="4:6" x14ac:dyDescent="0.2">
      <c r="D1578">
        <v>0</v>
      </c>
      <c r="F1578">
        <f t="shared" si="51"/>
        <v>0</v>
      </c>
    </row>
    <row r="1579" spans="4:6" x14ac:dyDescent="0.2">
      <c r="D1579">
        <v>0</v>
      </c>
      <c r="F1579">
        <f t="shared" si="51"/>
        <v>0</v>
      </c>
    </row>
    <row r="1580" spans="4:6" x14ac:dyDescent="0.2">
      <c r="D1580">
        <v>0</v>
      </c>
      <c r="F1580">
        <f t="shared" si="51"/>
        <v>0</v>
      </c>
    </row>
    <row r="1581" spans="4:6" x14ac:dyDescent="0.2">
      <c r="D1581">
        <v>1</v>
      </c>
      <c r="F1581">
        <f t="shared" si="51"/>
        <v>1E-3</v>
      </c>
    </row>
    <row r="1582" spans="4:6" x14ac:dyDescent="0.2">
      <c r="D1582">
        <v>0</v>
      </c>
      <c r="F1582">
        <f t="shared" si="51"/>
        <v>0</v>
      </c>
    </row>
    <row r="1583" spans="4:6" x14ac:dyDescent="0.2">
      <c r="D1583">
        <v>1</v>
      </c>
      <c r="F1583">
        <f t="shared" si="51"/>
        <v>1E-3</v>
      </c>
    </row>
    <row r="1584" spans="4:6" x14ac:dyDescent="0.2">
      <c r="D1584">
        <v>1</v>
      </c>
      <c r="F1584">
        <f t="shared" si="51"/>
        <v>1E-3</v>
      </c>
    </row>
    <row r="1585" spans="4:6" x14ac:dyDescent="0.2">
      <c r="D1585">
        <v>0</v>
      </c>
      <c r="F1585">
        <f t="shared" si="51"/>
        <v>0</v>
      </c>
    </row>
    <row r="1586" spans="4:6" x14ac:dyDescent="0.2">
      <c r="D1586">
        <v>0</v>
      </c>
      <c r="F1586">
        <f t="shared" si="51"/>
        <v>0</v>
      </c>
    </row>
    <row r="1587" spans="4:6" x14ac:dyDescent="0.2">
      <c r="D1587">
        <v>1</v>
      </c>
      <c r="F1587">
        <f t="shared" si="51"/>
        <v>1E-3</v>
      </c>
    </row>
    <row r="1588" spans="4:6" x14ac:dyDescent="0.2">
      <c r="D1588">
        <v>1</v>
      </c>
      <c r="F1588">
        <f t="shared" si="51"/>
        <v>1E-3</v>
      </c>
    </row>
    <row r="1589" spans="4:6" x14ac:dyDescent="0.2">
      <c r="D1589">
        <v>11</v>
      </c>
      <c r="F1589">
        <f t="shared" si="51"/>
        <v>1.0999999999999999E-2</v>
      </c>
    </row>
    <row r="1590" spans="4:6" x14ac:dyDescent="0.2">
      <c r="D1590">
        <v>5</v>
      </c>
      <c r="F1590">
        <f t="shared" si="51"/>
        <v>5.0000000000000001E-3</v>
      </c>
    </row>
    <row r="1591" spans="4:6" x14ac:dyDescent="0.2">
      <c r="D1591">
        <v>10</v>
      </c>
      <c r="F1591">
        <f t="shared" si="51"/>
        <v>0.01</v>
      </c>
    </row>
    <row r="1592" spans="4:6" x14ac:dyDescent="0.2">
      <c r="D1592">
        <v>3</v>
      </c>
      <c r="F1592">
        <f t="shared" si="51"/>
        <v>3.0000000000000001E-3</v>
      </c>
    </row>
    <row r="1593" spans="4:6" x14ac:dyDescent="0.2">
      <c r="D1593">
        <v>0</v>
      </c>
      <c r="F1593">
        <f t="shared" si="51"/>
        <v>0</v>
      </c>
    </row>
    <row r="1594" spans="4:6" x14ac:dyDescent="0.2">
      <c r="D1594">
        <v>0</v>
      </c>
      <c r="F1594">
        <f t="shared" si="51"/>
        <v>0</v>
      </c>
    </row>
    <row r="1595" spans="4:6" x14ac:dyDescent="0.2">
      <c r="D1595">
        <v>1</v>
      </c>
      <c r="F1595">
        <f t="shared" si="51"/>
        <v>1E-3</v>
      </c>
    </row>
    <row r="1596" spans="4:6" x14ac:dyDescent="0.2">
      <c r="D1596">
        <v>0</v>
      </c>
      <c r="F1596">
        <f t="shared" si="51"/>
        <v>0</v>
      </c>
    </row>
    <row r="1597" spans="4:6" x14ac:dyDescent="0.2">
      <c r="D1597">
        <v>1</v>
      </c>
      <c r="F1597">
        <f t="shared" si="51"/>
        <v>1E-3</v>
      </c>
    </row>
    <row r="1598" spans="4:6" x14ac:dyDescent="0.2">
      <c r="D1598">
        <v>0</v>
      </c>
      <c r="F1598">
        <f t="shared" si="51"/>
        <v>0</v>
      </c>
    </row>
    <row r="1599" spans="4:6" x14ac:dyDescent="0.2">
      <c r="D1599">
        <v>0</v>
      </c>
      <c r="F1599">
        <f t="shared" si="51"/>
        <v>0</v>
      </c>
    </row>
    <row r="1600" spans="4:6" x14ac:dyDescent="0.2">
      <c r="D1600">
        <v>0</v>
      </c>
      <c r="F1600">
        <f t="shared" si="51"/>
        <v>0</v>
      </c>
    </row>
    <row r="1601" spans="1:8" x14ac:dyDescent="0.2">
      <c r="A1601" t="s">
        <v>337</v>
      </c>
      <c r="B1601">
        <v>2019</v>
      </c>
      <c r="C1601" t="s">
        <v>45</v>
      </c>
      <c r="D1601">
        <f>205*1000+85</f>
        <v>205085</v>
      </c>
      <c r="E1601" t="s">
        <v>195</v>
      </c>
      <c r="F1601">
        <f t="shared" si="51"/>
        <v>205.08500000000001</v>
      </c>
      <c r="H1601" t="s">
        <v>336</v>
      </c>
    </row>
    <row r="1602" spans="1:8" x14ac:dyDescent="0.2">
      <c r="D1602">
        <f>71*1000+107</f>
        <v>71107</v>
      </c>
      <c r="F1602">
        <f t="shared" si="51"/>
        <v>71.106999999999999</v>
      </c>
    </row>
    <row r="1603" spans="1:8" x14ac:dyDescent="0.2">
      <c r="D1603">
        <f>28*1000+211</f>
        <v>28211</v>
      </c>
      <c r="F1603">
        <f t="shared" si="51"/>
        <v>28.210999999999999</v>
      </c>
    </row>
    <row r="1604" spans="1:8" x14ac:dyDescent="0.2">
      <c r="D1604">
        <f>12*1000+48</f>
        <v>12048</v>
      </c>
      <c r="F1604">
        <f t="shared" si="51"/>
        <v>12.048</v>
      </c>
    </row>
    <row r="1605" spans="1:8" x14ac:dyDescent="0.2">
      <c r="A1605" t="s">
        <v>339</v>
      </c>
      <c r="B1605">
        <v>2011</v>
      </c>
      <c r="C1605" t="s">
        <v>45</v>
      </c>
      <c r="D1605">
        <v>390.7</v>
      </c>
      <c r="E1605" t="s">
        <v>195</v>
      </c>
      <c r="F1605">
        <f t="shared" si="51"/>
        <v>0.39069999999999999</v>
      </c>
      <c r="H1605" t="s">
        <v>338</v>
      </c>
    </row>
    <row r="1606" spans="1:8" x14ac:dyDescent="0.2">
      <c r="D1606">
        <v>162.9</v>
      </c>
      <c r="F1606">
        <f t="shared" si="51"/>
        <v>0.16290000000000002</v>
      </c>
    </row>
    <row r="1607" spans="1:8" x14ac:dyDescent="0.2">
      <c r="D1607">
        <v>86.6</v>
      </c>
      <c r="F1607">
        <f t="shared" si="51"/>
        <v>8.6599999999999996E-2</v>
      </c>
    </row>
    <row r="1608" spans="1:8" x14ac:dyDescent="0.2">
      <c r="D1608">
        <v>186.2</v>
      </c>
      <c r="F1608">
        <f t="shared" si="51"/>
        <v>0.18619999999999998</v>
      </c>
    </row>
    <row r="1609" spans="1:8" x14ac:dyDescent="0.2">
      <c r="D1609">
        <v>273.39999999999998</v>
      </c>
      <c r="F1609">
        <f t="shared" si="51"/>
        <v>0.27339999999999998</v>
      </c>
    </row>
    <row r="1610" spans="1:8" x14ac:dyDescent="0.2">
      <c r="D1610">
        <v>119.7</v>
      </c>
      <c r="F1610">
        <f t="shared" si="51"/>
        <v>0.1197</v>
      </c>
    </row>
    <row r="1611" spans="1:8" x14ac:dyDescent="0.2">
      <c r="D1611">
        <v>109.2</v>
      </c>
      <c r="F1611">
        <f t="shared" si="51"/>
        <v>0.10920000000000001</v>
      </c>
    </row>
    <row r="1612" spans="1:8" x14ac:dyDescent="0.2">
      <c r="D1612">
        <v>123.9</v>
      </c>
      <c r="F1612">
        <f t="shared" ref="F1612:F1666" si="52">D1612/1000</f>
        <v>0.12390000000000001</v>
      </c>
    </row>
    <row r="1613" spans="1:8" x14ac:dyDescent="0.2">
      <c r="D1613">
        <v>186.3</v>
      </c>
      <c r="F1613">
        <f t="shared" si="52"/>
        <v>0.18630000000000002</v>
      </c>
    </row>
    <row r="1614" spans="1:8" x14ac:dyDescent="0.2">
      <c r="D1614">
        <v>66.900000000000006</v>
      </c>
      <c r="F1614">
        <f t="shared" si="52"/>
        <v>6.6900000000000001E-2</v>
      </c>
    </row>
    <row r="1615" spans="1:8" x14ac:dyDescent="0.2">
      <c r="D1615">
        <v>127.4</v>
      </c>
      <c r="F1615">
        <f t="shared" si="52"/>
        <v>0.12740000000000001</v>
      </c>
    </row>
    <row r="1616" spans="1:8" x14ac:dyDescent="0.2">
      <c r="D1616">
        <v>71.5</v>
      </c>
      <c r="F1616">
        <f t="shared" si="52"/>
        <v>7.1499999999999994E-2</v>
      </c>
    </row>
    <row r="1617" spans="1:8" x14ac:dyDescent="0.2">
      <c r="D1617">
        <v>115.8</v>
      </c>
      <c r="F1617">
        <f t="shared" si="52"/>
        <v>0.1158</v>
      </c>
    </row>
    <row r="1618" spans="1:8" x14ac:dyDescent="0.2">
      <c r="D1618">
        <v>88.4</v>
      </c>
      <c r="F1618">
        <f t="shared" si="52"/>
        <v>8.8400000000000006E-2</v>
      </c>
    </row>
    <row r="1619" spans="1:8" x14ac:dyDescent="0.2">
      <c r="D1619">
        <v>112.2</v>
      </c>
      <c r="F1619">
        <f t="shared" si="52"/>
        <v>0.11220000000000001</v>
      </c>
    </row>
    <row r="1620" spans="1:8" x14ac:dyDescent="0.2">
      <c r="D1620">
        <v>98.2</v>
      </c>
      <c r="F1620">
        <f t="shared" si="52"/>
        <v>9.820000000000001E-2</v>
      </c>
    </row>
    <row r="1621" spans="1:8" x14ac:dyDescent="0.2">
      <c r="D1621">
        <v>269.5</v>
      </c>
      <c r="F1621">
        <f t="shared" si="52"/>
        <v>0.26950000000000002</v>
      </c>
    </row>
    <row r="1622" spans="1:8" x14ac:dyDescent="0.2">
      <c r="D1622">
        <v>156.19999999999999</v>
      </c>
      <c r="F1622">
        <f t="shared" si="52"/>
        <v>0.15619999999999998</v>
      </c>
    </row>
    <row r="1623" spans="1:8" x14ac:dyDescent="0.2">
      <c r="D1623">
        <v>77.900000000000006</v>
      </c>
      <c r="F1623">
        <f t="shared" si="52"/>
        <v>7.7900000000000011E-2</v>
      </c>
    </row>
    <row r="1624" spans="1:8" x14ac:dyDescent="0.2">
      <c r="D1624">
        <v>48.7</v>
      </c>
      <c r="F1624">
        <f t="shared" si="52"/>
        <v>4.87E-2</v>
      </c>
    </row>
    <row r="1625" spans="1:8" x14ac:dyDescent="0.2">
      <c r="D1625">
        <v>95.9</v>
      </c>
      <c r="F1625">
        <f t="shared" si="52"/>
        <v>9.5899999999999999E-2</v>
      </c>
    </row>
    <row r="1626" spans="1:8" x14ac:dyDescent="0.2">
      <c r="D1626">
        <v>102.1</v>
      </c>
      <c r="F1626">
        <f t="shared" si="52"/>
        <v>0.1021</v>
      </c>
    </row>
    <row r="1627" spans="1:8" x14ac:dyDescent="0.2">
      <c r="D1627">
        <v>56.9</v>
      </c>
      <c r="F1627">
        <f t="shared" si="52"/>
        <v>5.6899999999999999E-2</v>
      </c>
    </row>
    <row r="1628" spans="1:8" x14ac:dyDescent="0.2">
      <c r="D1628">
        <v>124.2</v>
      </c>
      <c r="F1628">
        <f t="shared" si="52"/>
        <v>0.1242</v>
      </c>
    </row>
    <row r="1629" spans="1:8" x14ac:dyDescent="0.2">
      <c r="D1629">
        <v>100</v>
      </c>
      <c r="F1629">
        <f t="shared" si="52"/>
        <v>0.1</v>
      </c>
    </row>
    <row r="1630" spans="1:8" x14ac:dyDescent="0.2">
      <c r="A1630" t="s">
        <v>341</v>
      </c>
      <c r="B1630">
        <v>2017</v>
      </c>
      <c r="C1630" t="s">
        <v>45</v>
      </c>
      <c r="D1630">
        <v>20</v>
      </c>
      <c r="E1630" t="s">
        <v>195</v>
      </c>
      <c r="F1630">
        <f t="shared" si="52"/>
        <v>0.02</v>
      </c>
      <c r="H1630" t="s">
        <v>340</v>
      </c>
    </row>
    <row r="1631" spans="1:8" x14ac:dyDescent="0.2">
      <c r="D1631">
        <v>340</v>
      </c>
      <c r="F1631">
        <f t="shared" si="52"/>
        <v>0.34</v>
      </c>
    </row>
    <row r="1632" spans="1:8" x14ac:dyDescent="0.2">
      <c r="A1632" t="s">
        <v>342</v>
      </c>
      <c r="B1632">
        <v>2017</v>
      </c>
      <c r="C1632" t="s">
        <v>45</v>
      </c>
      <c r="D1632">
        <v>252</v>
      </c>
      <c r="E1632" t="s">
        <v>195</v>
      </c>
      <c r="F1632">
        <f t="shared" si="52"/>
        <v>0.252</v>
      </c>
      <c r="H1632" t="s">
        <v>198</v>
      </c>
    </row>
    <row r="1633" spans="4:6" x14ac:dyDescent="0.2">
      <c r="D1633">
        <v>110</v>
      </c>
      <c r="F1633">
        <f t="shared" si="52"/>
        <v>0.11</v>
      </c>
    </row>
    <row r="1634" spans="4:6" x14ac:dyDescent="0.2">
      <c r="D1634">
        <v>54</v>
      </c>
      <c r="F1634">
        <f t="shared" si="52"/>
        <v>5.3999999999999999E-2</v>
      </c>
    </row>
    <row r="1635" spans="4:6" x14ac:dyDescent="0.2">
      <c r="D1635">
        <v>59</v>
      </c>
      <c r="F1635">
        <f t="shared" si="52"/>
        <v>5.8999999999999997E-2</v>
      </c>
    </row>
    <row r="1636" spans="4:6" x14ac:dyDescent="0.2">
      <c r="D1636">
        <v>330</v>
      </c>
      <c r="F1636">
        <f t="shared" si="52"/>
        <v>0.33</v>
      </c>
    </row>
    <row r="1637" spans="4:6" x14ac:dyDescent="0.2">
      <c r="D1637">
        <v>146</v>
      </c>
      <c r="F1637">
        <f t="shared" si="52"/>
        <v>0.14599999999999999</v>
      </c>
    </row>
    <row r="1638" spans="4:6" x14ac:dyDescent="0.2">
      <c r="D1638">
        <v>3146</v>
      </c>
      <c r="F1638">
        <f t="shared" si="52"/>
        <v>3.1459999999999999</v>
      </c>
    </row>
    <row r="1639" spans="4:6" x14ac:dyDescent="0.2">
      <c r="D1639">
        <v>0</v>
      </c>
      <c r="F1639">
        <f t="shared" si="52"/>
        <v>0</v>
      </c>
    </row>
    <row r="1640" spans="4:6" x14ac:dyDescent="0.2">
      <c r="D1640">
        <v>348</v>
      </c>
      <c r="F1640">
        <f t="shared" si="52"/>
        <v>0.34799999999999998</v>
      </c>
    </row>
    <row r="1641" spans="4:6" x14ac:dyDescent="0.2">
      <c r="D1641">
        <v>643</v>
      </c>
      <c r="F1641">
        <f t="shared" si="52"/>
        <v>0.64300000000000002</v>
      </c>
    </row>
    <row r="1642" spans="4:6" x14ac:dyDescent="0.2">
      <c r="D1642">
        <v>233</v>
      </c>
      <c r="F1642">
        <f t="shared" si="52"/>
        <v>0.23300000000000001</v>
      </c>
    </row>
    <row r="1643" spans="4:6" x14ac:dyDescent="0.2">
      <c r="D1643">
        <v>96</v>
      </c>
      <c r="F1643">
        <f t="shared" si="52"/>
        <v>9.6000000000000002E-2</v>
      </c>
    </row>
    <row r="1644" spans="4:6" x14ac:dyDescent="0.2">
      <c r="D1644">
        <v>418</v>
      </c>
      <c r="F1644">
        <f t="shared" si="52"/>
        <v>0.41799999999999998</v>
      </c>
    </row>
    <row r="1645" spans="4:6" x14ac:dyDescent="0.2">
      <c r="D1645">
        <v>301</v>
      </c>
      <c r="F1645">
        <f t="shared" si="52"/>
        <v>0.30099999999999999</v>
      </c>
    </row>
    <row r="1646" spans="4:6" x14ac:dyDescent="0.2">
      <c r="D1646">
        <v>109</v>
      </c>
      <c r="F1646">
        <f t="shared" si="52"/>
        <v>0.109</v>
      </c>
    </row>
    <row r="1647" spans="4:6" x14ac:dyDescent="0.2">
      <c r="D1647">
        <v>0</v>
      </c>
      <c r="F1647">
        <f t="shared" si="52"/>
        <v>0</v>
      </c>
    </row>
    <row r="1648" spans="4:6" x14ac:dyDescent="0.2">
      <c r="D1648">
        <v>176</v>
      </c>
      <c r="F1648">
        <f t="shared" si="52"/>
        <v>0.17599999999999999</v>
      </c>
    </row>
    <row r="1649" spans="4:6" x14ac:dyDescent="0.2">
      <c r="D1649">
        <v>225</v>
      </c>
      <c r="F1649">
        <f t="shared" si="52"/>
        <v>0.22500000000000001</v>
      </c>
    </row>
    <row r="1650" spans="4:6" x14ac:dyDescent="0.2">
      <c r="D1650">
        <v>0</v>
      </c>
      <c r="F1650">
        <f t="shared" si="52"/>
        <v>0</v>
      </c>
    </row>
    <row r="1651" spans="4:6" x14ac:dyDescent="0.2">
      <c r="D1651">
        <v>62</v>
      </c>
      <c r="F1651">
        <f t="shared" si="52"/>
        <v>6.2E-2</v>
      </c>
    </row>
    <row r="1652" spans="4:6" x14ac:dyDescent="0.2">
      <c r="D1652">
        <v>499</v>
      </c>
      <c r="F1652">
        <f t="shared" si="52"/>
        <v>0.499</v>
      </c>
    </row>
    <row r="1653" spans="4:6" x14ac:dyDescent="0.2">
      <c r="D1653">
        <v>561</v>
      </c>
      <c r="F1653">
        <f t="shared" si="52"/>
        <v>0.56100000000000005</v>
      </c>
    </row>
    <row r="1654" spans="4:6" x14ac:dyDescent="0.2">
      <c r="D1654">
        <v>194</v>
      </c>
      <c r="F1654">
        <f t="shared" si="52"/>
        <v>0.19400000000000001</v>
      </c>
    </row>
    <row r="1655" spans="4:6" x14ac:dyDescent="0.2">
      <c r="D1655">
        <v>138</v>
      </c>
      <c r="F1655">
        <f t="shared" si="52"/>
        <v>0.13800000000000001</v>
      </c>
    </row>
    <row r="1656" spans="4:6" x14ac:dyDescent="0.2">
      <c r="D1656">
        <v>140</v>
      </c>
      <c r="F1656">
        <f t="shared" si="52"/>
        <v>0.14000000000000001</v>
      </c>
    </row>
    <row r="1657" spans="4:6" x14ac:dyDescent="0.2">
      <c r="D1657">
        <v>425</v>
      </c>
      <c r="F1657">
        <f t="shared" si="52"/>
        <v>0.42499999999999999</v>
      </c>
    </row>
    <row r="1658" spans="4:6" x14ac:dyDescent="0.2">
      <c r="D1658">
        <v>1509</v>
      </c>
      <c r="F1658">
        <f t="shared" si="52"/>
        <v>1.5089999999999999</v>
      </c>
    </row>
    <row r="1659" spans="4:6" x14ac:dyDescent="0.2">
      <c r="D1659">
        <v>585</v>
      </c>
      <c r="F1659">
        <f t="shared" si="52"/>
        <v>0.58499999999999996</v>
      </c>
    </row>
    <row r="1660" spans="4:6" x14ac:dyDescent="0.2">
      <c r="D1660">
        <v>481</v>
      </c>
      <c r="F1660">
        <f t="shared" si="52"/>
        <v>0.48099999999999998</v>
      </c>
    </row>
    <row r="1661" spans="4:6" x14ac:dyDescent="0.2">
      <c r="D1661">
        <v>222</v>
      </c>
      <c r="F1661">
        <f t="shared" si="52"/>
        <v>0.222</v>
      </c>
    </row>
    <row r="1662" spans="4:6" x14ac:dyDescent="0.2">
      <c r="D1662">
        <v>306</v>
      </c>
      <c r="F1662">
        <f t="shared" si="52"/>
        <v>0.30599999999999999</v>
      </c>
    </row>
    <row r="1663" spans="4:6" x14ac:dyDescent="0.2">
      <c r="D1663">
        <v>280</v>
      </c>
      <c r="F1663">
        <f t="shared" si="52"/>
        <v>0.28000000000000003</v>
      </c>
    </row>
    <row r="1664" spans="4:6" x14ac:dyDescent="0.2">
      <c r="D1664">
        <v>98.2</v>
      </c>
      <c r="F1664">
        <f t="shared" si="52"/>
        <v>9.820000000000001E-2</v>
      </c>
    </row>
    <row r="1665" spans="1:8" x14ac:dyDescent="0.2">
      <c r="D1665">
        <v>115.8</v>
      </c>
      <c r="F1665">
        <f t="shared" si="52"/>
        <v>0.1158</v>
      </c>
    </row>
    <row r="1666" spans="1:8" x14ac:dyDescent="0.2">
      <c r="D1666">
        <v>109.2</v>
      </c>
      <c r="F1666">
        <f t="shared" si="52"/>
        <v>0.10920000000000001</v>
      </c>
    </row>
    <row r="1667" spans="1:8" x14ac:dyDescent="0.2">
      <c r="C1667" t="s">
        <v>43</v>
      </c>
      <c r="D1667">
        <v>0.14000000000000001</v>
      </c>
      <c r="E1667" t="s">
        <v>180</v>
      </c>
      <c r="F1667">
        <f>D1667/1000000</f>
        <v>1.4000000000000001E-7</v>
      </c>
    </row>
    <row r="1668" spans="1:8" x14ac:dyDescent="0.2">
      <c r="D1668">
        <v>2.46</v>
      </c>
      <c r="F1668">
        <f t="shared" ref="F1668:F1675" si="53">D1668/1000000</f>
        <v>2.4600000000000002E-6</v>
      </c>
    </row>
    <row r="1669" spans="1:8" x14ac:dyDescent="0.2">
      <c r="D1669">
        <v>0.24</v>
      </c>
      <c r="F1669">
        <f t="shared" si="53"/>
        <v>2.3999999999999998E-7</v>
      </c>
    </row>
    <row r="1670" spans="1:8" x14ac:dyDescent="0.2">
      <c r="D1670">
        <v>0</v>
      </c>
      <c r="F1670">
        <f t="shared" si="53"/>
        <v>0</v>
      </c>
    </row>
    <row r="1671" spans="1:8" x14ac:dyDescent="0.2">
      <c r="D1671">
        <v>100</v>
      </c>
      <c r="F1671">
        <f t="shared" si="53"/>
        <v>1E-4</v>
      </c>
    </row>
    <row r="1672" spans="1:8" x14ac:dyDescent="0.2">
      <c r="D1672">
        <v>0.02</v>
      </c>
      <c r="F1672">
        <f t="shared" si="53"/>
        <v>2E-8</v>
      </c>
    </row>
    <row r="1673" spans="1:8" x14ac:dyDescent="0.2">
      <c r="D1673">
        <v>3.5999999999999997E-2</v>
      </c>
      <c r="F1673">
        <f t="shared" si="53"/>
        <v>3.5999999999999998E-8</v>
      </c>
    </row>
    <row r="1674" spans="1:8" x14ac:dyDescent="0.2">
      <c r="D1674">
        <v>0</v>
      </c>
      <c r="F1674">
        <f t="shared" si="53"/>
        <v>0</v>
      </c>
    </row>
    <row r="1675" spans="1:8" x14ac:dyDescent="0.2">
      <c r="D1675">
        <v>3.5</v>
      </c>
      <c r="F1675">
        <f t="shared" si="53"/>
        <v>3.4999999999999999E-6</v>
      </c>
    </row>
    <row r="1676" spans="1:8" x14ac:dyDescent="0.2">
      <c r="A1676" t="s">
        <v>344</v>
      </c>
      <c r="B1676">
        <v>2020</v>
      </c>
      <c r="C1676" t="s">
        <v>45</v>
      </c>
      <c r="D1676">
        <v>8178</v>
      </c>
      <c r="E1676" t="s">
        <v>195</v>
      </c>
      <c r="F1676">
        <f>D1676/1000</f>
        <v>8.1780000000000008</v>
      </c>
      <c r="H1676" t="s">
        <v>343</v>
      </c>
    </row>
    <row r="1677" spans="1:8" x14ac:dyDescent="0.2">
      <c r="D1677">
        <v>5869</v>
      </c>
      <c r="F1677">
        <f t="shared" ref="F1677:F1733" si="54">D1677/1000</f>
        <v>5.8689999999999998</v>
      </c>
    </row>
    <row r="1678" spans="1:8" x14ac:dyDescent="0.2">
      <c r="D1678">
        <v>1738</v>
      </c>
      <c r="F1678">
        <f t="shared" si="54"/>
        <v>1.738</v>
      </c>
    </row>
    <row r="1679" spans="1:8" x14ac:dyDescent="0.2">
      <c r="D1679">
        <v>1524</v>
      </c>
      <c r="F1679">
        <f t="shared" si="54"/>
        <v>1.524</v>
      </c>
    </row>
    <row r="1680" spans="1:8" x14ac:dyDescent="0.2">
      <c r="D1680">
        <v>2101</v>
      </c>
      <c r="F1680">
        <f t="shared" si="54"/>
        <v>2.101</v>
      </c>
    </row>
    <row r="1681" spans="1:8" x14ac:dyDescent="0.2">
      <c r="D1681">
        <v>1106</v>
      </c>
      <c r="F1681">
        <f t="shared" si="54"/>
        <v>1.1060000000000001</v>
      </c>
    </row>
    <row r="1682" spans="1:8" x14ac:dyDescent="0.2">
      <c r="D1682">
        <v>417</v>
      </c>
      <c r="F1682">
        <f t="shared" si="54"/>
        <v>0.41699999999999998</v>
      </c>
    </row>
    <row r="1683" spans="1:8" x14ac:dyDescent="0.2">
      <c r="D1683">
        <v>5725</v>
      </c>
      <c r="F1683">
        <f t="shared" si="54"/>
        <v>5.7249999999999996</v>
      </c>
    </row>
    <row r="1684" spans="1:8" x14ac:dyDescent="0.2">
      <c r="D1684">
        <v>2660</v>
      </c>
      <c r="F1684">
        <f t="shared" si="54"/>
        <v>2.66</v>
      </c>
    </row>
    <row r="1685" spans="1:8" x14ac:dyDescent="0.2">
      <c r="D1685">
        <v>1216</v>
      </c>
      <c r="F1685">
        <f t="shared" si="54"/>
        <v>1.216</v>
      </c>
    </row>
    <row r="1686" spans="1:8" x14ac:dyDescent="0.2">
      <c r="D1686">
        <v>1220</v>
      </c>
      <c r="F1686">
        <f t="shared" si="54"/>
        <v>1.22</v>
      </c>
    </row>
    <row r="1687" spans="1:8" x14ac:dyDescent="0.2">
      <c r="D1687">
        <v>57</v>
      </c>
      <c r="F1687">
        <f t="shared" si="54"/>
        <v>5.7000000000000002E-2</v>
      </c>
    </row>
    <row r="1688" spans="1:8" x14ac:dyDescent="0.2">
      <c r="D1688">
        <v>192</v>
      </c>
      <c r="F1688">
        <f t="shared" si="54"/>
        <v>0.192</v>
      </c>
    </row>
    <row r="1689" spans="1:8" x14ac:dyDescent="0.2">
      <c r="D1689">
        <v>0</v>
      </c>
      <c r="F1689">
        <f t="shared" si="54"/>
        <v>0</v>
      </c>
    </row>
    <row r="1690" spans="1:8" x14ac:dyDescent="0.2">
      <c r="A1690" t="s">
        <v>346</v>
      </c>
      <c r="B1690">
        <v>2015</v>
      </c>
      <c r="C1690" t="s">
        <v>45</v>
      </c>
      <c r="D1690">
        <v>1</v>
      </c>
      <c r="E1690" t="s">
        <v>195</v>
      </c>
      <c r="F1690">
        <f t="shared" si="54"/>
        <v>1E-3</v>
      </c>
      <c r="H1690" t="s">
        <v>345</v>
      </c>
    </row>
    <row r="1691" spans="1:8" x14ac:dyDescent="0.2">
      <c r="D1691">
        <v>2</v>
      </c>
      <c r="F1691">
        <f t="shared" si="54"/>
        <v>2E-3</v>
      </c>
    </row>
    <row r="1692" spans="1:8" x14ac:dyDescent="0.2">
      <c r="D1692">
        <v>34</v>
      </c>
      <c r="F1692">
        <f t="shared" si="54"/>
        <v>3.4000000000000002E-2</v>
      </c>
    </row>
    <row r="1693" spans="1:8" x14ac:dyDescent="0.2">
      <c r="D1693">
        <v>74</v>
      </c>
      <c r="F1693">
        <f t="shared" si="54"/>
        <v>7.3999999999999996E-2</v>
      </c>
    </row>
    <row r="1694" spans="1:8" x14ac:dyDescent="0.2">
      <c r="D1694">
        <v>1</v>
      </c>
      <c r="F1694">
        <f t="shared" si="54"/>
        <v>1E-3</v>
      </c>
    </row>
    <row r="1695" spans="1:8" x14ac:dyDescent="0.2">
      <c r="D1695">
        <v>7</v>
      </c>
      <c r="F1695">
        <f t="shared" si="54"/>
        <v>7.0000000000000001E-3</v>
      </c>
    </row>
    <row r="1696" spans="1:8" x14ac:dyDescent="0.2">
      <c r="D1696">
        <v>0</v>
      </c>
      <c r="F1696">
        <f t="shared" si="54"/>
        <v>0</v>
      </c>
    </row>
    <row r="1697" spans="1:8" x14ac:dyDescent="0.2">
      <c r="A1697" t="s">
        <v>348</v>
      </c>
      <c r="B1697">
        <v>2015</v>
      </c>
      <c r="C1697" t="s">
        <v>45</v>
      </c>
      <c r="D1697">
        <v>350</v>
      </c>
      <c r="E1697" t="s">
        <v>195</v>
      </c>
      <c r="F1697">
        <f t="shared" si="54"/>
        <v>0.35</v>
      </c>
      <c r="H1697" t="s">
        <v>347</v>
      </c>
    </row>
    <row r="1698" spans="1:8" x14ac:dyDescent="0.2">
      <c r="D1698">
        <v>750</v>
      </c>
      <c r="F1698">
        <f t="shared" si="54"/>
        <v>0.75</v>
      </c>
    </row>
    <row r="1699" spans="1:8" x14ac:dyDescent="0.2">
      <c r="D1699">
        <v>1020</v>
      </c>
      <c r="F1699">
        <f t="shared" si="54"/>
        <v>1.02</v>
      </c>
    </row>
    <row r="1700" spans="1:8" x14ac:dyDescent="0.2">
      <c r="D1700">
        <v>890</v>
      </c>
      <c r="F1700">
        <f t="shared" si="54"/>
        <v>0.89</v>
      </c>
    </row>
    <row r="1701" spans="1:8" x14ac:dyDescent="0.2">
      <c r="D1701">
        <v>3900</v>
      </c>
      <c r="F1701">
        <f t="shared" si="54"/>
        <v>3.9</v>
      </c>
    </row>
    <row r="1702" spans="1:8" x14ac:dyDescent="0.2">
      <c r="D1702">
        <v>620</v>
      </c>
      <c r="F1702">
        <f t="shared" si="54"/>
        <v>0.62</v>
      </c>
    </row>
    <row r="1703" spans="1:8" x14ac:dyDescent="0.2">
      <c r="D1703">
        <v>280</v>
      </c>
      <c r="F1703">
        <f t="shared" si="54"/>
        <v>0.28000000000000003</v>
      </c>
    </row>
    <row r="1704" spans="1:8" x14ac:dyDescent="0.2">
      <c r="D1704">
        <v>210</v>
      </c>
      <c r="F1704">
        <f t="shared" si="54"/>
        <v>0.21</v>
      </c>
    </row>
    <row r="1705" spans="1:8" x14ac:dyDescent="0.2">
      <c r="D1705">
        <v>310</v>
      </c>
      <c r="F1705">
        <f t="shared" si="54"/>
        <v>0.31</v>
      </c>
    </row>
    <row r="1706" spans="1:8" x14ac:dyDescent="0.2">
      <c r="D1706">
        <v>480</v>
      </c>
      <c r="F1706">
        <f t="shared" si="54"/>
        <v>0.48</v>
      </c>
    </row>
    <row r="1707" spans="1:8" x14ac:dyDescent="0.2">
      <c r="A1707" t="s">
        <v>350</v>
      </c>
      <c r="B1707">
        <v>2019</v>
      </c>
      <c r="C1707" t="s">
        <v>45</v>
      </c>
      <c r="D1707">
        <v>271.42</v>
      </c>
      <c r="E1707" t="s">
        <v>195</v>
      </c>
      <c r="F1707">
        <f t="shared" si="54"/>
        <v>0.27141999999999999</v>
      </c>
      <c r="H1707" t="s">
        <v>349</v>
      </c>
    </row>
    <row r="1708" spans="1:8" x14ac:dyDescent="0.2">
      <c r="D1708">
        <v>288.87</v>
      </c>
      <c r="F1708">
        <f t="shared" si="54"/>
        <v>0.28887000000000002</v>
      </c>
    </row>
    <row r="1709" spans="1:8" x14ac:dyDescent="0.2">
      <c r="D1709">
        <v>309.60000000000002</v>
      </c>
      <c r="F1709">
        <f t="shared" si="54"/>
        <v>0.30960000000000004</v>
      </c>
    </row>
    <row r="1710" spans="1:8" x14ac:dyDescent="0.2">
      <c r="D1710">
        <v>119.16</v>
      </c>
      <c r="F1710">
        <f t="shared" si="54"/>
        <v>0.11916</v>
      </c>
    </row>
    <row r="1711" spans="1:8" x14ac:dyDescent="0.2">
      <c r="D1711">
        <v>217.27</v>
      </c>
      <c r="F1711">
        <f t="shared" si="54"/>
        <v>0.21727000000000002</v>
      </c>
    </row>
    <row r="1712" spans="1:8" x14ac:dyDescent="0.2">
      <c r="D1712">
        <v>318.39999999999998</v>
      </c>
      <c r="F1712">
        <f t="shared" si="54"/>
        <v>0.31839999999999996</v>
      </c>
    </row>
    <row r="1713" spans="4:6" x14ac:dyDescent="0.2">
      <c r="D1713">
        <v>98.49</v>
      </c>
      <c r="F1713">
        <f t="shared" si="54"/>
        <v>9.8489999999999994E-2</v>
      </c>
    </row>
    <row r="1714" spans="4:6" x14ac:dyDescent="0.2">
      <c r="D1714">
        <v>120.51</v>
      </c>
      <c r="F1714">
        <f t="shared" si="54"/>
        <v>0.12051000000000001</v>
      </c>
    </row>
    <row r="1715" spans="4:6" x14ac:dyDescent="0.2">
      <c r="D1715">
        <v>38.72</v>
      </c>
      <c r="F1715">
        <f t="shared" si="54"/>
        <v>3.8719999999999997E-2</v>
      </c>
    </row>
    <row r="1716" spans="4:6" x14ac:dyDescent="0.2">
      <c r="D1716">
        <v>539.41</v>
      </c>
      <c r="F1716">
        <f t="shared" si="54"/>
        <v>0.53940999999999995</v>
      </c>
    </row>
    <row r="1717" spans="4:6" x14ac:dyDescent="0.2">
      <c r="D1717">
        <v>2.79</v>
      </c>
      <c r="F1717">
        <f t="shared" si="54"/>
        <v>2.7899999999999999E-3</v>
      </c>
    </row>
    <row r="1718" spans="4:6" x14ac:dyDescent="0.2">
      <c r="D1718">
        <v>255.44</v>
      </c>
      <c r="F1718">
        <f t="shared" si="54"/>
        <v>0.25544</v>
      </c>
    </row>
    <row r="1719" spans="4:6" x14ac:dyDescent="0.2">
      <c r="D1719">
        <v>140.44999999999999</v>
      </c>
      <c r="F1719">
        <f t="shared" si="54"/>
        <v>0.14044999999999999</v>
      </c>
    </row>
    <row r="1720" spans="4:6" x14ac:dyDescent="0.2">
      <c r="D1720">
        <v>33.56</v>
      </c>
      <c r="F1720">
        <f t="shared" si="54"/>
        <v>3.356E-2</v>
      </c>
    </row>
    <row r="1721" spans="4:6" x14ac:dyDescent="0.2">
      <c r="D1721">
        <v>77.06</v>
      </c>
      <c r="F1721">
        <f t="shared" si="54"/>
        <v>7.7060000000000003E-2</v>
      </c>
    </row>
    <row r="1722" spans="4:6" x14ac:dyDescent="0.2">
      <c r="D1722">
        <v>22.24</v>
      </c>
      <c r="F1722">
        <f t="shared" si="54"/>
        <v>2.2239999999999999E-2</v>
      </c>
    </row>
    <row r="1723" spans="4:6" x14ac:dyDescent="0.2">
      <c r="D1723">
        <v>88.69</v>
      </c>
      <c r="F1723">
        <f t="shared" si="54"/>
        <v>8.8689999999999991E-2</v>
      </c>
    </row>
    <row r="1724" spans="4:6" x14ac:dyDescent="0.2">
      <c r="D1724">
        <v>106.47</v>
      </c>
      <c r="F1724">
        <f t="shared" si="54"/>
        <v>0.10647</v>
      </c>
    </row>
    <row r="1725" spans="4:6" x14ac:dyDescent="0.2">
      <c r="D1725">
        <v>149.62</v>
      </c>
      <c r="F1725">
        <f t="shared" si="54"/>
        <v>0.14962</v>
      </c>
    </row>
    <row r="1726" spans="4:6" x14ac:dyDescent="0.2">
      <c r="D1726">
        <v>137.31</v>
      </c>
      <c r="F1726">
        <f t="shared" si="54"/>
        <v>0.13731000000000002</v>
      </c>
    </row>
    <row r="1727" spans="4:6" x14ac:dyDescent="0.2">
      <c r="D1727">
        <v>628.91999999999996</v>
      </c>
      <c r="F1727">
        <f t="shared" si="54"/>
        <v>0.62891999999999992</v>
      </c>
    </row>
    <row r="1728" spans="4:6" x14ac:dyDescent="0.2">
      <c r="D1728">
        <v>1188.8</v>
      </c>
      <c r="F1728">
        <f t="shared" si="54"/>
        <v>1.1887999999999999</v>
      </c>
    </row>
    <row r="1729" spans="3:6" x14ac:dyDescent="0.2">
      <c r="D1729">
        <v>239.9</v>
      </c>
      <c r="F1729">
        <f t="shared" si="54"/>
        <v>0.2399</v>
      </c>
    </row>
    <row r="1730" spans="3:6" x14ac:dyDescent="0.2">
      <c r="D1730">
        <v>234.48</v>
      </c>
      <c r="F1730">
        <f t="shared" si="54"/>
        <v>0.23447999999999999</v>
      </c>
    </row>
    <row r="1731" spans="3:6" x14ac:dyDescent="0.2">
      <c r="D1731">
        <v>254.28</v>
      </c>
      <c r="F1731">
        <f t="shared" si="54"/>
        <v>0.25428000000000001</v>
      </c>
    </row>
    <row r="1732" spans="3:6" x14ac:dyDescent="0.2">
      <c r="D1732">
        <v>2.79</v>
      </c>
      <c r="F1732">
        <f t="shared" si="54"/>
        <v>2.7899999999999999E-3</v>
      </c>
    </row>
    <row r="1733" spans="3:6" x14ac:dyDescent="0.2">
      <c r="D1733">
        <v>1188.8</v>
      </c>
      <c r="F1733">
        <f t="shared" si="54"/>
        <v>1.1887999999999999</v>
      </c>
    </row>
    <row r="1734" spans="3:6" x14ac:dyDescent="0.2">
      <c r="C1734" t="s">
        <v>43</v>
      </c>
      <c r="D1734">
        <v>5.34</v>
      </c>
      <c r="E1734" t="s">
        <v>180</v>
      </c>
      <c r="F1734">
        <f>D1734/1000000</f>
        <v>5.3399999999999997E-6</v>
      </c>
    </row>
    <row r="1735" spans="3:6" x14ac:dyDescent="0.2">
      <c r="D1735">
        <v>25.17</v>
      </c>
      <c r="F1735">
        <f t="shared" ref="F1735:F1760" si="55">D1735/1000000</f>
        <v>2.5170000000000001E-5</v>
      </c>
    </row>
    <row r="1736" spans="3:6" x14ac:dyDescent="0.2">
      <c r="D1736">
        <v>6.21</v>
      </c>
      <c r="F1736">
        <f t="shared" si="55"/>
        <v>6.2099999999999998E-6</v>
      </c>
    </row>
    <row r="1737" spans="3:6" x14ac:dyDescent="0.2">
      <c r="D1737">
        <v>22.85</v>
      </c>
      <c r="F1737">
        <f t="shared" si="55"/>
        <v>2.285E-5</v>
      </c>
    </row>
    <row r="1738" spans="3:6" x14ac:dyDescent="0.2">
      <c r="D1738">
        <v>8.44</v>
      </c>
      <c r="F1738">
        <f t="shared" si="55"/>
        <v>8.4399999999999988E-6</v>
      </c>
    </row>
    <row r="1739" spans="3:6" x14ac:dyDescent="0.2">
      <c r="D1739">
        <v>58.56</v>
      </c>
      <c r="F1739">
        <f t="shared" si="55"/>
        <v>5.8560000000000002E-5</v>
      </c>
    </row>
    <row r="1740" spans="3:6" x14ac:dyDescent="0.2">
      <c r="D1740">
        <v>7.89</v>
      </c>
      <c r="F1740">
        <f t="shared" si="55"/>
        <v>7.889999999999999E-6</v>
      </c>
    </row>
    <row r="1741" spans="3:6" x14ac:dyDescent="0.2">
      <c r="D1741">
        <v>11.58</v>
      </c>
      <c r="F1741">
        <f t="shared" si="55"/>
        <v>1.1579999999999999E-5</v>
      </c>
    </row>
    <row r="1742" spans="3:6" x14ac:dyDescent="0.2">
      <c r="D1742">
        <v>3.51</v>
      </c>
      <c r="F1742">
        <f t="shared" si="55"/>
        <v>3.5099999999999999E-6</v>
      </c>
    </row>
    <row r="1743" spans="3:6" x14ac:dyDescent="0.2">
      <c r="D1743">
        <v>3.33</v>
      </c>
      <c r="F1743">
        <f t="shared" si="55"/>
        <v>3.3299999999999999E-6</v>
      </c>
    </row>
    <row r="1744" spans="3:6" x14ac:dyDescent="0.2">
      <c r="D1744">
        <v>2.81</v>
      </c>
      <c r="F1744">
        <f t="shared" si="55"/>
        <v>2.8100000000000002E-6</v>
      </c>
    </row>
    <row r="1745" spans="4:6" x14ac:dyDescent="0.2">
      <c r="D1745">
        <v>0.31</v>
      </c>
      <c r="F1745">
        <f t="shared" si="55"/>
        <v>3.1E-7</v>
      </c>
    </row>
    <row r="1746" spans="4:6" x14ac:dyDescent="0.2">
      <c r="D1746">
        <v>63.19</v>
      </c>
      <c r="F1746">
        <f t="shared" si="55"/>
        <v>6.3189999999999996E-5</v>
      </c>
    </row>
    <row r="1747" spans="4:6" x14ac:dyDescent="0.2">
      <c r="D1747">
        <v>0.24</v>
      </c>
      <c r="F1747">
        <f t="shared" si="55"/>
        <v>2.3999999999999998E-7</v>
      </c>
    </row>
    <row r="1748" spans="4:6" x14ac:dyDescent="0.2">
      <c r="D1748">
        <v>8.9</v>
      </c>
      <c r="F1748">
        <f t="shared" si="55"/>
        <v>8.9000000000000012E-6</v>
      </c>
    </row>
    <row r="1749" spans="4:6" x14ac:dyDescent="0.2">
      <c r="D1749">
        <v>16.43</v>
      </c>
      <c r="F1749">
        <f t="shared" si="55"/>
        <v>1.643E-5</v>
      </c>
    </row>
    <row r="1750" spans="4:6" x14ac:dyDescent="0.2">
      <c r="D1750">
        <v>5.32</v>
      </c>
      <c r="F1750">
        <f t="shared" si="55"/>
        <v>5.3199999999999999E-6</v>
      </c>
    </row>
    <row r="1751" spans="4:6" x14ac:dyDescent="0.2">
      <c r="D1751">
        <v>0.49</v>
      </c>
      <c r="F1751">
        <f t="shared" si="55"/>
        <v>4.8999999999999997E-7</v>
      </c>
    </row>
    <row r="1752" spans="4:6" x14ac:dyDescent="0.2">
      <c r="D1752">
        <v>245.37</v>
      </c>
      <c r="F1752">
        <f t="shared" si="55"/>
        <v>2.4537000000000002E-4</v>
      </c>
    </row>
    <row r="1753" spans="4:6" x14ac:dyDescent="0.2">
      <c r="D1753">
        <v>21.82</v>
      </c>
      <c r="F1753">
        <f t="shared" si="55"/>
        <v>2.1820000000000001E-5</v>
      </c>
    </row>
    <row r="1754" spans="4:6" x14ac:dyDescent="0.2">
      <c r="D1754">
        <v>0.06</v>
      </c>
      <c r="F1754">
        <f t="shared" si="55"/>
        <v>5.9999999999999995E-8</v>
      </c>
    </row>
    <row r="1755" spans="4:6" x14ac:dyDescent="0.2">
      <c r="D1755">
        <v>101.85</v>
      </c>
      <c r="F1755">
        <f t="shared" si="55"/>
        <v>1.0185E-4</v>
      </c>
    </row>
    <row r="1756" spans="4:6" x14ac:dyDescent="0.2">
      <c r="D1756">
        <v>5.1100000000000003</v>
      </c>
      <c r="F1756">
        <f t="shared" si="55"/>
        <v>5.1100000000000002E-6</v>
      </c>
    </row>
    <row r="1757" spans="4:6" x14ac:dyDescent="0.2">
      <c r="D1757">
        <v>27.16</v>
      </c>
      <c r="F1757">
        <f t="shared" si="55"/>
        <v>2.7160000000000001E-5</v>
      </c>
    </row>
    <row r="1758" spans="4:6" x14ac:dyDescent="0.2">
      <c r="D1758">
        <v>52.52</v>
      </c>
      <c r="F1758">
        <f t="shared" si="55"/>
        <v>5.2520000000000005E-5</v>
      </c>
    </row>
    <row r="1759" spans="4:6" x14ac:dyDescent="0.2">
      <c r="D1759">
        <v>0.06</v>
      </c>
      <c r="F1759">
        <f t="shared" si="55"/>
        <v>5.9999999999999995E-8</v>
      </c>
    </row>
    <row r="1760" spans="4:6" x14ac:dyDescent="0.2">
      <c r="D1760">
        <v>245.37</v>
      </c>
      <c r="F1760">
        <f t="shared" si="55"/>
        <v>2.4537000000000002E-4</v>
      </c>
    </row>
    <row r="1761" spans="1:8" x14ac:dyDescent="0.2">
      <c r="A1761" t="s">
        <v>237</v>
      </c>
      <c r="B1761">
        <v>2021</v>
      </c>
      <c r="C1761" t="s">
        <v>43</v>
      </c>
      <c r="D1761">
        <v>7</v>
      </c>
      <c r="E1761" t="s">
        <v>190</v>
      </c>
      <c r="F1761">
        <f>D1761/1000</f>
        <v>7.0000000000000001E-3</v>
      </c>
      <c r="H1761" t="s">
        <v>351</v>
      </c>
    </row>
    <row r="1762" spans="1:8" x14ac:dyDescent="0.2">
      <c r="D1762">
        <v>18.5</v>
      </c>
      <c r="F1762">
        <f t="shared" ref="F1762:F1789" si="56">D1762/1000</f>
        <v>1.8499999999999999E-2</v>
      </c>
    </row>
    <row r="1763" spans="1:8" x14ac:dyDescent="0.2">
      <c r="D1763">
        <v>8</v>
      </c>
      <c r="F1763">
        <f t="shared" si="56"/>
        <v>8.0000000000000002E-3</v>
      </c>
    </row>
    <row r="1764" spans="1:8" x14ac:dyDescent="0.2">
      <c r="D1764">
        <v>0.9</v>
      </c>
      <c r="F1764">
        <f t="shared" si="56"/>
        <v>8.9999999999999998E-4</v>
      </c>
    </row>
    <row r="1765" spans="1:8" x14ac:dyDescent="0.2">
      <c r="D1765">
        <v>2.8</v>
      </c>
      <c r="F1765">
        <f t="shared" si="56"/>
        <v>2.8E-3</v>
      </c>
    </row>
    <row r="1766" spans="1:8" x14ac:dyDescent="0.2">
      <c r="D1766">
        <v>5</v>
      </c>
      <c r="F1766">
        <f t="shared" si="56"/>
        <v>5.0000000000000001E-3</v>
      </c>
    </row>
    <row r="1767" spans="1:8" x14ac:dyDescent="0.2">
      <c r="D1767">
        <v>34</v>
      </c>
      <c r="F1767">
        <f t="shared" si="56"/>
        <v>3.4000000000000002E-2</v>
      </c>
    </row>
    <row r="1768" spans="1:8" x14ac:dyDescent="0.2">
      <c r="D1768">
        <v>1.3</v>
      </c>
      <c r="F1768">
        <f t="shared" si="56"/>
        <v>1.2999999999999999E-3</v>
      </c>
    </row>
    <row r="1769" spans="1:8" x14ac:dyDescent="0.2">
      <c r="D1769">
        <v>4.7</v>
      </c>
      <c r="F1769">
        <f t="shared" si="56"/>
        <v>4.7000000000000002E-3</v>
      </c>
    </row>
    <row r="1770" spans="1:8" x14ac:dyDescent="0.2">
      <c r="D1770">
        <v>1.7</v>
      </c>
      <c r="F1770">
        <f t="shared" si="56"/>
        <v>1.6999999999999999E-3</v>
      </c>
    </row>
    <row r="1771" spans="1:8" x14ac:dyDescent="0.2">
      <c r="D1771">
        <v>8.9</v>
      </c>
      <c r="F1771">
        <f t="shared" si="56"/>
        <v>8.8999999999999999E-3</v>
      </c>
    </row>
    <row r="1772" spans="1:8" x14ac:dyDescent="0.2">
      <c r="D1772">
        <v>3.4</v>
      </c>
      <c r="F1772">
        <f t="shared" si="56"/>
        <v>3.3999999999999998E-3</v>
      </c>
    </row>
    <row r="1773" spans="1:8" x14ac:dyDescent="0.2">
      <c r="D1773">
        <v>25.8</v>
      </c>
      <c r="F1773">
        <f t="shared" si="56"/>
        <v>2.58E-2</v>
      </c>
    </row>
    <row r="1774" spans="1:8" x14ac:dyDescent="0.2">
      <c r="D1774">
        <v>1.7</v>
      </c>
      <c r="F1774">
        <f t="shared" si="56"/>
        <v>1.6999999999999999E-3</v>
      </c>
    </row>
    <row r="1775" spans="1:8" x14ac:dyDescent="0.2">
      <c r="D1775">
        <v>8.5</v>
      </c>
      <c r="F1775">
        <f t="shared" si="56"/>
        <v>8.5000000000000006E-3</v>
      </c>
    </row>
    <row r="1776" spans="1:8" x14ac:dyDescent="0.2">
      <c r="D1776">
        <v>0.4</v>
      </c>
      <c r="F1776">
        <f t="shared" si="56"/>
        <v>4.0000000000000002E-4</v>
      </c>
    </row>
    <row r="1777" spans="1:8" x14ac:dyDescent="0.2">
      <c r="D1777">
        <v>0.98</v>
      </c>
      <c r="F1777">
        <f t="shared" si="56"/>
        <v>9.7999999999999997E-4</v>
      </c>
    </row>
    <row r="1778" spans="1:8" x14ac:dyDescent="0.2">
      <c r="D1778">
        <v>172</v>
      </c>
      <c r="F1778">
        <f t="shared" si="56"/>
        <v>0.17199999999999999</v>
      </c>
    </row>
    <row r="1779" spans="1:8" x14ac:dyDescent="0.2">
      <c r="D1779">
        <v>519</v>
      </c>
      <c r="F1779">
        <f t="shared" si="56"/>
        <v>0.51900000000000002</v>
      </c>
    </row>
    <row r="1780" spans="1:8" x14ac:dyDescent="0.2">
      <c r="D1780">
        <v>5</v>
      </c>
      <c r="F1780">
        <f t="shared" si="56"/>
        <v>5.0000000000000001E-3</v>
      </c>
    </row>
    <row r="1781" spans="1:8" x14ac:dyDescent="0.2">
      <c r="D1781">
        <v>3</v>
      </c>
      <c r="F1781">
        <f t="shared" si="56"/>
        <v>3.0000000000000001E-3</v>
      </c>
    </row>
    <row r="1782" spans="1:8" x14ac:dyDescent="0.2">
      <c r="D1782">
        <v>2.5</v>
      </c>
      <c r="F1782">
        <f t="shared" si="56"/>
        <v>2.5000000000000001E-3</v>
      </c>
    </row>
    <row r="1783" spans="1:8" x14ac:dyDescent="0.2">
      <c r="D1783">
        <v>5.8</v>
      </c>
      <c r="F1783">
        <f t="shared" si="56"/>
        <v>5.7999999999999996E-3</v>
      </c>
    </row>
    <row r="1784" spans="1:8" x14ac:dyDescent="0.2">
      <c r="D1784">
        <v>380</v>
      </c>
      <c r="F1784">
        <f t="shared" si="56"/>
        <v>0.38</v>
      </c>
    </row>
    <row r="1785" spans="1:8" x14ac:dyDescent="0.2">
      <c r="D1785">
        <v>1392</v>
      </c>
      <c r="F1785">
        <f t="shared" si="56"/>
        <v>1.3919999999999999</v>
      </c>
    </row>
    <row r="1786" spans="1:8" x14ac:dyDescent="0.2">
      <c r="D1786">
        <v>0.08</v>
      </c>
      <c r="F1786">
        <f t="shared" si="56"/>
        <v>8.0000000000000007E-5</v>
      </c>
    </row>
    <row r="1787" spans="1:8" x14ac:dyDescent="0.2">
      <c r="D1787">
        <v>7.42</v>
      </c>
      <c r="F1787">
        <f t="shared" si="56"/>
        <v>7.4199999999999995E-3</v>
      </c>
    </row>
    <row r="1788" spans="1:8" x14ac:dyDescent="0.2">
      <c r="D1788">
        <v>1.8</v>
      </c>
      <c r="F1788">
        <f t="shared" si="56"/>
        <v>1.8E-3</v>
      </c>
    </row>
    <row r="1789" spans="1:8" x14ac:dyDescent="0.2">
      <c r="D1789">
        <v>18.2</v>
      </c>
      <c r="F1789">
        <f t="shared" si="56"/>
        <v>1.8200000000000001E-2</v>
      </c>
    </row>
    <row r="1790" spans="1:8" x14ac:dyDescent="0.2">
      <c r="A1790" t="s">
        <v>353</v>
      </c>
      <c r="B1790">
        <v>2017</v>
      </c>
      <c r="C1790" t="s">
        <v>45</v>
      </c>
      <c r="D1790">
        <v>48.4</v>
      </c>
      <c r="E1790" t="s">
        <v>195</v>
      </c>
      <c r="F1790">
        <f>D1790/1000</f>
        <v>4.8399999999999999E-2</v>
      </c>
      <c r="H1790" t="s">
        <v>352</v>
      </c>
    </row>
    <row r="1791" spans="1:8" x14ac:dyDescent="0.2">
      <c r="D1791">
        <v>40.4</v>
      </c>
      <c r="F1791">
        <f t="shared" ref="F1791:F1804" si="57">D1791/1000</f>
        <v>4.0399999999999998E-2</v>
      </c>
    </row>
    <row r="1792" spans="1:8" x14ac:dyDescent="0.2">
      <c r="D1792">
        <v>34.700000000000003</v>
      </c>
      <c r="F1792">
        <f t="shared" si="57"/>
        <v>3.4700000000000002E-2</v>
      </c>
    </row>
    <row r="1793" spans="1:8" x14ac:dyDescent="0.2">
      <c r="D1793">
        <v>12</v>
      </c>
      <c r="F1793">
        <f t="shared" si="57"/>
        <v>1.2E-2</v>
      </c>
    </row>
    <row r="1794" spans="1:8" x14ac:dyDescent="0.2">
      <c r="D1794">
        <v>29.9</v>
      </c>
      <c r="F1794">
        <f t="shared" si="57"/>
        <v>2.9899999999999999E-2</v>
      </c>
    </row>
    <row r="1795" spans="1:8" x14ac:dyDescent="0.2">
      <c r="D1795">
        <v>25.8</v>
      </c>
      <c r="F1795">
        <f t="shared" si="57"/>
        <v>2.58E-2</v>
      </c>
    </row>
    <row r="1796" spans="1:8" x14ac:dyDescent="0.2">
      <c r="D1796">
        <v>46.9</v>
      </c>
      <c r="F1796">
        <f t="shared" si="57"/>
        <v>4.6899999999999997E-2</v>
      </c>
    </row>
    <row r="1797" spans="1:8" x14ac:dyDescent="0.2">
      <c r="A1797" s="3" t="s">
        <v>339</v>
      </c>
      <c r="B1797" s="3">
        <v>2013</v>
      </c>
      <c r="C1797" s="3" t="s">
        <v>45</v>
      </c>
      <c r="D1797" s="3">
        <v>9</v>
      </c>
      <c r="E1797" s="3" t="s">
        <v>195</v>
      </c>
      <c r="F1797" s="3">
        <f t="shared" si="57"/>
        <v>8.9999999999999993E-3</v>
      </c>
      <c r="G1797" s="8" t="s">
        <v>355</v>
      </c>
      <c r="H1797" s="3" t="s">
        <v>354</v>
      </c>
    </row>
    <row r="1798" spans="1:8" x14ac:dyDescent="0.2">
      <c r="A1798" s="3"/>
      <c r="B1798" s="3"/>
      <c r="C1798" s="3"/>
      <c r="D1798" s="3">
        <v>35</v>
      </c>
      <c r="E1798" s="3"/>
      <c r="F1798" s="3">
        <f t="shared" si="57"/>
        <v>3.5000000000000003E-2</v>
      </c>
      <c r="G1798" s="3"/>
      <c r="H1798" s="3"/>
    </row>
    <row r="1799" spans="1:8" x14ac:dyDescent="0.2">
      <c r="A1799" s="3"/>
      <c r="B1799" s="3"/>
      <c r="C1799" s="3"/>
      <c r="D1799" s="3">
        <v>86</v>
      </c>
      <c r="E1799" s="3"/>
      <c r="F1799" s="3">
        <f t="shared" si="57"/>
        <v>8.5999999999999993E-2</v>
      </c>
      <c r="G1799" s="3"/>
      <c r="H1799" s="3"/>
    </row>
    <row r="1800" spans="1:8" x14ac:dyDescent="0.2">
      <c r="A1800" s="3"/>
      <c r="B1800" s="3"/>
      <c r="C1800" s="3"/>
      <c r="D1800" s="3">
        <v>16</v>
      </c>
      <c r="E1800" s="3"/>
      <c r="F1800" s="3">
        <f t="shared" si="57"/>
        <v>1.6E-2</v>
      </c>
      <c r="G1800" s="3"/>
      <c r="H1800" s="3"/>
    </row>
    <row r="1801" spans="1:8" x14ac:dyDescent="0.2">
      <c r="A1801" s="3"/>
      <c r="B1801" s="3"/>
      <c r="C1801" s="3"/>
      <c r="D1801" s="3">
        <v>15</v>
      </c>
      <c r="E1801" s="3"/>
      <c r="F1801" s="3">
        <f t="shared" si="57"/>
        <v>1.4999999999999999E-2</v>
      </c>
      <c r="G1801" s="3"/>
      <c r="H1801" s="3"/>
    </row>
    <row r="1802" spans="1:8" x14ac:dyDescent="0.2">
      <c r="A1802" s="3"/>
      <c r="B1802" s="3"/>
      <c r="C1802" s="3"/>
      <c r="D1802" s="3">
        <v>391</v>
      </c>
      <c r="E1802" s="3"/>
      <c r="F1802" s="3">
        <f t="shared" si="57"/>
        <v>0.39100000000000001</v>
      </c>
      <c r="G1802" s="3"/>
      <c r="H1802" s="3"/>
    </row>
    <row r="1803" spans="1:8" x14ac:dyDescent="0.2">
      <c r="A1803" s="3"/>
      <c r="B1803" s="3"/>
      <c r="C1803" s="3"/>
      <c r="D1803" s="3">
        <v>116</v>
      </c>
      <c r="E1803" s="3"/>
      <c r="F1803" s="3">
        <f t="shared" si="57"/>
        <v>0.11600000000000001</v>
      </c>
      <c r="G1803" s="3"/>
      <c r="H1803" s="3"/>
    </row>
    <row r="1804" spans="1:8" x14ac:dyDescent="0.2">
      <c r="A1804" s="3"/>
      <c r="B1804" s="3"/>
      <c r="C1804" s="3"/>
      <c r="D1804" s="3">
        <v>156</v>
      </c>
      <c r="E1804" s="3"/>
      <c r="F1804" s="3">
        <f t="shared" si="57"/>
        <v>0.156</v>
      </c>
      <c r="G1804" s="3"/>
      <c r="H1804" s="3"/>
    </row>
    <row r="1805" spans="1:8" x14ac:dyDescent="0.2">
      <c r="A1805" t="s">
        <v>357</v>
      </c>
      <c r="B1805">
        <v>2015</v>
      </c>
      <c r="C1805" t="s">
        <v>45</v>
      </c>
      <c r="D1805">
        <v>0</v>
      </c>
      <c r="E1805" t="s">
        <v>358</v>
      </c>
      <c r="F1805">
        <f>D1805/250</f>
        <v>0</v>
      </c>
      <c r="H1805" t="s">
        <v>356</v>
      </c>
    </row>
    <row r="1806" spans="1:8" x14ac:dyDescent="0.2">
      <c r="D1806">
        <v>4</v>
      </c>
      <c r="F1806">
        <f>D1806/250</f>
        <v>1.6E-2</v>
      </c>
    </row>
    <row r="1807" spans="1:8" x14ac:dyDescent="0.2">
      <c r="D1807">
        <v>36.799999999999997</v>
      </c>
      <c r="E1807" t="s">
        <v>195</v>
      </c>
      <c r="F1807">
        <f>D1807/1000</f>
        <v>3.6799999999999999E-2</v>
      </c>
    </row>
    <row r="1808" spans="1:8" x14ac:dyDescent="0.2">
      <c r="D1808">
        <v>166.7</v>
      </c>
      <c r="F1808">
        <f t="shared" ref="F1808:F1818" si="58">D1808/1000</f>
        <v>0.16669999999999999</v>
      </c>
    </row>
    <row r="1809" spans="1:8" x14ac:dyDescent="0.2">
      <c r="D1809">
        <v>97.2</v>
      </c>
      <c r="F1809">
        <f t="shared" si="58"/>
        <v>9.7200000000000009E-2</v>
      </c>
    </row>
    <row r="1810" spans="1:8" x14ac:dyDescent="0.2">
      <c r="D1810">
        <v>92.8</v>
      </c>
      <c r="F1810">
        <f t="shared" si="58"/>
        <v>9.2799999999999994E-2</v>
      </c>
    </row>
    <row r="1811" spans="1:8" x14ac:dyDescent="0.2">
      <c r="D1811">
        <v>9.1999999999999993</v>
      </c>
      <c r="F1811">
        <f t="shared" si="58"/>
        <v>9.1999999999999998E-3</v>
      </c>
    </row>
    <row r="1812" spans="1:8" x14ac:dyDescent="0.2">
      <c r="D1812">
        <v>17.7</v>
      </c>
      <c r="F1812">
        <f t="shared" si="58"/>
        <v>1.77E-2</v>
      </c>
    </row>
    <row r="1813" spans="1:8" x14ac:dyDescent="0.2">
      <c r="D1813">
        <v>672</v>
      </c>
      <c r="F1813">
        <f t="shared" si="58"/>
        <v>0.67200000000000004</v>
      </c>
    </row>
    <row r="1814" spans="1:8" x14ac:dyDescent="0.2">
      <c r="D1814">
        <v>2175</v>
      </c>
      <c r="F1814">
        <f t="shared" si="58"/>
        <v>2.1749999999999998</v>
      </c>
    </row>
    <row r="1815" spans="1:8" x14ac:dyDescent="0.2">
      <c r="D1815">
        <v>1.3</v>
      </c>
      <c r="F1815">
        <f t="shared" si="58"/>
        <v>1.2999999999999999E-3</v>
      </c>
    </row>
    <row r="1816" spans="1:8" x14ac:dyDescent="0.2">
      <c r="D1816">
        <v>2.2999999999999998</v>
      </c>
      <c r="F1816">
        <f t="shared" si="58"/>
        <v>2.3E-3</v>
      </c>
    </row>
    <row r="1817" spans="1:8" x14ac:dyDescent="0.2">
      <c r="D1817">
        <v>177.8</v>
      </c>
      <c r="F1817">
        <f t="shared" si="58"/>
        <v>0.17780000000000001</v>
      </c>
    </row>
    <row r="1818" spans="1:8" x14ac:dyDescent="0.2">
      <c r="D1818">
        <v>170.4</v>
      </c>
      <c r="F1818">
        <f t="shared" si="58"/>
        <v>0.1704</v>
      </c>
    </row>
    <row r="1819" spans="1:8" x14ac:dyDescent="0.2">
      <c r="A1819" t="s">
        <v>360</v>
      </c>
      <c r="B1819">
        <v>2017</v>
      </c>
      <c r="C1819" t="s">
        <v>43</v>
      </c>
      <c r="D1819">
        <v>27</v>
      </c>
      <c r="E1819" t="s">
        <v>190</v>
      </c>
      <c r="F1819">
        <f>D1819/1000</f>
        <v>2.7E-2</v>
      </c>
      <c r="H1819" t="s">
        <v>359</v>
      </c>
    </row>
    <row r="1820" spans="1:8" x14ac:dyDescent="0.2">
      <c r="C1820" t="s">
        <v>45</v>
      </c>
      <c r="D1820">
        <v>48</v>
      </c>
      <c r="E1820" t="s">
        <v>195</v>
      </c>
      <c r="F1820">
        <f>D1820/1000</f>
        <v>4.8000000000000001E-2</v>
      </c>
    </row>
    <row r="1821" spans="1:8" x14ac:dyDescent="0.2">
      <c r="A1821" t="s">
        <v>362</v>
      </c>
      <c r="B1821">
        <v>2023</v>
      </c>
      <c r="C1821" t="s">
        <v>43</v>
      </c>
      <c r="D1821">
        <v>120.1</v>
      </c>
      <c r="E1821" t="s">
        <v>180</v>
      </c>
      <c r="F1821">
        <f>D1821/1000000</f>
        <v>1.2009999999999999E-4</v>
      </c>
      <c r="H1821" t="s">
        <v>361</v>
      </c>
    </row>
    <row r="1822" spans="1:8" x14ac:dyDescent="0.2">
      <c r="D1822">
        <v>487.7</v>
      </c>
      <c r="F1822">
        <f t="shared" ref="F1822:F1848" si="59">D1822/1000000</f>
        <v>4.8769999999999998E-4</v>
      </c>
    </row>
    <row r="1823" spans="1:8" x14ac:dyDescent="0.2">
      <c r="D1823">
        <v>2.9</v>
      </c>
      <c r="F1823">
        <f t="shared" si="59"/>
        <v>2.8999999999999998E-6</v>
      </c>
    </row>
    <row r="1824" spans="1:8" x14ac:dyDescent="0.2">
      <c r="D1824">
        <v>11.9</v>
      </c>
      <c r="F1824">
        <f t="shared" si="59"/>
        <v>1.19E-5</v>
      </c>
    </row>
    <row r="1825" spans="4:6" x14ac:dyDescent="0.2">
      <c r="D1825">
        <v>2.1</v>
      </c>
      <c r="F1825">
        <f t="shared" si="59"/>
        <v>2.1000000000000002E-6</v>
      </c>
    </row>
    <row r="1826" spans="4:6" x14ac:dyDescent="0.2">
      <c r="D1826">
        <v>3.7</v>
      </c>
      <c r="F1826">
        <f t="shared" si="59"/>
        <v>3.7000000000000002E-6</v>
      </c>
    </row>
    <row r="1827" spans="4:6" x14ac:dyDescent="0.2">
      <c r="D1827">
        <v>0.8</v>
      </c>
      <c r="F1827">
        <f t="shared" si="59"/>
        <v>8.0000000000000007E-7</v>
      </c>
    </row>
    <row r="1828" spans="4:6" x14ac:dyDescent="0.2">
      <c r="D1828">
        <v>1.6</v>
      </c>
      <c r="F1828">
        <f t="shared" si="59"/>
        <v>1.6000000000000001E-6</v>
      </c>
    </row>
    <row r="1829" spans="4:6" x14ac:dyDescent="0.2">
      <c r="D1829">
        <v>5.4</v>
      </c>
      <c r="F1829">
        <f t="shared" si="59"/>
        <v>5.4E-6</v>
      </c>
    </row>
    <row r="1830" spans="4:6" x14ac:dyDescent="0.2">
      <c r="D1830">
        <v>4.2</v>
      </c>
      <c r="F1830">
        <f t="shared" si="59"/>
        <v>4.2000000000000004E-6</v>
      </c>
    </row>
    <row r="1831" spans="4:6" x14ac:dyDescent="0.2">
      <c r="D1831">
        <v>1.9</v>
      </c>
      <c r="F1831">
        <f t="shared" si="59"/>
        <v>1.8999999999999998E-6</v>
      </c>
    </row>
    <row r="1832" spans="4:6" x14ac:dyDescent="0.2">
      <c r="D1832">
        <v>2.8</v>
      </c>
      <c r="F1832">
        <f t="shared" si="59"/>
        <v>2.7999999999999999E-6</v>
      </c>
    </row>
    <row r="1833" spans="4:6" x14ac:dyDescent="0.2">
      <c r="D1833">
        <v>53.8</v>
      </c>
      <c r="F1833">
        <f t="shared" si="59"/>
        <v>5.38E-5</v>
      </c>
    </row>
    <row r="1834" spans="4:6" x14ac:dyDescent="0.2">
      <c r="D1834">
        <v>2.2999999999999998</v>
      </c>
      <c r="F1834">
        <f t="shared" si="59"/>
        <v>2.3E-6</v>
      </c>
    </row>
    <row r="1835" spans="4:6" x14ac:dyDescent="0.2">
      <c r="D1835">
        <v>3.9</v>
      </c>
      <c r="F1835">
        <f t="shared" si="59"/>
        <v>3.8999999999999999E-6</v>
      </c>
    </row>
    <row r="1836" spans="4:6" x14ac:dyDescent="0.2">
      <c r="D1836">
        <v>2.7</v>
      </c>
      <c r="F1836">
        <f t="shared" si="59"/>
        <v>2.7E-6</v>
      </c>
    </row>
    <row r="1837" spans="4:6" x14ac:dyDescent="0.2">
      <c r="D1837">
        <v>170</v>
      </c>
      <c r="F1837">
        <f t="shared" si="59"/>
        <v>1.7000000000000001E-4</v>
      </c>
    </row>
    <row r="1838" spans="4:6" x14ac:dyDescent="0.2">
      <c r="D1838">
        <v>260</v>
      </c>
      <c r="F1838">
        <f t="shared" si="59"/>
        <v>2.5999999999999998E-4</v>
      </c>
    </row>
    <row r="1839" spans="4:6" x14ac:dyDescent="0.2">
      <c r="D1839">
        <v>48</v>
      </c>
      <c r="F1839">
        <f t="shared" si="59"/>
        <v>4.8000000000000001E-5</v>
      </c>
    </row>
    <row r="1840" spans="4:6" x14ac:dyDescent="0.2">
      <c r="D1840">
        <v>44.67</v>
      </c>
      <c r="F1840">
        <f t="shared" si="59"/>
        <v>4.4670000000000004E-5</v>
      </c>
    </row>
    <row r="1841" spans="3:6" x14ac:dyDescent="0.2">
      <c r="D1841">
        <v>1.6</v>
      </c>
      <c r="F1841">
        <f t="shared" si="59"/>
        <v>1.6000000000000001E-6</v>
      </c>
    </row>
    <row r="1842" spans="3:6" x14ac:dyDescent="0.2">
      <c r="D1842">
        <v>4.0000000000000001E-3</v>
      </c>
      <c r="F1842">
        <f t="shared" si="59"/>
        <v>4.0000000000000002E-9</v>
      </c>
    </row>
    <row r="1843" spans="3:6" x14ac:dyDescent="0.2">
      <c r="D1843">
        <v>0.01</v>
      </c>
      <c r="F1843">
        <f t="shared" si="59"/>
        <v>1E-8</v>
      </c>
    </row>
    <row r="1844" spans="3:6" x14ac:dyDescent="0.2">
      <c r="D1844">
        <v>22</v>
      </c>
      <c r="F1844">
        <f t="shared" si="59"/>
        <v>2.1999999999999999E-5</v>
      </c>
    </row>
    <row r="1845" spans="3:6" x14ac:dyDescent="0.2">
      <c r="D1845">
        <v>5.57</v>
      </c>
      <c r="F1845">
        <f t="shared" si="59"/>
        <v>5.57E-6</v>
      </c>
    </row>
    <row r="1846" spans="3:6" x14ac:dyDescent="0.2">
      <c r="D1846">
        <v>3</v>
      </c>
      <c r="F1846">
        <f t="shared" si="59"/>
        <v>3.0000000000000001E-6</v>
      </c>
    </row>
    <row r="1847" spans="3:6" x14ac:dyDescent="0.2">
      <c r="D1847">
        <v>106</v>
      </c>
      <c r="F1847">
        <f t="shared" si="59"/>
        <v>1.06E-4</v>
      </c>
    </row>
    <row r="1848" spans="3:6" x14ac:dyDescent="0.2">
      <c r="D1848">
        <v>87750</v>
      </c>
      <c r="F1848">
        <f t="shared" si="59"/>
        <v>8.7749999999999995E-2</v>
      </c>
    </row>
    <row r="1849" spans="3:6" x14ac:dyDescent="0.2">
      <c r="D1849">
        <v>0.23</v>
      </c>
      <c r="E1849" t="s">
        <v>190</v>
      </c>
      <c r="F1849">
        <f>D1849/1000</f>
        <v>2.3000000000000001E-4</v>
      </c>
    </row>
    <row r="1850" spans="3:6" x14ac:dyDescent="0.2">
      <c r="C1850" t="s">
        <v>45</v>
      </c>
      <c r="D1850">
        <v>5.5</v>
      </c>
      <c r="E1850" t="s">
        <v>364</v>
      </c>
      <c r="F1850">
        <f>D1850</f>
        <v>5.5</v>
      </c>
    </row>
    <row r="1851" spans="3:6" x14ac:dyDescent="0.2">
      <c r="D1851">
        <v>7.9</v>
      </c>
      <c r="F1851">
        <f t="shared" ref="F1851:F1867" si="60">D1851</f>
        <v>7.9</v>
      </c>
    </row>
    <row r="1852" spans="3:6" x14ac:dyDescent="0.2">
      <c r="D1852">
        <v>7.9</v>
      </c>
      <c r="F1852">
        <f t="shared" si="60"/>
        <v>7.9</v>
      </c>
    </row>
    <row r="1853" spans="3:6" x14ac:dyDescent="0.2">
      <c r="D1853">
        <v>7.9</v>
      </c>
      <c r="F1853">
        <f t="shared" si="60"/>
        <v>7.9</v>
      </c>
    </row>
    <row r="1854" spans="3:6" x14ac:dyDescent="0.2">
      <c r="D1854">
        <v>3.2</v>
      </c>
      <c r="F1854">
        <f t="shared" si="60"/>
        <v>3.2</v>
      </c>
    </row>
    <row r="1855" spans="3:6" x14ac:dyDescent="0.2">
      <c r="D1855">
        <v>6</v>
      </c>
      <c r="F1855">
        <f t="shared" si="60"/>
        <v>6</v>
      </c>
    </row>
    <row r="1856" spans="3:6" x14ac:dyDescent="0.2">
      <c r="D1856">
        <v>7</v>
      </c>
      <c r="F1856">
        <f t="shared" si="60"/>
        <v>7</v>
      </c>
    </row>
    <row r="1857" spans="4:6" x14ac:dyDescent="0.2">
      <c r="D1857">
        <v>8.6999999999999993</v>
      </c>
      <c r="F1857">
        <f t="shared" si="60"/>
        <v>8.6999999999999993</v>
      </c>
    </row>
    <row r="1858" spans="4:6" x14ac:dyDescent="0.2">
      <c r="D1858">
        <v>5.7</v>
      </c>
      <c r="F1858">
        <f t="shared" si="60"/>
        <v>5.7</v>
      </c>
    </row>
    <row r="1859" spans="4:6" x14ac:dyDescent="0.2">
      <c r="D1859">
        <v>5.5</v>
      </c>
      <c r="F1859">
        <f t="shared" si="60"/>
        <v>5.5</v>
      </c>
    </row>
    <row r="1860" spans="4:6" x14ac:dyDescent="0.2">
      <c r="D1860">
        <v>2.5</v>
      </c>
      <c r="F1860">
        <f t="shared" si="60"/>
        <v>2.5</v>
      </c>
    </row>
    <row r="1861" spans="4:6" x14ac:dyDescent="0.2">
      <c r="D1861">
        <v>4</v>
      </c>
      <c r="F1861">
        <f t="shared" si="60"/>
        <v>4</v>
      </c>
    </row>
    <row r="1862" spans="4:6" x14ac:dyDescent="0.2">
      <c r="D1862">
        <v>6</v>
      </c>
      <c r="F1862">
        <f t="shared" si="60"/>
        <v>6</v>
      </c>
    </row>
    <row r="1863" spans="4:6" x14ac:dyDescent="0.2">
      <c r="D1863">
        <v>9.1999999999999993</v>
      </c>
      <c r="F1863">
        <f t="shared" si="60"/>
        <v>9.1999999999999993</v>
      </c>
    </row>
    <row r="1864" spans="4:6" x14ac:dyDescent="0.2">
      <c r="D1864">
        <v>3.9E-2</v>
      </c>
      <c r="F1864">
        <f t="shared" si="60"/>
        <v>3.9E-2</v>
      </c>
    </row>
    <row r="1865" spans="4:6" x14ac:dyDescent="0.2">
      <c r="D1865">
        <v>1.4E-3</v>
      </c>
      <c r="F1865">
        <f t="shared" si="60"/>
        <v>1.4E-3</v>
      </c>
    </row>
    <row r="1866" spans="4:6" x14ac:dyDescent="0.2">
      <c r="D1866">
        <v>3.5000000000000001E-3</v>
      </c>
      <c r="F1866">
        <f t="shared" si="60"/>
        <v>3.5000000000000001E-3</v>
      </c>
    </row>
    <row r="1867" spans="4:6" x14ac:dyDescent="0.2">
      <c r="D1867">
        <v>0.22</v>
      </c>
      <c r="F1867">
        <f t="shared" si="60"/>
        <v>0.22</v>
      </c>
    </row>
    <row r="1868" spans="4:6" x14ac:dyDescent="0.2">
      <c r="D1868">
        <v>4980</v>
      </c>
      <c r="E1868" t="s">
        <v>195</v>
      </c>
      <c r="F1868">
        <f>D1868/1000</f>
        <v>4.9800000000000004</v>
      </c>
    </row>
    <row r="1869" spans="4:6" x14ac:dyDescent="0.2">
      <c r="D1869">
        <v>288</v>
      </c>
      <c r="F1869">
        <f t="shared" ref="F1869:F1876" si="61">D1869/1000</f>
        <v>0.28799999999999998</v>
      </c>
    </row>
    <row r="1870" spans="4:6" x14ac:dyDescent="0.2">
      <c r="D1870">
        <v>75.599999999999994</v>
      </c>
      <c r="F1870">
        <f t="shared" si="61"/>
        <v>7.5600000000000001E-2</v>
      </c>
    </row>
    <row r="1871" spans="4:6" x14ac:dyDescent="0.2">
      <c r="D1871">
        <v>1036.2</v>
      </c>
      <c r="F1871">
        <f t="shared" si="61"/>
        <v>1.0362</v>
      </c>
    </row>
    <row r="1872" spans="4:6" x14ac:dyDescent="0.2">
      <c r="D1872">
        <v>0</v>
      </c>
      <c r="F1872">
        <f t="shared" si="61"/>
        <v>0</v>
      </c>
    </row>
    <row r="1873" spans="4:6" x14ac:dyDescent="0.2">
      <c r="D1873">
        <v>9.7000000000000003E-2</v>
      </c>
      <c r="F1873">
        <f t="shared" si="61"/>
        <v>9.7E-5</v>
      </c>
    </row>
    <row r="1874" spans="4:6" x14ac:dyDescent="0.2">
      <c r="D1874">
        <v>172.5</v>
      </c>
      <c r="F1874">
        <f t="shared" si="61"/>
        <v>0.17249999999999999</v>
      </c>
    </row>
    <row r="1875" spans="4:6" x14ac:dyDescent="0.2">
      <c r="D1875">
        <v>65</v>
      </c>
      <c r="F1875">
        <f t="shared" si="61"/>
        <v>6.5000000000000002E-2</v>
      </c>
    </row>
    <row r="1876" spans="4:6" x14ac:dyDescent="0.2">
      <c r="D1876">
        <v>7562</v>
      </c>
      <c r="F1876">
        <f t="shared" si="61"/>
        <v>7.5620000000000003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EA35-EBB8-2A44-A8A5-31B8B1177CEB}">
  <dimension ref="A1:E508"/>
  <sheetViews>
    <sheetView workbookViewId="0">
      <selection activeCell="I14" sqref="I14"/>
    </sheetView>
  </sheetViews>
  <sheetFormatPr baseColWidth="10" defaultRowHeight="16" x14ac:dyDescent="0.2"/>
  <sheetData>
    <row r="1" spans="1:5" x14ac:dyDescent="0.2">
      <c r="A1" t="s">
        <v>270</v>
      </c>
      <c r="B1" t="s">
        <v>0</v>
      </c>
      <c r="C1" t="s">
        <v>45</v>
      </c>
      <c r="D1" t="s">
        <v>44</v>
      </c>
      <c r="E1" t="s">
        <v>43</v>
      </c>
    </row>
    <row r="2" spans="1:5" x14ac:dyDescent="0.2">
      <c r="A2">
        <v>286</v>
      </c>
      <c r="B2">
        <v>3.27</v>
      </c>
      <c r="C2">
        <v>0.86799999999999999</v>
      </c>
      <c r="D2">
        <v>1.3387755102040814E-3</v>
      </c>
      <c r="E2">
        <v>8.1249000000000002E-2</v>
      </c>
    </row>
    <row r="3" spans="1:5" x14ac:dyDescent="0.2">
      <c r="A3">
        <v>9.1</v>
      </c>
      <c r="B3">
        <v>0.2</v>
      </c>
      <c r="C3">
        <v>15.962</v>
      </c>
      <c r="D3">
        <v>3.9183673469387753E-3</v>
      </c>
      <c r="E3">
        <v>1.7215000000000001E-2</v>
      </c>
    </row>
    <row r="4" spans="1:5" x14ac:dyDescent="0.2">
      <c r="A4">
        <v>4.0999999999999996</v>
      </c>
      <c r="B4">
        <v>1</v>
      </c>
      <c r="C4">
        <v>1.6779999999999999</v>
      </c>
      <c r="D4">
        <v>2.4489795918367346E-4</v>
      </c>
      <c r="E4">
        <v>3.287E-3</v>
      </c>
    </row>
    <row r="5" spans="1:5" x14ac:dyDescent="0.2">
      <c r="A5">
        <v>11.4694</v>
      </c>
      <c r="B5">
        <v>0.27</v>
      </c>
      <c r="C5">
        <v>0.32300000000000001</v>
      </c>
      <c r="D5">
        <v>1.1648979591836733E-2</v>
      </c>
      <c r="E5">
        <v>1.8765E-2</v>
      </c>
    </row>
    <row r="6" spans="1:5" x14ac:dyDescent="0.2">
      <c r="A6">
        <v>8.6780000000000008</v>
      </c>
      <c r="B6">
        <v>0.8</v>
      </c>
      <c r="C6">
        <v>2.2810000000000001</v>
      </c>
      <c r="D6">
        <v>1.9551020408163266E-2</v>
      </c>
      <c r="E6">
        <v>0.45688099999999998</v>
      </c>
    </row>
    <row r="7" spans="1:5" x14ac:dyDescent="0.2">
      <c r="A7">
        <v>14.407</v>
      </c>
      <c r="B7">
        <v>0.2</v>
      </c>
      <c r="C7">
        <v>1.385</v>
      </c>
      <c r="D7">
        <v>1.8367346938775509E-3</v>
      </c>
      <c r="E7">
        <v>8.9999999999999998E-4</v>
      </c>
    </row>
    <row r="8" spans="1:5" x14ac:dyDescent="0.2">
      <c r="A8">
        <v>20</v>
      </c>
      <c r="B8">
        <v>2</v>
      </c>
      <c r="C8">
        <v>0.27200000000000002</v>
      </c>
      <c r="D8">
        <v>9.7959183673469383E-4</v>
      </c>
      <c r="E8">
        <v>1.4112E-2</v>
      </c>
    </row>
    <row r="9" spans="1:5" x14ac:dyDescent="0.2">
      <c r="A9">
        <v>11.3</v>
      </c>
      <c r="B9">
        <v>7.0000000000000007E-2</v>
      </c>
      <c r="C9">
        <v>4.8000000000000001E-2</v>
      </c>
      <c r="D9">
        <v>8.4081632653061221E-4</v>
      </c>
      <c r="E9">
        <v>2.41E-4</v>
      </c>
    </row>
    <row r="10" spans="1:5" x14ac:dyDescent="0.2">
      <c r="A10">
        <v>15.1</v>
      </c>
      <c r="B10">
        <v>0.87</v>
      </c>
      <c r="C10">
        <v>0.05</v>
      </c>
      <c r="D10">
        <v>1.6326530612244895E-4</v>
      </c>
      <c r="E10">
        <v>1.2881999999999999E-2</v>
      </c>
    </row>
    <row r="11" spans="1:5" x14ac:dyDescent="0.2">
      <c r="A11">
        <v>13.8</v>
      </c>
      <c r="B11">
        <v>0.13</v>
      </c>
      <c r="C11">
        <v>2.7E-2</v>
      </c>
      <c r="D11">
        <v>1.0612244897959184E-4</v>
      </c>
      <c r="E11">
        <v>2.911E-3</v>
      </c>
    </row>
    <row r="12" spans="1:5" x14ac:dyDescent="0.2">
      <c r="A12">
        <v>7.6</v>
      </c>
      <c r="B12">
        <v>1.33</v>
      </c>
      <c r="C12">
        <v>8.9999999999999993E-3</v>
      </c>
      <c r="D12">
        <v>1.2922448979591836</v>
      </c>
      <c r="E12">
        <v>5.1500000000000005E-4</v>
      </c>
    </row>
    <row r="13" spans="1:5" x14ac:dyDescent="0.2">
      <c r="A13">
        <v>26.7</v>
      </c>
      <c r="B13">
        <v>7.0000000000000007E-2</v>
      </c>
      <c r="C13">
        <v>3.2899999999999999E-2</v>
      </c>
      <c r="D13">
        <v>7.1020408163265298E-4</v>
      </c>
      <c r="E13">
        <v>8.4999999999999995E-4</v>
      </c>
    </row>
    <row r="14" spans="1:5" x14ac:dyDescent="0.2">
      <c r="A14">
        <v>23.2</v>
      </c>
      <c r="B14">
        <v>0.27500000000000002</v>
      </c>
      <c r="C14">
        <v>3.3000000000000002E-2</v>
      </c>
      <c r="D14">
        <v>5.7142857142857136E-4</v>
      </c>
      <c r="E14">
        <v>2.31E-4</v>
      </c>
    </row>
    <row r="15" spans="1:5" x14ac:dyDescent="0.2">
      <c r="A15">
        <v>27.3</v>
      </c>
      <c r="B15">
        <v>4.165</v>
      </c>
      <c r="C15">
        <v>3.9E-2</v>
      </c>
      <c r="D15">
        <v>3.8367346938775502E-4</v>
      </c>
      <c r="E15">
        <v>1.5839999999999999E-3</v>
      </c>
    </row>
    <row r="16" spans="1:5" x14ac:dyDescent="0.2">
      <c r="A16">
        <v>7</v>
      </c>
      <c r="B16">
        <v>0.17899999999999999</v>
      </c>
      <c r="C16">
        <v>0.20499999999999999</v>
      </c>
      <c r="D16">
        <v>1.3877551020408162E-4</v>
      </c>
      <c r="E16">
        <v>2.2230000000000001E-3</v>
      </c>
    </row>
    <row r="17" spans="1:5" x14ac:dyDescent="0.2">
      <c r="A17">
        <v>8.5</v>
      </c>
      <c r="B17">
        <v>4.1689999999999996</v>
      </c>
      <c r="C17">
        <v>0.22</v>
      </c>
      <c r="D17">
        <v>5.5510204081632647E-4</v>
      </c>
      <c r="E17">
        <v>5.1900000000000004E-4</v>
      </c>
    </row>
    <row r="18" spans="1:5" x14ac:dyDescent="0.2">
      <c r="A18">
        <v>14.2</v>
      </c>
      <c r="B18">
        <v>0.41499999999999998</v>
      </c>
      <c r="C18">
        <v>0.32</v>
      </c>
      <c r="D18">
        <v>2.4489795918367341E-3</v>
      </c>
      <c r="E18">
        <v>1.387E-3</v>
      </c>
    </row>
    <row r="19" spans="1:5" x14ac:dyDescent="0.2">
      <c r="A19">
        <v>20.9</v>
      </c>
      <c r="B19">
        <v>4.3220000000000001</v>
      </c>
      <c r="C19">
        <v>1.4</v>
      </c>
      <c r="D19">
        <v>1.2244897959183673E-2</v>
      </c>
      <c r="E19">
        <v>1.4840000000000001E-3</v>
      </c>
    </row>
    <row r="20" spans="1:5" x14ac:dyDescent="0.2">
      <c r="A20">
        <v>10.3</v>
      </c>
      <c r="B20">
        <v>0.31</v>
      </c>
      <c r="C20">
        <v>2.15</v>
      </c>
      <c r="D20">
        <v>1.6326530612244895E-4</v>
      </c>
      <c r="E20">
        <v>1.7999999999999999E-8</v>
      </c>
    </row>
    <row r="21" spans="1:5" x14ac:dyDescent="0.2">
      <c r="A21">
        <v>48.2</v>
      </c>
      <c r="B21">
        <v>4.1479999999999997</v>
      </c>
      <c r="C21">
        <v>6.1</v>
      </c>
      <c r="D21">
        <v>6.5306122448979581E-4</v>
      </c>
      <c r="E21">
        <v>7.4000000000000001E-9</v>
      </c>
    </row>
    <row r="22" spans="1:5" x14ac:dyDescent="0.2">
      <c r="A22">
        <v>10.9</v>
      </c>
      <c r="B22">
        <v>0.45400000000000001</v>
      </c>
      <c r="C22">
        <v>3.0299999999999997E-2</v>
      </c>
      <c r="D22">
        <v>8.1632653061224482E-4</v>
      </c>
      <c r="E22">
        <v>9.900000000000001E-9</v>
      </c>
    </row>
    <row r="23" spans="1:5" x14ac:dyDescent="0.2">
      <c r="A23">
        <v>21</v>
      </c>
      <c r="B23">
        <v>5.4109999999999996</v>
      </c>
      <c r="C23">
        <v>0.66</v>
      </c>
      <c r="D23">
        <v>4.8979591836734691E-2</v>
      </c>
      <c r="E23">
        <v>9.1000000000000004E-9</v>
      </c>
    </row>
    <row r="24" spans="1:5" x14ac:dyDescent="0.2">
      <c r="A24">
        <v>17.2</v>
      </c>
      <c r="B24">
        <v>0.41199999999999998</v>
      </c>
      <c r="C24">
        <v>0.80200000000000005</v>
      </c>
      <c r="D24">
        <v>2.4489795918367346E-4</v>
      </c>
      <c r="E24">
        <v>2E-8</v>
      </c>
    </row>
    <row r="25" spans="1:5" x14ac:dyDescent="0.2">
      <c r="A25">
        <v>39.700000000000003</v>
      </c>
      <c r="B25">
        <v>7.1749999999999998</v>
      </c>
      <c r="C25">
        <v>0.94</v>
      </c>
      <c r="D25">
        <v>1.2244897959183671E-3</v>
      </c>
      <c r="E25">
        <v>8.5999999999999993E-9</v>
      </c>
    </row>
    <row r="26" spans="1:5" x14ac:dyDescent="0.2">
      <c r="A26">
        <v>18.899999999999999</v>
      </c>
      <c r="B26">
        <v>0.307</v>
      </c>
      <c r="C26">
        <v>3.56</v>
      </c>
      <c r="D26">
        <v>4.0816326530612249E-3</v>
      </c>
      <c r="E26">
        <v>0</v>
      </c>
    </row>
    <row r="27" spans="1:5" x14ac:dyDescent="0.2">
      <c r="A27">
        <v>21.3</v>
      </c>
      <c r="B27">
        <v>4.5069999999999997</v>
      </c>
      <c r="C27">
        <v>0.16669999999999999</v>
      </c>
      <c r="D27">
        <v>8.1632653061224497E-3</v>
      </c>
      <c r="E27">
        <v>5.7000000000000006E-9</v>
      </c>
    </row>
    <row r="28" spans="1:5" x14ac:dyDescent="0.2">
      <c r="A28">
        <v>19.3</v>
      </c>
      <c r="B28">
        <v>0.39100000000000001</v>
      </c>
      <c r="C28">
        <v>9.6999999999999994E-4</v>
      </c>
      <c r="D28">
        <v>8.1632653061224482E-4</v>
      </c>
      <c r="E28">
        <v>1.6000000000000001E-8</v>
      </c>
    </row>
    <row r="29" spans="1:5" x14ac:dyDescent="0.2">
      <c r="A29">
        <v>43.2</v>
      </c>
      <c r="B29">
        <v>5.6980000000000004</v>
      </c>
      <c r="C29">
        <v>1.04</v>
      </c>
      <c r="D29">
        <v>5.877551020408163E-2</v>
      </c>
      <c r="E29">
        <v>1.6000000000000001E-8</v>
      </c>
    </row>
    <row r="30" spans="1:5" x14ac:dyDescent="0.2">
      <c r="A30">
        <v>5.4</v>
      </c>
      <c r="B30">
        <v>1.2290000000000001</v>
      </c>
      <c r="C30">
        <v>0.41</v>
      </c>
      <c r="D30">
        <v>0</v>
      </c>
      <c r="E30">
        <v>6.3000000000000002E-9</v>
      </c>
    </row>
    <row r="31" spans="1:5" x14ac:dyDescent="0.2">
      <c r="A31">
        <v>23.7</v>
      </c>
      <c r="B31">
        <v>0.24</v>
      </c>
      <c r="C31">
        <v>0.72</v>
      </c>
      <c r="D31">
        <v>3.4122448979591832E-3</v>
      </c>
      <c r="E31">
        <v>0</v>
      </c>
    </row>
    <row r="32" spans="1:5" x14ac:dyDescent="0.2">
      <c r="A32">
        <v>18.3</v>
      </c>
      <c r="B32">
        <v>3.66</v>
      </c>
      <c r="C32">
        <v>0.93</v>
      </c>
      <c r="D32">
        <v>7.591836734693878E-3</v>
      </c>
      <c r="E32">
        <v>0</v>
      </c>
    </row>
    <row r="33" spans="1:5" x14ac:dyDescent="0.2">
      <c r="A33">
        <v>46.2</v>
      </c>
      <c r="B33">
        <v>0</v>
      </c>
      <c r="C33">
        <v>6.7000000000000004E-2</v>
      </c>
      <c r="D33">
        <v>0</v>
      </c>
      <c r="E33">
        <v>0</v>
      </c>
    </row>
    <row r="34" spans="1:5" x14ac:dyDescent="0.2">
      <c r="A34">
        <v>14.3</v>
      </c>
      <c r="B34">
        <v>0.21780000000000002</v>
      </c>
      <c r="C34">
        <v>3.4000000000000002E-2</v>
      </c>
      <c r="D34">
        <v>1.1183673469387756E-3</v>
      </c>
      <c r="E34">
        <v>4.0000000000000002E-9</v>
      </c>
    </row>
    <row r="35" spans="1:5" x14ac:dyDescent="0.2">
      <c r="A35">
        <v>36.5</v>
      </c>
      <c r="B35">
        <v>0</v>
      </c>
      <c r="C35">
        <v>0.01</v>
      </c>
      <c r="D35">
        <v>0</v>
      </c>
      <c r="E35">
        <v>4.6999999999999999E-9</v>
      </c>
    </row>
    <row r="36" spans="1:5" x14ac:dyDescent="0.2">
      <c r="A36">
        <v>28</v>
      </c>
      <c r="B36">
        <v>5.7999999999999996E-3</v>
      </c>
      <c r="C36">
        <v>0.1</v>
      </c>
      <c r="D36">
        <v>1.6326530612244896E-3</v>
      </c>
      <c r="E36">
        <v>0</v>
      </c>
    </row>
    <row r="37" spans="1:5" x14ac:dyDescent="0.2">
      <c r="A37">
        <v>49.1</v>
      </c>
      <c r="B37">
        <v>0</v>
      </c>
      <c r="C37">
        <v>0.9</v>
      </c>
      <c r="D37">
        <v>211.42857142857142</v>
      </c>
      <c r="E37">
        <v>5.0999999999999993E-9</v>
      </c>
    </row>
    <row r="38" spans="1:5" x14ac:dyDescent="0.2">
      <c r="A38">
        <v>45.7</v>
      </c>
      <c r="B38">
        <v>1.9E-3</v>
      </c>
      <c r="C38">
        <v>2.5000000000000001E-2</v>
      </c>
      <c r="D38">
        <v>10526.530612244896</v>
      </c>
      <c r="E38">
        <v>8.9000000000000003E-9</v>
      </c>
    </row>
    <row r="39" spans="1:5" x14ac:dyDescent="0.2">
      <c r="A39">
        <v>17.100000000000001</v>
      </c>
      <c r="B39">
        <v>0</v>
      </c>
      <c r="C39">
        <v>5.2999999999999999E-2</v>
      </c>
      <c r="D39">
        <v>20.408163265306122</v>
      </c>
      <c r="E39">
        <v>4.2000000000000004E-9</v>
      </c>
    </row>
    <row r="40" spans="1:5" x14ac:dyDescent="0.2">
      <c r="A40">
        <v>43.2</v>
      </c>
      <c r="B40">
        <v>3.3E-3</v>
      </c>
      <c r="C40">
        <v>1.7999999999999999E-2</v>
      </c>
      <c r="D40">
        <v>669.38775510204073</v>
      </c>
      <c r="E40">
        <v>6.9999999999999998E-9</v>
      </c>
    </row>
    <row r="41" spans="1:5" x14ac:dyDescent="0.2">
      <c r="A41">
        <v>18</v>
      </c>
      <c r="B41">
        <v>0</v>
      </c>
      <c r="C41">
        <v>0.629</v>
      </c>
      <c r="D41">
        <v>1.2922448979591836</v>
      </c>
      <c r="E41">
        <v>8.9999999999999995E-9</v>
      </c>
    </row>
    <row r="42" spans="1:5" x14ac:dyDescent="0.2">
      <c r="A42">
        <v>12.6</v>
      </c>
      <c r="B42">
        <v>1.5800000000000002E-2</v>
      </c>
      <c r="C42">
        <v>1.7390000000000001</v>
      </c>
      <c r="D42">
        <v>0.23020408163265305</v>
      </c>
      <c r="E42">
        <v>4.0000000000000001E-8</v>
      </c>
    </row>
    <row r="43" spans="1:5" x14ac:dyDescent="0.2">
      <c r="A43">
        <v>37.5</v>
      </c>
      <c r="B43">
        <v>8.8000000000000005E-3</v>
      </c>
      <c r="C43">
        <v>0.56000000000000005</v>
      </c>
      <c r="D43">
        <v>0.15428571428571428</v>
      </c>
      <c r="E43">
        <v>2E-8</v>
      </c>
    </row>
    <row r="44" spans="1:5" x14ac:dyDescent="0.2">
      <c r="A44">
        <v>31</v>
      </c>
      <c r="B44">
        <v>8.9999999999999998E-4</v>
      </c>
      <c r="C44">
        <v>4.2050000000000001</v>
      </c>
      <c r="D44">
        <v>9.3877551020408165E-2</v>
      </c>
      <c r="E44">
        <v>3E-9</v>
      </c>
    </row>
    <row r="45" spans="1:5" x14ac:dyDescent="0.2">
      <c r="A45">
        <v>54.6</v>
      </c>
      <c r="B45">
        <v>0</v>
      </c>
      <c r="C45">
        <v>5.3999999999999999E-2</v>
      </c>
      <c r="D45">
        <v>2.9387755102040815E-2</v>
      </c>
      <c r="E45">
        <v>2.9999999999999997E-8</v>
      </c>
    </row>
    <row r="46" spans="1:5" x14ac:dyDescent="0.2">
      <c r="A46">
        <v>10.199999999999999</v>
      </c>
      <c r="B46">
        <v>3.4000000000000002E-4</v>
      </c>
      <c r="C46">
        <v>0.50600000000000001</v>
      </c>
      <c r="D46">
        <v>1.3061224489795917E-2</v>
      </c>
      <c r="E46">
        <v>2.9999999999999997E-8</v>
      </c>
    </row>
    <row r="47" spans="1:5" x14ac:dyDescent="0.2">
      <c r="A47">
        <v>18.899999999999999</v>
      </c>
      <c r="B47">
        <v>0.38</v>
      </c>
      <c r="C47">
        <v>3.7100000000000001E-2</v>
      </c>
      <c r="D47">
        <v>9.7959183673469365E-3</v>
      </c>
      <c r="E47">
        <v>1.1000000000000001E-7</v>
      </c>
    </row>
    <row r="48" spans="1:5" x14ac:dyDescent="0.2">
      <c r="A48">
        <v>56.4</v>
      </c>
      <c r="B48">
        <v>0.63</v>
      </c>
      <c r="C48">
        <v>0.17180000000000001</v>
      </c>
      <c r="D48">
        <v>9.7959183673469365E-3</v>
      </c>
      <c r="E48">
        <v>4.6000000000000004E-7</v>
      </c>
    </row>
    <row r="49" spans="1:5" x14ac:dyDescent="0.2">
      <c r="A49">
        <v>1.6</v>
      </c>
      <c r="B49">
        <v>0.98</v>
      </c>
      <c r="C49">
        <v>0.12359999999999999</v>
      </c>
      <c r="D49">
        <v>8.1632653061224497E-3</v>
      </c>
      <c r="E49">
        <v>1.4999999999999999E-7</v>
      </c>
    </row>
    <row r="50" spans="1:5" x14ac:dyDescent="0.2">
      <c r="A50">
        <v>20.6</v>
      </c>
      <c r="B50">
        <v>0.04</v>
      </c>
      <c r="C50">
        <v>7.1999999999999995E-2</v>
      </c>
      <c r="D50">
        <v>7.3469387755102037E-3</v>
      </c>
      <c r="E50">
        <v>2.4000000000000001E-5</v>
      </c>
    </row>
    <row r="51" spans="1:5" x14ac:dyDescent="0.2">
      <c r="A51">
        <v>24.4</v>
      </c>
      <c r="B51">
        <v>0.11</v>
      </c>
      <c r="C51">
        <v>0.80200000000000005</v>
      </c>
      <c r="D51">
        <v>4.8979591836734683E-3</v>
      </c>
      <c r="E51">
        <v>7.1700000000000008E-5</v>
      </c>
    </row>
    <row r="52" spans="1:5" x14ac:dyDescent="0.2">
      <c r="A52">
        <v>14.1</v>
      </c>
      <c r="B52">
        <v>0.16</v>
      </c>
      <c r="C52">
        <v>0.06</v>
      </c>
      <c r="D52">
        <v>4.8979591836734683E-3</v>
      </c>
      <c r="E52">
        <v>1.8999999999999998E-6</v>
      </c>
    </row>
    <row r="53" spans="1:5" x14ac:dyDescent="0.2">
      <c r="A53">
        <v>25.6</v>
      </c>
      <c r="B53">
        <v>0.83</v>
      </c>
      <c r="C53">
        <v>0.24</v>
      </c>
      <c r="D53">
        <v>4.0816326530612249E-3</v>
      </c>
      <c r="E53">
        <v>1.7899999999999998E-5</v>
      </c>
    </row>
    <row r="54" spans="1:5" x14ac:dyDescent="0.2">
      <c r="A54">
        <v>19.600000000000001</v>
      </c>
      <c r="B54">
        <v>0.17</v>
      </c>
      <c r="C54">
        <v>0.2</v>
      </c>
      <c r="D54">
        <v>4.0816326530612249E-3</v>
      </c>
      <c r="E54">
        <v>3.2000000000000002E-8</v>
      </c>
    </row>
    <row r="55" spans="1:5" x14ac:dyDescent="0.2">
      <c r="A55">
        <v>23.6</v>
      </c>
      <c r="B55">
        <v>0.09</v>
      </c>
      <c r="C55">
        <v>1.1499999999999999</v>
      </c>
      <c r="D55">
        <v>8.1632653061224482E-4</v>
      </c>
      <c r="E55">
        <v>0.10255</v>
      </c>
    </row>
    <row r="56" spans="1:5" x14ac:dyDescent="0.2">
      <c r="A56">
        <v>0.02</v>
      </c>
      <c r="B56">
        <v>0.48</v>
      </c>
      <c r="C56">
        <v>0.21199999999999999</v>
      </c>
      <c r="D56">
        <v>8.1632653061224482E-4</v>
      </c>
      <c r="E56">
        <v>3.8999999999999999E-6</v>
      </c>
    </row>
    <row r="57" spans="1:5" x14ac:dyDescent="0.2">
      <c r="A57">
        <v>1.0999999999999999E-2</v>
      </c>
      <c r="B57">
        <v>0.83</v>
      </c>
      <c r="C57">
        <v>2.5000000000000001E-2</v>
      </c>
      <c r="D57">
        <v>8.1632653061224482E-4</v>
      </c>
      <c r="E57">
        <v>7.2999999999999996E-6</v>
      </c>
    </row>
    <row r="58" spans="1:5" x14ac:dyDescent="0.2">
      <c r="A58">
        <v>0.2346</v>
      </c>
      <c r="B58">
        <v>0.2</v>
      </c>
      <c r="C58">
        <v>0.3</v>
      </c>
      <c r="D58">
        <v>0</v>
      </c>
      <c r="E58">
        <v>2.2000000000000001E-6</v>
      </c>
    </row>
    <row r="59" spans="1:5" x14ac:dyDescent="0.2">
      <c r="A59">
        <v>0.17799999999999999</v>
      </c>
      <c r="B59">
        <v>0.32</v>
      </c>
      <c r="C59">
        <v>1.0999999999999999E-2</v>
      </c>
      <c r="D59">
        <v>8.1632653061224482E-4</v>
      </c>
      <c r="E59">
        <v>1.2699999999999998E-12</v>
      </c>
    </row>
    <row r="60" spans="1:5" x14ac:dyDescent="0.2">
      <c r="A60">
        <v>0.54400000000000004</v>
      </c>
      <c r="B60">
        <v>0.44</v>
      </c>
      <c r="C60">
        <v>0.2346</v>
      </c>
      <c r="D60">
        <v>4.8979591836734691E-2</v>
      </c>
      <c r="E60">
        <v>2.6999999999999998E-12</v>
      </c>
    </row>
    <row r="61" spans="1:5" x14ac:dyDescent="0.2">
      <c r="A61">
        <v>0.22800000000000001</v>
      </c>
      <c r="B61">
        <v>0.22</v>
      </c>
      <c r="C61">
        <v>0.08</v>
      </c>
      <c r="D61">
        <v>2.4489795918367346E-4</v>
      </c>
      <c r="E61">
        <v>2.7999999999999999E-8</v>
      </c>
    </row>
    <row r="62" spans="1:5" x14ac:dyDescent="0.2">
      <c r="A62">
        <v>3.7629999999999999</v>
      </c>
      <c r="B62">
        <v>0.23</v>
      </c>
      <c r="C62">
        <v>9.5969999999999995</v>
      </c>
      <c r="D62">
        <v>1.2244897959183671E-3</v>
      </c>
      <c r="E62">
        <v>0</v>
      </c>
    </row>
    <row r="63" spans="1:5" x14ac:dyDescent="0.2">
      <c r="A63">
        <v>0.112</v>
      </c>
      <c r="B63">
        <v>0.89</v>
      </c>
      <c r="C63">
        <v>0.10290000000000001</v>
      </c>
      <c r="D63">
        <v>7.591836734693878E-3</v>
      </c>
      <c r="E63">
        <v>6.9999999999999999E-6</v>
      </c>
    </row>
    <row r="64" spans="1:5" x14ac:dyDescent="0.2">
      <c r="A64">
        <v>0.26600000000000001</v>
      </c>
      <c r="B64">
        <v>0.26</v>
      </c>
      <c r="C64">
        <v>0.1633</v>
      </c>
      <c r="D64">
        <v>0</v>
      </c>
      <c r="E64">
        <v>9.2399999999999999E-3</v>
      </c>
    </row>
    <row r="65" spans="1:5" x14ac:dyDescent="0.2">
      <c r="A65">
        <v>1</v>
      </c>
      <c r="B65">
        <v>1.1100000000000001</v>
      </c>
      <c r="C65">
        <v>1.2999999999999999E-3</v>
      </c>
      <c r="D65">
        <v>1.1183673469387756E-3</v>
      </c>
      <c r="E65">
        <v>9.1E-4</v>
      </c>
    </row>
    <row r="66" spans="1:5" x14ac:dyDescent="0.2">
      <c r="A66">
        <v>24</v>
      </c>
      <c r="B66">
        <v>0.62</v>
      </c>
      <c r="C66">
        <v>14.7125</v>
      </c>
      <c r="D66">
        <v>1.1591836734693877E-3</v>
      </c>
      <c r="E66">
        <v>0.11799999999999999</v>
      </c>
    </row>
    <row r="67" spans="1:5" x14ac:dyDescent="0.2">
      <c r="A67">
        <v>4.1959999999999997</v>
      </c>
      <c r="B67">
        <v>0.6</v>
      </c>
      <c r="C67">
        <v>7.1</v>
      </c>
      <c r="D67">
        <v>4.5657142857142854E-2</v>
      </c>
      <c r="E67">
        <v>4.8890000000000002</v>
      </c>
    </row>
    <row r="68" spans="1:5" x14ac:dyDescent="0.2">
      <c r="A68">
        <v>15.385</v>
      </c>
      <c r="B68">
        <v>1.083</v>
      </c>
      <c r="C68">
        <v>42.96</v>
      </c>
      <c r="D68">
        <v>0.14283265306122447</v>
      </c>
      <c r="E68">
        <v>1.383</v>
      </c>
    </row>
    <row r="69" spans="1:5" x14ac:dyDescent="0.2">
      <c r="A69">
        <v>0.37</v>
      </c>
      <c r="B69">
        <v>3.1669999999999998</v>
      </c>
      <c r="C69">
        <v>4.9000000000000002E-2</v>
      </c>
      <c r="D69">
        <v>3.6734693877551017</v>
      </c>
      <c r="E69">
        <v>4.4640000000000004</v>
      </c>
    </row>
    <row r="70" spans="1:5" x14ac:dyDescent="0.2">
      <c r="A70">
        <v>0.95</v>
      </c>
      <c r="B70">
        <v>0.3</v>
      </c>
      <c r="C70">
        <v>0.27900000000000003</v>
      </c>
      <c r="D70">
        <v>5.8775510204081627</v>
      </c>
      <c r="E70">
        <v>0.24299999999999999</v>
      </c>
    </row>
    <row r="71" spans="1:5" x14ac:dyDescent="0.2">
      <c r="A71">
        <v>16.7</v>
      </c>
      <c r="B71">
        <v>1.1419999999999999</v>
      </c>
      <c r="C71">
        <v>0.17799999999999999</v>
      </c>
      <c r="D71">
        <v>1.2924897959183672</v>
      </c>
      <c r="E71">
        <v>0.68400000000000005</v>
      </c>
    </row>
    <row r="72" spans="1:5" x14ac:dyDescent="0.2">
      <c r="A72">
        <v>1E-3</v>
      </c>
      <c r="B72">
        <v>12.5</v>
      </c>
      <c r="C72">
        <v>0.54400000000000004</v>
      </c>
      <c r="D72">
        <v>0.15404081632653061</v>
      </c>
      <c r="E72">
        <v>0.628</v>
      </c>
    </row>
    <row r="73" spans="1:5" x14ac:dyDescent="0.2">
      <c r="A73">
        <v>4.0000000000000001E-3</v>
      </c>
      <c r="B73">
        <v>0</v>
      </c>
      <c r="C73">
        <v>0.27017000000000002</v>
      </c>
      <c r="D73">
        <v>4.4081632653061222E-3</v>
      </c>
      <c r="E73">
        <v>2.649</v>
      </c>
    </row>
    <row r="74" spans="1:5" x14ac:dyDescent="0.2">
      <c r="A74">
        <v>5.0000000000000001E-3</v>
      </c>
      <c r="B74">
        <v>1.2</v>
      </c>
      <c r="C74">
        <v>0.86659000000000008</v>
      </c>
      <c r="D74">
        <v>7.3469387755102037E-4</v>
      </c>
      <c r="E74">
        <v>6.2919999999999998</v>
      </c>
    </row>
    <row r="75" spans="1:5" x14ac:dyDescent="0.2">
      <c r="A75">
        <v>107.5</v>
      </c>
      <c r="B75">
        <v>2.2000000000000002</v>
      </c>
      <c r="C75">
        <v>0.52</v>
      </c>
      <c r="D75">
        <v>1.1591836734693877E-3</v>
      </c>
      <c r="E75">
        <v>5.48E-6</v>
      </c>
    </row>
    <row r="76" spans="1:5" x14ac:dyDescent="0.2">
      <c r="A76">
        <v>50.2</v>
      </c>
      <c r="B76">
        <v>1.2</v>
      </c>
      <c r="C76">
        <v>2.31</v>
      </c>
      <c r="D76">
        <v>8.1632653061224482E-4</v>
      </c>
      <c r="E76">
        <v>1.1560000000000001E-5</v>
      </c>
    </row>
    <row r="77" spans="1:5" x14ac:dyDescent="0.2">
      <c r="A77">
        <v>180.7</v>
      </c>
      <c r="B77">
        <v>1.8</v>
      </c>
      <c r="C77">
        <v>0.36</v>
      </c>
      <c r="D77">
        <v>1.0612244897959184E-4</v>
      </c>
      <c r="E77">
        <v>4.0099999999999997E-6</v>
      </c>
    </row>
    <row r="78" spans="1:5" x14ac:dyDescent="0.2">
      <c r="A78">
        <v>286.5</v>
      </c>
      <c r="B78">
        <v>3.2</v>
      </c>
      <c r="C78">
        <v>1.32</v>
      </c>
      <c r="D78">
        <v>7.5918367346938776E-4</v>
      </c>
      <c r="E78">
        <v>8.2600000000000005E-6</v>
      </c>
    </row>
    <row r="79" spans="1:5" x14ac:dyDescent="0.2">
      <c r="A79">
        <v>97.2</v>
      </c>
      <c r="B79">
        <v>0.2</v>
      </c>
      <c r="C79">
        <v>5.3999999999999999E-2</v>
      </c>
      <c r="D79">
        <v>0</v>
      </c>
      <c r="E79">
        <v>1.324E-5</v>
      </c>
    </row>
    <row r="80" spans="1:5" x14ac:dyDescent="0.2">
      <c r="A80">
        <v>74.7</v>
      </c>
      <c r="B80">
        <v>1.2</v>
      </c>
      <c r="C80">
        <v>0.50600000000000001</v>
      </c>
      <c r="D80">
        <v>1.8775510204081634E-4</v>
      </c>
      <c r="E80">
        <v>8.8000000000000004E-7</v>
      </c>
    </row>
    <row r="81" spans="1:5" x14ac:dyDescent="0.2">
      <c r="A81">
        <v>37.700000000000003</v>
      </c>
      <c r="B81">
        <v>4.4000000000000004</v>
      </c>
      <c r="C81">
        <v>3</v>
      </c>
      <c r="D81">
        <v>0</v>
      </c>
      <c r="E81">
        <v>4.7300000000000005E-6</v>
      </c>
    </row>
    <row r="82" spans="1:5" x14ac:dyDescent="0.2">
      <c r="A82">
        <v>169000</v>
      </c>
      <c r="B82">
        <v>0.8</v>
      </c>
      <c r="C82">
        <v>18</v>
      </c>
      <c r="D82">
        <v>1.3877551020408163E-5</v>
      </c>
      <c r="E82">
        <v>9.499999999999999E-7</v>
      </c>
    </row>
    <row r="83" spans="1:5" x14ac:dyDescent="0.2">
      <c r="A83">
        <v>6</v>
      </c>
      <c r="B83">
        <v>2.2000000000000002</v>
      </c>
      <c r="C83">
        <v>5.0599999999999999E-2</v>
      </c>
      <c r="D83">
        <v>3.7551020408163264E-6</v>
      </c>
      <c r="E83">
        <v>5.5099999999999998E-6</v>
      </c>
    </row>
    <row r="84" spans="1:5" x14ac:dyDescent="0.2">
      <c r="A84">
        <v>8.1999999999999993</v>
      </c>
      <c r="B84">
        <v>12.4</v>
      </c>
      <c r="C84">
        <v>1.32E-2</v>
      </c>
      <c r="D84">
        <v>5.2244897959183671E-5</v>
      </c>
      <c r="E84">
        <v>1.1000000000000001E-6</v>
      </c>
    </row>
    <row r="85" spans="1:5" x14ac:dyDescent="0.2">
      <c r="A85">
        <v>301.39999999999998</v>
      </c>
      <c r="B85">
        <v>1</v>
      </c>
      <c r="C85">
        <v>5.3E-3</v>
      </c>
      <c r="D85">
        <v>7.5918367346938776E-4</v>
      </c>
      <c r="E85">
        <v>3.7E-8</v>
      </c>
    </row>
    <row r="86" spans="1:5" x14ac:dyDescent="0.2">
      <c r="A86">
        <v>170.9</v>
      </c>
      <c r="B86">
        <v>3.6</v>
      </c>
      <c r="C86">
        <v>6.8879999999999997E-2</v>
      </c>
      <c r="D86">
        <v>1.1591836734693877E-3</v>
      </c>
      <c r="E86">
        <v>1.0000000000000001E-7</v>
      </c>
    </row>
    <row r="87" spans="1:5" x14ac:dyDescent="0.2">
      <c r="A87">
        <v>27.3</v>
      </c>
      <c r="B87">
        <v>10.199999999999999</v>
      </c>
      <c r="C87">
        <v>0.02</v>
      </c>
      <c r="D87">
        <v>0.27217959183673468</v>
      </c>
      <c r="E87">
        <v>2.0000000000000002E-7</v>
      </c>
    </row>
    <row r="88" spans="1:5" x14ac:dyDescent="0.2">
      <c r="A88">
        <v>1.6</v>
      </c>
      <c r="B88">
        <v>4.0000000000000001E-3</v>
      </c>
      <c r="C88">
        <v>27.83</v>
      </c>
      <c r="D88">
        <v>0.29224489795918368</v>
      </c>
      <c r="E88">
        <v>2.0000000000000002E-7</v>
      </c>
    </row>
    <row r="89" spans="1:5" x14ac:dyDescent="0.2">
      <c r="A89">
        <v>56.4</v>
      </c>
      <c r="B89">
        <v>0.10299999999999999</v>
      </c>
      <c r="C89">
        <v>6.0999999999999999E-2</v>
      </c>
      <c r="D89">
        <v>0.18775510204081633</v>
      </c>
      <c r="E89">
        <v>2.4999999999999999E-7</v>
      </c>
    </row>
    <row r="90" spans="1:5" x14ac:dyDescent="0.2">
      <c r="A90">
        <v>240.3</v>
      </c>
      <c r="B90">
        <v>0.54100000000000004</v>
      </c>
      <c r="C90">
        <v>4.5</v>
      </c>
      <c r="D90">
        <v>1.5999999999999999E-3</v>
      </c>
      <c r="E90">
        <v>3.8000000000000001E-7</v>
      </c>
    </row>
    <row r="91" spans="1:5" x14ac:dyDescent="0.2">
      <c r="A91">
        <v>16.7</v>
      </c>
      <c r="B91">
        <v>2.1309999999999998</v>
      </c>
      <c r="C91">
        <v>1.845</v>
      </c>
      <c r="D91">
        <v>0.15428571428571428</v>
      </c>
      <c r="E91">
        <v>3.8000000000000001E-7</v>
      </c>
    </row>
    <row r="92" spans="1:5" x14ac:dyDescent="0.2">
      <c r="A92">
        <v>113</v>
      </c>
      <c r="B92">
        <v>9.5000000000000001E-2</v>
      </c>
      <c r="C92">
        <v>5.3849999999999998</v>
      </c>
      <c r="D92">
        <v>0</v>
      </c>
      <c r="E92">
        <v>6.6000000000000003E-7</v>
      </c>
    </row>
    <row r="93" spans="1:5" x14ac:dyDescent="0.2">
      <c r="A93">
        <v>1</v>
      </c>
      <c r="B93">
        <v>0.08</v>
      </c>
      <c r="C93">
        <v>0.24299999999999999</v>
      </c>
      <c r="D93">
        <v>3.4122448979591832E-3</v>
      </c>
      <c r="E93">
        <v>1.2100000000000001E-6</v>
      </c>
    </row>
    <row r="94" spans="1:5" x14ac:dyDescent="0.2">
      <c r="A94">
        <v>24</v>
      </c>
      <c r="B94">
        <v>0.308</v>
      </c>
      <c r="C94">
        <v>7.2279999999999998</v>
      </c>
      <c r="D94">
        <v>2.4489795918367346E-4</v>
      </c>
      <c r="E94">
        <v>0</v>
      </c>
    </row>
    <row r="95" spans="1:5" x14ac:dyDescent="0.2">
      <c r="A95">
        <v>301</v>
      </c>
      <c r="B95">
        <v>1.0760000000000001</v>
      </c>
      <c r="C95">
        <v>1.1000000000000001</v>
      </c>
      <c r="D95">
        <v>8.9795918367346938E-4</v>
      </c>
      <c r="E95">
        <v>7.2199999999999998E-8</v>
      </c>
    </row>
    <row r="96" spans="1:5" x14ac:dyDescent="0.2">
      <c r="A96">
        <v>10380</v>
      </c>
      <c r="B96">
        <v>0.87</v>
      </c>
      <c r="C96">
        <v>0.16500000000000001</v>
      </c>
      <c r="D96">
        <v>4.8979591836734691E-4</v>
      </c>
      <c r="E96">
        <v>3.5999999999999999E-7</v>
      </c>
    </row>
    <row r="97" spans="1:5" x14ac:dyDescent="0.2">
      <c r="A97">
        <v>11.946999999999999</v>
      </c>
      <c r="B97">
        <v>7.0000000000000007E-2</v>
      </c>
      <c r="C97">
        <v>0.248</v>
      </c>
      <c r="D97">
        <v>4.5714285714285709E-3</v>
      </c>
      <c r="E97">
        <v>5.4900000000000006E-7</v>
      </c>
    </row>
    <row r="98" spans="1:5" x14ac:dyDescent="0.2">
      <c r="A98">
        <v>18.802</v>
      </c>
      <c r="B98">
        <v>1.2E-2</v>
      </c>
      <c r="C98">
        <v>8.2000000000000003E-2</v>
      </c>
      <c r="D98">
        <v>2.6938775510204076E-3</v>
      </c>
      <c r="E98">
        <v>2.9499999999999999E-8</v>
      </c>
    </row>
    <row r="99" spans="1:5" x14ac:dyDescent="0.2">
      <c r="A99">
        <v>14.2</v>
      </c>
      <c r="B99">
        <v>4.0000000000000001E-3</v>
      </c>
      <c r="C99">
        <v>0.32800000000000001</v>
      </c>
      <c r="D99">
        <v>1.0285714285714285E-2</v>
      </c>
      <c r="E99">
        <v>4.9699999999999996E-7</v>
      </c>
    </row>
    <row r="100" spans="1:5" x14ac:dyDescent="0.2">
      <c r="A100">
        <v>68.082999999999998</v>
      </c>
      <c r="B100">
        <v>2000</v>
      </c>
      <c r="C100">
        <v>0.16500000000000001</v>
      </c>
      <c r="D100">
        <v>4.0816326530612249E-3</v>
      </c>
      <c r="E100">
        <v>1.7100000000000001E-7</v>
      </c>
    </row>
    <row r="101" spans="1:5" x14ac:dyDescent="0.2">
      <c r="A101">
        <v>16.13</v>
      </c>
      <c r="B101">
        <v>11000</v>
      </c>
      <c r="C101">
        <v>8.3000000000000004E-2</v>
      </c>
      <c r="D101">
        <v>0.15428571428571428</v>
      </c>
      <c r="E101">
        <v>1.33E-6</v>
      </c>
    </row>
    <row r="102" spans="1:5" x14ac:dyDescent="0.2">
      <c r="A102">
        <v>19.670000000000002</v>
      </c>
      <c r="B102">
        <v>26000</v>
      </c>
      <c r="C102">
        <v>0.1</v>
      </c>
      <c r="D102">
        <v>1.2922448979591836</v>
      </c>
      <c r="E102">
        <v>3.65E-7</v>
      </c>
    </row>
    <row r="103" spans="1:5" x14ac:dyDescent="0.2">
      <c r="A103">
        <v>1</v>
      </c>
      <c r="B103">
        <v>0</v>
      </c>
      <c r="C103">
        <v>0.3</v>
      </c>
      <c r="D103">
        <v>1.2244897959183673E-4</v>
      </c>
      <c r="E103">
        <v>1.19E-5</v>
      </c>
    </row>
    <row r="104" spans="1:5" x14ac:dyDescent="0.2">
      <c r="A104">
        <v>170</v>
      </c>
      <c r="B104">
        <v>2.9999999999999997E-4</v>
      </c>
      <c r="C104">
        <v>0.4</v>
      </c>
      <c r="D104">
        <v>2.040816326530612E-4</v>
      </c>
      <c r="E104">
        <v>3.8700000000000002E-6</v>
      </c>
    </row>
    <row r="105" spans="1:5" x14ac:dyDescent="0.2">
      <c r="A105">
        <v>2.9329999999999998</v>
      </c>
      <c r="B105">
        <v>1.2999999999999999E-3</v>
      </c>
      <c r="C105">
        <v>1.9</v>
      </c>
      <c r="D105">
        <v>7.3469387755102032E-5</v>
      </c>
      <c r="E105">
        <v>2.7700000000000002E-6</v>
      </c>
    </row>
    <row r="106" spans="1:5" x14ac:dyDescent="0.2">
      <c r="A106">
        <v>3.8660000000000001</v>
      </c>
      <c r="B106">
        <v>0.20499999999999999</v>
      </c>
      <c r="C106">
        <v>0.32</v>
      </c>
      <c r="D106">
        <v>5.3877551020408169E-4</v>
      </c>
      <c r="E106">
        <v>2.6699999999999998E-6</v>
      </c>
    </row>
    <row r="107" spans="1:5" x14ac:dyDescent="0.2">
      <c r="A107">
        <v>5.3330000000000002</v>
      </c>
      <c r="B107">
        <v>3.7999999999999999E-2</v>
      </c>
      <c r="C107">
        <v>0.28999999999999998</v>
      </c>
      <c r="D107">
        <v>3.7551020408163264E-6</v>
      </c>
      <c r="E107">
        <v>2.1800000000000003E-6</v>
      </c>
    </row>
    <row r="108" spans="1:5" x14ac:dyDescent="0.2">
      <c r="A108">
        <v>10.012</v>
      </c>
      <c r="B108">
        <v>0.999</v>
      </c>
      <c r="C108">
        <v>7.0000000000000007E-2</v>
      </c>
      <c r="D108">
        <v>5.2244897959183671E-5</v>
      </c>
      <c r="E108">
        <v>0</v>
      </c>
    </row>
    <row r="109" spans="1:5" x14ac:dyDescent="0.2">
      <c r="A109">
        <v>6.5039999999999996</v>
      </c>
      <c r="B109">
        <v>1.4990000000000001</v>
      </c>
      <c r="C109">
        <v>1.36</v>
      </c>
      <c r="D109">
        <v>0</v>
      </c>
      <c r="E109">
        <v>2.26E-6</v>
      </c>
    </row>
    <row r="110" spans="1:5" x14ac:dyDescent="0.2">
      <c r="A110">
        <v>15.396000000000001</v>
      </c>
      <c r="B110">
        <v>1.998</v>
      </c>
      <c r="C110">
        <v>0.23</v>
      </c>
      <c r="D110">
        <v>1.0612244897959182E-5</v>
      </c>
      <c r="E110">
        <v>2.34E-5</v>
      </c>
    </row>
    <row r="111" spans="1:5" x14ac:dyDescent="0.2">
      <c r="A111">
        <v>4.1970000000000001</v>
      </c>
      <c r="B111">
        <v>0.999</v>
      </c>
      <c r="C111">
        <v>0.14000000000000001</v>
      </c>
      <c r="D111">
        <v>2.4489795918367345E-5</v>
      </c>
      <c r="E111">
        <v>4.8499999999999993E-6</v>
      </c>
    </row>
    <row r="112" spans="1:5" x14ac:dyDescent="0.2">
      <c r="A112">
        <v>2.7429999999999999</v>
      </c>
      <c r="B112">
        <v>2.6640000000000001</v>
      </c>
      <c r="C112">
        <v>0.8</v>
      </c>
      <c r="D112">
        <v>6.2857142857142848E-5</v>
      </c>
      <c r="E112">
        <v>2.6600000000000003E-7</v>
      </c>
    </row>
    <row r="113" spans="1:5" x14ac:dyDescent="0.2">
      <c r="A113">
        <v>5.1559999999999997</v>
      </c>
      <c r="B113">
        <v>3.996</v>
      </c>
      <c r="C113">
        <v>0.43</v>
      </c>
      <c r="D113">
        <v>0</v>
      </c>
      <c r="E113">
        <v>7.1099999999999995E-7</v>
      </c>
    </row>
    <row r="114" spans="1:5" x14ac:dyDescent="0.2">
      <c r="A114">
        <v>14.064</v>
      </c>
      <c r="B114">
        <v>0.999</v>
      </c>
      <c r="C114">
        <v>0.78</v>
      </c>
      <c r="D114">
        <v>2.530612244897959E-5</v>
      </c>
      <c r="E114">
        <v>3.2899999999999998E-6</v>
      </c>
    </row>
    <row r="115" spans="1:5" x14ac:dyDescent="0.2">
      <c r="A115">
        <v>10.012</v>
      </c>
      <c r="B115">
        <v>1.998</v>
      </c>
      <c r="C115">
        <v>0.12</v>
      </c>
      <c r="D115">
        <v>0</v>
      </c>
      <c r="E115">
        <v>7.8899999999999998E-7</v>
      </c>
    </row>
    <row r="116" spans="1:5" x14ac:dyDescent="0.2">
      <c r="A116">
        <v>495</v>
      </c>
      <c r="B116">
        <v>3.6629999999999998</v>
      </c>
      <c r="C116">
        <v>0.04</v>
      </c>
      <c r="D116">
        <v>6.5306122448979588E-6</v>
      </c>
      <c r="E116">
        <v>9.0000000000000007E-7</v>
      </c>
    </row>
    <row r="117" spans="1:5" x14ac:dyDescent="0.2">
      <c r="A117">
        <v>62.6</v>
      </c>
      <c r="B117">
        <v>1.998</v>
      </c>
      <c r="C117">
        <v>0.08</v>
      </c>
      <c r="D117">
        <v>0</v>
      </c>
      <c r="E117">
        <v>1.48E-6</v>
      </c>
    </row>
    <row r="118" spans="1:5" x14ac:dyDescent="0.2">
      <c r="A118">
        <v>15.8</v>
      </c>
      <c r="B118">
        <v>2.83</v>
      </c>
      <c r="C118">
        <v>0.23</v>
      </c>
      <c r="D118">
        <v>1.1183673469387756E-3</v>
      </c>
      <c r="E118">
        <v>0</v>
      </c>
    </row>
    <row r="119" spans="1:5" x14ac:dyDescent="0.2">
      <c r="A119">
        <v>28.3</v>
      </c>
      <c r="B119">
        <v>3.33</v>
      </c>
      <c r="C119">
        <v>0.28000000000000003</v>
      </c>
      <c r="D119">
        <v>2.4489795918367345E-5</v>
      </c>
      <c r="E119">
        <v>0</v>
      </c>
    </row>
    <row r="120" spans="1:5" x14ac:dyDescent="0.2">
      <c r="A120">
        <v>6.7</v>
      </c>
      <c r="B120">
        <v>1.3320000000000001</v>
      </c>
      <c r="C120">
        <v>0.05</v>
      </c>
      <c r="D120">
        <v>8.1632653061224483E-6</v>
      </c>
      <c r="E120">
        <v>8.6499999999999998E-7</v>
      </c>
    </row>
    <row r="121" spans="1:5" x14ac:dyDescent="0.2">
      <c r="A121">
        <v>27.7</v>
      </c>
      <c r="B121">
        <v>5.3280000000000003</v>
      </c>
      <c r="C121">
        <v>2.21</v>
      </c>
      <c r="D121">
        <v>2.4489795918367346E-4</v>
      </c>
      <c r="E121">
        <v>4.27E-7</v>
      </c>
    </row>
    <row r="122" spans="1:5" x14ac:dyDescent="0.2">
      <c r="A122">
        <v>52.6</v>
      </c>
      <c r="B122">
        <v>6.327</v>
      </c>
      <c r="C122">
        <v>1.24</v>
      </c>
      <c r="D122">
        <v>1.2244897959183671E-3</v>
      </c>
      <c r="E122">
        <v>1.2500000000000001E-6</v>
      </c>
    </row>
    <row r="123" spans="1:5" x14ac:dyDescent="0.2">
      <c r="A123">
        <v>0.76</v>
      </c>
      <c r="B123">
        <v>1.998</v>
      </c>
      <c r="C123">
        <v>0.99</v>
      </c>
      <c r="D123">
        <v>2.4489795918367346E-4</v>
      </c>
      <c r="E123">
        <v>2.1E-7</v>
      </c>
    </row>
    <row r="124" spans="1:5" x14ac:dyDescent="0.2">
      <c r="A124">
        <v>0.51</v>
      </c>
      <c r="B124">
        <v>3.33</v>
      </c>
      <c r="C124">
        <v>3.47</v>
      </c>
      <c r="D124">
        <v>8.9795918367346938E-4</v>
      </c>
      <c r="E124">
        <v>4.9400000000000001E-6</v>
      </c>
    </row>
    <row r="125" spans="1:5" x14ac:dyDescent="0.2">
      <c r="A125">
        <v>0.66</v>
      </c>
      <c r="B125">
        <v>3.996</v>
      </c>
      <c r="C125">
        <v>0.73</v>
      </c>
      <c r="D125">
        <v>0</v>
      </c>
      <c r="E125">
        <v>2.0600000000000002E-6</v>
      </c>
    </row>
    <row r="126" spans="1:5" x14ac:dyDescent="0.2">
      <c r="A126">
        <v>19.898</v>
      </c>
      <c r="B126">
        <v>7.3259999999999996</v>
      </c>
      <c r="C126">
        <v>2.5499999999999998</v>
      </c>
      <c r="D126">
        <v>3.4122448979591832E-3</v>
      </c>
      <c r="E126">
        <v>0</v>
      </c>
    </row>
    <row r="127" spans="1:5" x14ac:dyDescent="0.2">
      <c r="A127">
        <v>8.2370000000000001</v>
      </c>
      <c r="B127">
        <v>7.6589999999999998</v>
      </c>
      <c r="C127">
        <v>1.59</v>
      </c>
      <c r="D127">
        <v>5.0612244897959178E-3</v>
      </c>
      <c r="E127">
        <v>9.3500000000000005E-7</v>
      </c>
    </row>
    <row r="128" spans="1:5" x14ac:dyDescent="0.2">
      <c r="A128">
        <v>2.4750000000000001</v>
      </c>
      <c r="B128">
        <v>7.992</v>
      </c>
      <c r="C128">
        <v>3.21</v>
      </c>
      <c r="D128">
        <v>0.26448979591836735</v>
      </c>
      <c r="E128">
        <v>3.2300000000000002E-7</v>
      </c>
    </row>
    <row r="129" spans="1:5" x14ac:dyDescent="0.2">
      <c r="A129">
        <v>2.78</v>
      </c>
      <c r="B129">
        <v>1.998</v>
      </c>
      <c r="C129">
        <v>0.75</v>
      </c>
      <c r="D129">
        <v>0.32081632653061221</v>
      </c>
      <c r="E129">
        <v>2.4909899999999998E-3</v>
      </c>
    </row>
    <row r="130" spans="1:5" x14ac:dyDescent="0.2">
      <c r="A130">
        <v>2.9489999999999998</v>
      </c>
      <c r="B130">
        <v>3.33</v>
      </c>
      <c r="C130">
        <v>0.53</v>
      </c>
      <c r="D130">
        <v>0.14448979591836736</v>
      </c>
      <c r="E130">
        <v>1.8232000000000001E-3</v>
      </c>
    </row>
    <row r="131" spans="1:5" x14ac:dyDescent="0.2">
      <c r="A131">
        <v>7.9660000000000002</v>
      </c>
      <c r="B131">
        <v>5.3280000000000003</v>
      </c>
      <c r="C131">
        <v>4.2699999999999996</v>
      </c>
      <c r="D131">
        <v>0.21795918367346936</v>
      </c>
      <c r="E131">
        <v>3.3952700000000001E-3</v>
      </c>
    </row>
    <row r="132" spans="1:5" x14ac:dyDescent="0.2">
      <c r="A132">
        <v>1.6950000000000001</v>
      </c>
      <c r="B132">
        <v>2.331</v>
      </c>
      <c r="C132">
        <v>0.67</v>
      </c>
      <c r="D132">
        <v>0.95265306122448978</v>
      </c>
      <c r="E132">
        <v>1.74051E-3</v>
      </c>
    </row>
    <row r="133" spans="1:5" x14ac:dyDescent="0.2">
      <c r="A133">
        <v>2.915</v>
      </c>
      <c r="B133">
        <v>2.9969999999999999</v>
      </c>
      <c r="C133">
        <v>1.25</v>
      </c>
      <c r="D133">
        <v>2.7665306122448978</v>
      </c>
      <c r="E133">
        <v>9.1157E-4</v>
      </c>
    </row>
    <row r="134" spans="1:5" x14ac:dyDescent="0.2">
      <c r="A134">
        <v>16.7</v>
      </c>
      <c r="B134">
        <v>5.9939999999999998</v>
      </c>
      <c r="C134">
        <v>2.79</v>
      </c>
      <c r="D134">
        <v>4.5714285714285703</v>
      </c>
      <c r="E134">
        <v>1.5184600000000001E-3</v>
      </c>
    </row>
    <row r="135" spans="1:5" x14ac:dyDescent="0.2">
      <c r="A135">
        <v>289</v>
      </c>
      <c r="B135">
        <v>1.998</v>
      </c>
      <c r="C135">
        <v>0.13</v>
      </c>
      <c r="D135">
        <v>4.6530612244897958</v>
      </c>
      <c r="E135">
        <v>1.7479100000000001E-3</v>
      </c>
    </row>
    <row r="136" spans="1:5" x14ac:dyDescent="0.2">
      <c r="A136">
        <v>169000</v>
      </c>
      <c r="B136">
        <v>3.996</v>
      </c>
      <c r="C136">
        <v>0.26</v>
      </c>
      <c r="D136">
        <v>1.5322448979591836</v>
      </c>
      <c r="E136">
        <v>3.1E-4</v>
      </c>
    </row>
    <row r="137" spans="1:5" x14ac:dyDescent="0.2">
      <c r="A137">
        <v>74</v>
      </c>
      <c r="B137">
        <v>8.6579999999999995</v>
      </c>
      <c r="C137">
        <v>0.21</v>
      </c>
      <c r="D137">
        <v>0.43102040816326531</v>
      </c>
      <c r="E137">
        <v>1.8799999999999999E-3</v>
      </c>
    </row>
    <row r="138" spans="1:5" x14ac:dyDescent="0.2">
      <c r="A138">
        <v>41.564999999999998</v>
      </c>
      <c r="B138">
        <v>1.665</v>
      </c>
      <c r="C138">
        <v>0.16</v>
      </c>
      <c r="D138">
        <v>1.8269387755102038</v>
      </c>
      <c r="E138">
        <v>1.0200000000000001E-3</v>
      </c>
    </row>
    <row r="139" spans="1:5" x14ac:dyDescent="0.2">
      <c r="A139">
        <v>70.783000000000001</v>
      </c>
      <c r="B139">
        <v>2.831</v>
      </c>
      <c r="C139">
        <v>0.48</v>
      </c>
      <c r="D139">
        <v>1.4122448979591836E-2</v>
      </c>
      <c r="E139">
        <v>4.0999999999999999E-4</v>
      </c>
    </row>
    <row r="140" spans="1:5" x14ac:dyDescent="0.2">
      <c r="A140">
        <v>13.787000000000001</v>
      </c>
      <c r="B140">
        <v>5.9939999999999998</v>
      </c>
      <c r="C140">
        <v>0.1</v>
      </c>
      <c r="D140">
        <v>4.7346938775510205E-3</v>
      </c>
      <c r="E140">
        <v>1.24E-3</v>
      </c>
    </row>
    <row r="141" spans="1:5" x14ac:dyDescent="0.2">
      <c r="A141">
        <v>15.08</v>
      </c>
      <c r="B141">
        <v>0.33300000000000002</v>
      </c>
      <c r="C141">
        <v>1.74</v>
      </c>
      <c r="D141">
        <v>3.9183673469387753E-3</v>
      </c>
      <c r="E141">
        <v>5.9999999999999995E-4</v>
      </c>
    </row>
    <row r="142" spans="1:5" x14ac:dyDescent="0.2">
      <c r="A142">
        <v>37.463000000000001</v>
      </c>
      <c r="B142">
        <v>2.4980000000000002</v>
      </c>
      <c r="C142">
        <v>1.21</v>
      </c>
      <c r="D142">
        <v>3.4285714285714284E-3</v>
      </c>
      <c r="E142">
        <v>4.8000000000000001E-4</v>
      </c>
    </row>
    <row r="143" spans="1:5" x14ac:dyDescent="0.2">
      <c r="A143">
        <v>34</v>
      </c>
      <c r="B143">
        <v>4.6619999999999999</v>
      </c>
      <c r="C143">
        <v>27.83</v>
      </c>
      <c r="D143">
        <v>1.020408163265306E-2</v>
      </c>
      <c r="E143">
        <v>2.1000000000000001E-4</v>
      </c>
    </row>
    <row r="144" spans="1:5" x14ac:dyDescent="0.2">
      <c r="A144">
        <v>314</v>
      </c>
      <c r="B144">
        <v>0.33300000000000002</v>
      </c>
      <c r="C144">
        <v>0.1</v>
      </c>
      <c r="D144">
        <v>1.3877551020408162E-4</v>
      </c>
      <c r="E144">
        <v>3.8999999999999999E-4</v>
      </c>
    </row>
    <row r="145" spans="1:5" x14ac:dyDescent="0.2">
      <c r="A145">
        <v>302</v>
      </c>
      <c r="B145">
        <v>0.999</v>
      </c>
      <c r="C145">
        <v>0.04</v>
      </c>
      <c r="D145">
        <v>4.6530612244897958</v>
      </c>
      <c r="E145">
        <v>2.0000000000000001E-4</v>
      </c>
    </row>
    <row r="146" spans="1:5" x14ac:dyDescent="0.2">
      <c r="A146">
        <v>1</v>
      </c>
      <c r="B146">
        <v>2.331</v>
      </c>
      <c r="C146">
        <v>0.06</v>
      </c>
      <c r="D146">
        <v>3.4285714285714286E-8</v>
      </c>
      <c r="E146">
        <v>2.5899999999999999E-3</v>
      </c>
    </row>
    <row r="147" spans="1:5" x14ac:dyDescent="0.2">
      <c r="A147">
        <v>8.2200000000000006</v>
      </c>
      <c r="B147">
        <v>0</v>
      </c>
      <c r="C147">
        <v>0.06</v>
      </c>
      <c r="D147">
        <v>1.0612244897959184E-4</v>
      </c>
      <c r="E147">
        <v>1.01E-3</v>
      </c>
    </row>
    <row r="148" spans="1:5" x14ac:dyDescent="0.2">
      <c r="A148">
        <v>3.1619999999999999</v>
      </c>
      <c r="B148">
        <v>0.5</v>
      </c>
      <c r="C148">
        <v>0.02</v>
      </c>
      <c r="D148">
        <v>4.0816326530612238E-5</v>
      </c>
      <c r="E148">
        <v>1.6000000000000001E-4</v>
      </c>
    </row>
    <row r="149" spans="1:5" x14ac:dyDescent="0.2">
      <c r="A149">
        <v>5.0999999999999996</v>
      </c>
      <c r="B149">
        <v>1.3320000000000001</v>
      </c>
      <c r="C149">
        <v>7.0000000000000007E-2</v>
      </c>
      <c r="D149">
        <v>1.6326530612244897E-5</v>
      </c>
      <c r="E149">
        <v>1.3799999999999999E-3</v>
      </c>
    </row>
    <row r="150" spans="1:5" x14ac:dyDescent="0.2">
      <c r="A150">
        <v>24</v>
      </c>
      <c r="B150">
        <v>0</v>
      </c>
      <c r="C150">
        <v>0.05</v>
      </c>
      <c r="D150">
        <v>3.2653061224489793E-5</v>
      </c>
      <c r="E150">
        <v>9.7999999999999997E-4</v>
      </c>
    </row>
    <row r="151" spans="1:5" x14ac:dyDescent="0.2">
      <c r="A151">
        <v>13.75</v>
      </c>
      <c r="B151">
        <v>0.999</v>
      </c>
      <c r="C151">
        <v>0.19</v>
      </c>
      <c r="D151">
        <v>9.7959183673469384E-8</v>
      </c>
      <c r="E151">
        <v>3.2799999999999999E-3</v>
      </c>
    </row>
    <row r="152" spans="1:5" x14ac:dyDescent="0.2">
      <c r="A152">
        <v>4.0439999999999996</v>
      </c>
      <c r="B152">
        <v>1.3320000000000001</v>
      </c>
      <c r="C152">
        <v>0.47</v>
      </c>
      <c r="D152">
        <v>7.3469387755102037E-4</v>
      </c>
      <c r="E152">
        <v>1.09E-3</v>
      </c>
    </row>
    <row r="153" spans="1:5" x14ac:dyDescent="0.2">
      <c r="A153">
        <v>36</v>
      </c>
      <c r="B153">
        <v>0.999</v>
      </c>
      <c r="C153">
        <v>0.25</v>
      </c>
      <c r="D153">
        <v>1.1346938775510204E-2</v>
      </c>
      <c r="E153">
        <v>6.7000000000000002E-4</v>
      </c>
    </row>
    <row r="154" spans="1:5" x14ac:dyDescent="0.2">
      <c r="A154">
        <v>1.6</v>
      </c>
      <c r="B154">
        <v>2.6640000000000001</v>
      </c>
      <c r="C154">
        <v>0.17</v>
      </c>
      <c r="D154">
        <v>3.428571428571428E-4</v>
      </c>
      <c r="E154">
        <v>1.6000000000000001E-4</v>
      </c>
    </row>
    <row r="155" spans="1:5" x14ac:dyDescent="0.2">
      <c r="A155">
        <v>56.4</v>
      </c>
      <c r="B155">
        <v>2.6640000000000001</v>
      </c>
      <c r="C155">
        <v>0.05</v>
      </c>
      <c r="D155">
        <v>4.6285714285714281</v>
      </c>
      <c r="E155">
        <v>3.8000000000000002E-4</v>
      </c>
    </row>
    <row r="156" spans="1:5" x14ac:dyDescent="0.2">
      <c r="A156">
        <v>6.57</v>
      </c>
      <c r="B156">
        <v>0</v>
      </c>
      <c r="C156">
        <v>7.5999999999999998E-2</v>
      </c>
      <c r="D156">
        <v>0.47502040816326524</v>
      </c>
      <c r="E156">
        <v>2.6800000000000001E-3</v>
      </c>
    </row>
    <row r="157" spans="1:5" x14ac:dyDescent="0.2">
      <c r="A157">
        <v>5.57</v>
      </c>
      <c r="B157">
        <v>71</v>
      </c>
      <c r="C157">
        <v>0.47399999999999998</v>
      </c>
      <c r="D157">
        <v>0.28533061224489792</v>
      </c>
      <c r="E157">
        <v>1.9000000000000001E-4</v>
      </c>
    </row>
    <row r="158" spans="1:5" x14ac:dyDescent="0.2">
      <c r="A158">
        <v>23</v>
      </c>
      <c r="B158">
        <v>165</v>
      </c>
      <c r="C158">
        <v>1.4330000000000001</v>
      </c>
      <c r="D158">
        <v>0.2550612244897959</v>
      </c>
      <c r="E158">
        <v>6.8999999999999997E-4</v>
      </c>
    </row>
    <row r="159" spans="1:5" x14ac:dyDescent="0.2">
      <c r="A159">
        <v>27.3</v>
      </c>
      <c r="B159">
        <v>53</v>
      </c>
      <c r="C159">
        <v>0.19700000000000001</v>
      </c>
      <c r="D159">
        <v>0.18079999999999999</v>
      </c>
      <c r="E159">
        <v>6.6E-4</v>
      </c>
    </row>
    <row r="160" spans="1:5" x14ac:dyDescent="0.2">
      <c r="A160">
        <v>170.9</v>
      </c>
      <c r="B160">
        <v>145</v>
      </c>
      <c r="C160">
        <v>0.74099999999999999</v>
      </c>
      <c r="D160">
        <v>0.16466938775510204</v>
      </c>
      <c r="E160">
        <v>1.6199999999999999E-3</v>
      </c>
    </row>
    <row r="161" spans="1:5" x14ac:dyDescent="0.2">
      <c r="A161">
        <v>112</v>
      </c>
      <c r="B161">
        <v>528</v>
      </c>
      <c r="C161">
        <v>7.7069999999999999</v>
      </c>
      <c r="D161">
        <v>1.6481632653061224</v>
      </c>
      <c r="E161">
        <v>6.4999999999999997E-4</v>
      </c>
    </row>
    <row r="162" spans="1:5" x14ac:dyDescent="0.2">
      <c r="A162">
        <v>16.13</v>
      </c>
      <c r="B162">
        <v>13.47</v>
      </c>
      <c r="C162">
        <v>2.4300000000000002</v>
      </c>
      <c r="D162">
        <v>0.27217959183673468</v>
      </c>
      <c r="E162">
        <v>1.34E-3</v>
      </c>
    </row>
    <row r="163" spans="1:5" x14ac:dyDescent="0.2">
      <c r="A163">
        <v>113</v>
      </c>
      <c r="B163">
        <v>26.07</v>
      </c>
      <c r="C163">
        <v>4.2</v>
      </c>
      <c r="D163">
        <v>0.23020408163265305</v>
      </c>
      <c r="E163">
        <v>2.7999999999999998E-4</v>
      </c>
    </row>
    <row r="164" spans="1:5" x14ac:dyDescent="0.2">
      <c r="A164">
        <v>240.3</v>
      </c>
      <c r="B164">
        <v>42.96</v>
      </c>
      <c r="C164">
        <v>0.08</v>
      </c>
      <c r="D164">
        <v>0.28533061224489792</v>
      </c>
      <c r="E164">
        <v>5.0000000000000001E-4</v>
      </c>
    </row>
    <row r="165" spans="1:5" x14ac:dyDescent="0.2">
      <c r="A165">
        <v>14.1</v>
      </c>
      <c r="B165">
        <v>7.1</v>
      </c>
      <c r="C165">
        <v>0.42</v>
      </c>
      <c r="D165">
        <v>0.2550612244897959</v>
      </c>
      <c r="E165">
        <v>1.0200000000000001E-2</v>
      </c>
    </row>
    <row r="166" spans="1:5" x14ac:dyDescent="0.2">
      <c r="A166">
        <v>8.68</v>
      </c>
      <c r="B166">
        <v>12.05</v>
      </c>
      <c r="C166">
        <v>0.04</v>
      </c>
      <c r="D166">
        <v>1.1444897959183672E-2</v>
      </c>
      <c r="E166">
        <v>5.9199999999999997E-4</v>
      </c>
    </row>
    <row r="167" spans="1:5" x14ac:dyDescent="0.2">
      <c r="A167">
        <v>1413</v>
      </c>
      <c r="B167">
        <v>26.63</v>
      </c>
      <c r="C167">
        <v>0.48</v>
      </c>
      <c r="D167">
        <v>1.2979591836734692E-2</v>
      </c>
      <c r="E167">
        <v>1.299E-3</v>
      </c>
    </row>
    <row r="168" spans="1:5" x14ac:dyDescent="0.2">
      <c r="A168">
        <v>220</v>
      </c>
      <c r="B168">
        <v>8.18</v>
      </c>
      <c r="C168">
        <v>0.04</v>
      </c>
      <c r="D168">
        <v>0.15428571428571428</v>
      </c>
      <c r="E168">
        <v>1.4999999999999999E-4</v>
      </c>
    </row>
    <row r="169" spans="1:5" x14ac:dyDescent="0.2">
      <c r="A169">
        <v>97.66</v>
      </c>
      <c r="B169">
        <v>14.44</v>
      </c>
      <c r="C169">
        <v>0.03</v>
      </c>
      <c r="D169">
        <v>3.2653061224489793E-5</v>
      </c>
      <c r="E169">
        <v>2.3999999999999998E-3</v>
      </c>
    </row>
    <row r="170" spans="1:5" x14ac:dyDescent="0.2">
      <c r="A170">
        <v>31.1</v>
      </c>
      <c r="B170">
        <v>18.100000000000001</v>
      </c>
      <c r="C170">
        <v>0.04</v>
      </c>
      <c r="D170">
        <v>0</v>
      </c>
      <c r="E170">
        <v>7.9999999999999996E-6</v>
      </c>
    </row>
    <row r="171" spans="1:5" x14ac:dyDescent="0.2">
      <c r="A171">
        <v>41.3</v>
      </c>
      <c r="B171">
        <v>0.08</v>
      </c>
      <c r="C171">
        <v>0.06</v>
      </c>
      <c r="D171">
        <v>1.1183673469387756E-3</v>
      </c>
      <c r="E171">
        <v>9.1800000000000007E-3</v>
      </c>
    </row>
    <row r="172" spans="1:5" x14ac:dyDescent="0.2">
      <c r="A172">
        <v>52.1</v>
      </c>
      <c r="B172">
        <v>0.187</v>
      </c>
      <c r="C172">
        <v>1.4999999999999999E-2</v>
      </c>
      <c r="D172">
        <v>4.5657142857142854E-2</v>
      </c>
      <c r="E172">
        <v>5.9999999999999995E-4</v>
      </c>
    </row>
    <row r="173" spans="1:5" x14ac:dyDescent="0.2">
      <c r="A173">
        <v>10.119999999999999</v>
      </c>
      <c r="B173">
        <v>8.6999999999999994E-2</v>
      </c>
      <c r="C173">
        <v>0.05</v>
      </c>
      <c r="D173">
        <v>0.14283265306122447</v>
      </c>
      <c r="E173">
        <v>1.1999999999999999E-3</v>
      </c>
    </row>
    <row r="174" spans="1:5" x14ac:dyDescent="0.2">
      <c r="A174">
        <v>1.02</v>
      </c>
      <c r="B174">
        <v>0.16300000000000001</v>
      </c>
      <c r="C174">
        <v>3.5000000000000003E-2</v>
      </c>
      <c r="D174">
        <v>1.1918367346938774E-2</v>
      </c>
      <c r="E174">
        <v>2.4600000000000002E-6</v>
      </c>
    </row>
    <row r="175" spans="1:5" x14ac:dyDescent="0.2">
      <c r="A175">
        <v>7.6</v>
      </c>
      <c r="B175">
        <v>7.4999999999999997E-2</v>
      </c>
      <c r="C175">
        <v>0.01</v>
      </c>
      <c r="D175">
        <v>3.1020408163265302E-3</v>
      </c>
      <c r="E175">
        <v>2.0000000000000001E-9</v>
      </c>
    </row>
    <row r="176" spans="1:5" x14ac:dyDescent="0.2">
      <c r="A176">
        <v>7.5</v>
      </c>
      <c r="B176">
        <v>43</v>
      </c>
      <c r="C176">
        <v>1.4999999999999999E-2</v>
      </c>
      <c r="D176">
        <v>2.7428571428571427E-2</v>
      </c>
      <c r="E176">
        <v>3.5999999999999998E-8</v>
      </c>
    </row>
    <row r="177" spans="1:5" x14ac:dyDescent="0.2">
      <c r="A177">
        <v>11.1</v>
      </c>
      <c r="B177">
        <v>620</v>
      </c>
      <c r="C177">
        <v>5.5E-2</v>
      </c>
      <c r="D177">
        <v>1.0122448979591836E-2</v>
      </c>
      <c r="E177">
        <v>5.0000000000000004E-6</v>
      </c>
    </row>
    <row r="178" spans="1:5" x14ac:dyDescent="0.2">
      <c r="A178">
        <v>10.6</v>
      </c>
      <c r="B178">
        <v>96</v>
      </c>
      <c r="C178">
        <v>0.03</v>
      </c>
      <c r="D178">
        <v>2.6122448979591832E-3</v>
      </c>
      <c r="E178">
        <v>7.25E-6</v>
      </c>
    </row>
    <row r="179" spans="1:5" x14ac:dyDescent="0.2">
      <c r="A179">
        <v>4.2</v>
      </c>
      <c r="B179">
        <v>690</v>
      </c>
      <c r="C179">
        <v>0.05</v>
      </c>
      <c r="D179">
        <v>2.530612244897959E-2</v>
      </c>
      <c r="E179">
        <v>3.9199999999999997E-6</v>
      </c>
    </row>
    <row r="180" spans="1:5" x14ac:dyDescent="0.2">
      <c r="A180">
        <v>5.4</v>
      </c>
      <c r="B180">
        <v>22</v>
      </c>
      <c r="C180">
        <v>0.05</v>
      </c>
      <c r="D180">
        <v>1.2816326530612245E-3</v>
      </c>
      <c r="E180">
        <v>1E-8</v>
      </c>
    </row>
    <row r="181" spans="1:5" x14ac:dyDescent="0.2">
      <c r="A181">
        <v>7.2</v>
      </c>
      <c r="B181">
        <v>200</v>
      </c>
      <c r="C181">
        <v>0.02</v>
      </c>
      <c r="D181">
        <v>5.4530612244897952E-3</v>
      </c>
      <c r="E181">
        <v>4.0000000000000001E-8</v>
      </c>
    </row>
    <row r="182" spans="1:5" x14ac:dyDescent="0.2">
      <c r="A182">
        <v>1.7</v>
      </c>
      <c r="B182">
        <v>0</v>
      </c>
      <c r="C182">
        <v>2.5000000000000001E-2</v>
      </c>
      <c r="E182">
        <v>1.1600000000000001E-7</v>
      </c>
    </row>
    <row r="183" spans="1:5" x14ac:dyDescent="0.2">
      <c r="A183">
        <v>1.9</v>
      </c>
      <c r="B183">
        <v>0.31</v>
      </c>
      <c r="C183">
        <v>1.5599999999999999E-2</v>
      </c>
      <c r="E183">
        <v>1.4999999999999999E-7</v>
      </c>
    </row>
    <row r="184" spans="1:5" x14ac:dyDescent="0.2">
      <c r="A184">
        <v>1.9</v>
      </c>
      <c r="B184">
        <v>2.76</v>
      </c>
      <c r="C184">
        <v>0.53920000000000001</v>
      </c>
      <c r="E184">
        <v>2.9999999999999997E-8</v>
      </c>
    </row>
    <row r="185" spans="1:5" x14ac:dyDescent="0.2">
      <c r="A185">
        <v>1.5</v>
      </c>
      <c r="B185">
        <v>1.25</v>
      </c>
      <c r="C185">
        <v>0</v>
      </c>
      <c r="E185">
        <v>4.5500000000000004E-7</v>
      </c>
    </row>
    <row r="186" spans="1:5" x14ac:dyDescent="0.2">
      <c r="A186">
        <v>7</v>
      </c>
      <c r="B186">
        <v>1.24</v>
      </c>
      <c r="C186">
        <v>3.0000000000000001E-3</v>
      </c>
      <c r="E186">
        <v>4.2199999999999994E-6</v>
      </c>
    </row>
    <row r="187" spans="1:5" x14ac:dyDescent="0.2">
      <c r="A187">
        <v>107.5</v>
      </c>
      <c r="B187">
        <v>3.7000000000000002E-3</v>
      </c>
      <c r="C187">
        <v>2.7E-2</v>
      </c>
      <c r="E187">
        <v>4.4280000000000003E-5</v>
      </c>
    </row>
    <row r="188" spans="1:5" x14ac:dyDescent="0.2">
      <c r="A188">
        <v>50.2</v>
      </c>
      <c r="B188">
        <v>0.32</v>
      </c>
      <c r="C188">
        <v>2.5000000000000001E-2</v>
      </c>
      <c r="E188">
        <v>1.9199999999999998E-6</v>
      </c>
    </row>
    <row r="189" spans="1:5" x14ac:dyDescent="0.2">
      <c r="A189">
        <v>180.7</v>
      </c>
      <c r="B189">
        <v>12.56</v>
      </c>
      <c r="C189">
        <v>0.03</v>
      </c>
      <c r="E189">
        <v>5.5099999999999998E-6</v>
      </c>
    </row>
    <row r="190" spans="1:5" x14ac:dyDescent="0.2">
      <c r="A190">
        <v>286.5</v>
      </c>
      <c r="B190">
        <v>3.4000000000000002E-4</v>
      </c>
      <c r="C190">
        <v>1.4999999999999999E-2</v>
      </c>
      <c r="E190">
        <v>1.9299999999999997E-6</v>
      </c>
    </row>
    <row r="191" spans="1:5" x14ac:dyDescent="0.2">
      <c r="A191">
        <v>97.2</v>
      </c>
      <c r="B191">
        <v>20.6</v>
      </c>
      <c r="C191">
        <v>1.4</v>
      </c>
      <c r="E191">
        <v>2.61E-6</v>
      </c>
    </row>
    <row r="192" spans="1:5" x14ac:dyDescent="0.2">
      <c r="A192">
        <v>74.7</v>
      </c>
      <c r="B192">
        <v>21.1</v>
      </c>
      <c r="C192">
        <v>0.8</v>
      </c>
      <c r="E192">
        <v>1.5800000000000001E-6</v>
      </c>
    </row>
    <row r="193" spans="1:5" x14ac:dyDescent="0.2">
      <c r="A193">
        <v>37.700000000000003</v>
      </c>
      <c r="B193">
        <v>20.399999999999999</v>
      </c>
      <c r="C193">
        <v>0.9</v>
      </c>
      <c r="E193">
        <v>2.7099999999999999E-6</v>
      </c>
    </row>
    <row r="194" spans="1:5" x14ac:dyDescent="0.2">
      <c r="A194">
        <v>6.74</v>
      </c>
      <c r="B194">
        <v>20.8</v>
      </c>
      <c r="C194">
        <v>0.7</v>
      </c>
      <c r="E194">
        <v>2.57E-6</v>
      </c>
    </row>
    <row r="195" spans="1:5" x14ac:dyDescent="0.2">
      <c r="A195">
        <v>11.04</v>
      </c>
      <c r="B195">
        <v>20.9</v>
      </c>
      <c r="C195">
        <v>0.5</v>
      </c>
      <c r="E195">
        <v>5.6699999999999999E-6</v>
      </c>
    </row>
    <row r="196" spans="1:5" x14ac:dyDescent="0.2">
      <c r="A196">
        <v>6.78</v>
      </c>
      <c r="B196">
        <v>21.8</v>
      </c>
      <c r="C196">
        <v>1</v>
      </c>
      <c r="E196">
        <v>9.9999999999999995E-7</v>
      </c>
    </row>
    <row r="197" spans="1:5" x14ac:dyDescent="0.2">
      <c r="A197">
        <v>6.32</v>
      </c>
      <c r="B197">
        <v>23.4</v>
      </c>
      <c r="C197">
        <v>1.2</v>
      </c>
      <c r="E197">
        <v>1.2700000000000001E-6</v>
      </c>
    </row>
    <row r="198" spans="1:5" x14ac:dyDescent="0.2">
      <c r="A198">
        <v>13.06</v>
      </c>
      <c r="B198">
        <v>20.100000000000001</v>
      </c>
      <c r="C198">
        <v>0.5</v>
      </c>
      <c r="E198">
        <v>5.5000000000000003E-7</v>
      </c>
    </row>
    <row r="199" spans="1:5" x14ac:dyDescent="0.2">
      <c r="A199">
        <v>6.31</v>
      </c>
      <c r="B199">
        <v>20.100000000000001</v>
      </c>
      <c r="C199">
        <v>0.5</v>
      </c>
      <c r="E199">
        <v>4.2E-7</v>
      </c>
    </row>
    <row r="200" spans="1:5" x14ac:dyDescent="0.2">
      <c r="A200">
        <v>19.47</v>
      </c>
      <c r="B200">
        <v>21.1</v>
      </c>
      <c r="C200">
        <v>0.5</v>
      </c>
      <c r="E200">
        <v>1.66E-3</v>
      </c>
    </row>
    <row r="201" spans="1:5" x14ac:dyDescent="0.2">
      <c r="A201">
        <v>10.34</v>
      </c>
      <c r="B201">
        <v>21.4</v>
      </c>
      <c r="C201">
        <v>0.5</v>
      </c>
      <c r="E201">
        <v>8.9999999999999998E-4</v>
      </c>
    </row>
    <row r="202" spans="1:5" x14ac:dyDescent="0.2">
      <c r="A202">
        <v>7.69</v>
      </c>
      <c r="B202">
        <v>21.5</v>
      </c>
      <c r="C202">
        <v>0.5</v>
      </c>
      <c r="E202">
        <v>2.8E-3</v>
      </c>
    </row>
    <row r="203" spans="1:5" x14ac:dyDescent="0.2">
      <c r="A203">
        <v>14</v>
      </c>
      <c r="B203">
        <v>19.399999999999999</v>
      </c>
      <c r="C203">
        <v>0.9</v>
      </c>
      <c r="E203">
        <v>1.25E-3</v>
      </c>
    </row>
    <row r="204" spans="1:5" x14ac:dyDescent="0.2">
      <c r="A204">
        <v>12.52</v>
      </c>
      <c r="B204">
        <v>18.899999999999999</v>
      </c>
      <c r="C204">
        <v>1.1000000000000001</v>
      </c>
      <c r="E204">
        <v>4.6499999999999996E-3</v>
      </c>
    </row>
    <row r="205" spans="1:5" x14ac:dyDescent="0.2">
      <c r="A205">
        <v>15.63</v>
      </c>
      <c r="B205">
        <v>21.9</v>
      </c>
      <c r="C205">
        <v>0.5</v>
      </c>
      <c r="E205">
        <v>2.9300000000000002E-4</v>
      </c>
    </row>
    <row r="206" spans="1:5" x14ac:dyDescent="0.2">
      <c r="A206">
        <v>13.79</v>
      </c>
      <c r="B206">
        <v>16.600000000000001</v>
      </c>
      <c r="C206">
        <v>0.7</v>
      </c>
      <c r="E206">
        <v>4.7600000000000003E-3</v>
      </c>
    </row>
    <row r="207" spans="1:5" x14ac:dyDescent="0.2">
      <c r="A207">
        <v>9.84</v>
      </c>
      <c r="B207">
        <v>17.399999999999999</v>
      </c>
      <c r="C207">
        <v>1.1000000000000001</v>
      </c>
      <c r="E207">
        <v>3.5200000000000002E-6</v>
      </c>
    </row>
    <row r="208" spans="1:5" x14ac:dyDescent="0.2">
      <c r="A208">
        <v>22.36</v>
      </c>
      <c r="B208">
        <v>17.399999999999999</v>
      </c>
      <c r="C208">
        <v>1.5</v>
      </c>
      <c r="E208">
        <v>3.205E-5</v>
      </c>
    </row>
    <row r="209" spans="1:5" x14ac:dyDescent="0.2">
      <c r="A209">
        <v>9.2100000000000009</v>
      </c>
      <c r="B209">
        <v>1.2999999999999999E-3</v>
      </c>
      <c r="C209">
        <v>0.4</v>
      </c>
      <c r="E209">
        <v>5.8E-5</v>
      </c>
    </row>
    <row r="210" spans="1:5" x14ac:dyDescent="0.2">
      <c r="A210">
        <v>13.33</v>
      </c>
      <c r="B210">
        <v>14.7125</v>
      </c>
      <c r="C210">
        <v>0.8</v>
      </c>
      <c r="E210">
        <v>1.2650000000000001E-3</v>
      </c>
    </row>
    <row r="211" spans="1:5" x14ac:dyDescent="0.2">
      <c r="A211">
        <v>5.88</v>
      </c>
      <c r="B211">
        <v>0.1</v>
      </c>
      <c r="C211">
        <v>0.4</v>
      </c>
      <c r="E211">
        <v>5.7000000000000005E-6</v>
      </c>
    </row>
    <row r="212" spans="1:5" x14ac:dyDescent="0.2">
      <c r="A212">
        <v>12.04</v>
      </c>
      <c r="B212">
        <v>0.13300000000000001</v>
      </c>
      <c r="C212">
        <v>0.2</v>
      </c>
      <c r="E212">
        <v>3.9800000000000002E-4</v>
      </c>
    </row>
    <row r="213" spans="1:5" x14ac:dyDescent="0.2">
      <c r="A213">
        <v>21.25</v>
      </c>
      <c r="B213">
        <v>0.11700000000000001</v>
      </c>
      <c r="C213">
        <v>0.2</v>
      </c>
      <c r="E213">
        <v>3.1199999999999999E-3</v>
      </c>
    </row>
    <row r="214" spans="1:5" x14ac:dyDescent="0.2">
      <c r="A214">
        <v>16.62</v>
      </c>
      <c r="B214">
        <v>0.38800000000000001</v>
      </c>
      <c r="C214">
        <v>0.3</v>
      </c>
      <c r="E214">
        <v>1.125E-2</v>
      </c>
    </row>
    <row r="215" spans="1:5" x14ac:dyDescent="0.2">
      <c r="A215">
        <v>17.91</v>
      </c>
      <c r="B215">
        <v>0.35</v>
      </c>
      <c r="C215">
        <v>0.3</v>
      </c>
      <c r="E215">
        <v>5.0000000000000001E-3</v>
      </c>
    </row>
    <row r="216" spans="1:5" x14ac:dyDescent="0.2">
      <c r="A216">
        <v>14.53</v>
      </c>
      <c r="B216">
        <v>0.38300000000000001</v>
      </c>
      <c r="C216">
        <v>0.2</v>
      </c>
      <c r="E216">
        <v>3.4000000000000002E-2</v>
      </c>
    </row>
    <row r="217" spans="1:5" x14ac:dyDescent="0.2">
      <c r="A217">
        <v>13.04</v>
      </c>
      <c r="B217">
        <v>0.45500000000000002</v>
      </c>
      <c r="C217">
        <v>1.2</v>
      </c>
      <c r="E217">
        <v>2.784E-2</v>
      </c>
    </row>
    <row r="218" spans="1:5" x14ac:dyDescent="0.2">
      <c r="A218">
        <v>29.66</v>
      </c>
      <c r="B218">
        <v>0.54400000000000004</v>
      </c>
      <c r="C218">
        <v>0.6</v>
      </c>
      <c r="E218">
        <v>9.7999999999999997E-4</v>
      </c>
    </row>
    <row r="219" spans="1:5" x14ac:dyDescent="0.2">
      <c r="A219">
        <v>26.3</v>
      </c>
      <c r="B219">
        <v>0.5</v>
      </c>
      <c r="C219">
        <v>0.4</v>
      </c>
      <c r="E219">
        <v>3.5000000000000004E-5</v>
      </c>
    </row>
    <row r="220" spans="1:5" x14ac:dyDescent="0.2">
      <c r="A220">
        <v>8.1199999999999992</v>
      </c>
      <c r="B220">
        <v>0.44400000000000001</v>
      </c>
      <c r="C220">
        <v>4.5199999999999996</v>
      </c>
      <c r="E220">
        <v>3.5000000000000004E-5</v>
      </c>
    </row>
    <row r="221" spans="1:5" x14ac:dyDescent="0.2">
      <c r="A221">
        <v>810</v>
      </c>
      <c r="B221">
        <v>0.27700000000000002</v>
      </c>
      <c r="C221">
        <v>4.05</v>
      </c>
      <c r="E221">
        <v>6.6000000000000005E-5</v>
      </c>
    </row>
    <row r="222" spans="1:5" x14ac:dyDescent="0.2">
      <c r="A222">
        <v>1.67</v>
      </c>
      <c r="B222">
        <v>0.36099999999999999</v>
      </c>
      <c r="C222">
        <v>5.5679999999999996</v>
      </c>
      <c r="E222">
        <v>1.7999999999999997E-5</v>
      </c>
    </row>
    <row r="223" spans="1:5" x14ac:dyDescent="0.2">
      <c r="A223">
        <v>5.3</v>
      </c>
      <c r="C223">
        <v>2.8340000000000001</v>
      </c>
      <c r="E223">
        <v>1.7E-5</v>
      </c>
    </row>
    <row r="224" spans="1:5" x14ac:dyDescent="0.2">
      <c r="A224">
        <v>4.7</v>
      </c>
      <c r="C224">
        <v>3.8559999999999999</v>
      </c>
      <c r="E224">
        <v>3.8000000000000002E-5</v>
      </c>
    </row>
    <row r="225" spans="1:5" x14ac:dyDescent="0.2">
      <c r="A225">
        <v>12.73</v>
      </c>
      <c r="C225">
        <v>5.391</v>
      </c>
      <c r="E225">
        <v>1.0000000000000001E-5</v>
      </c>
    </row>
    <row r="226" spans="1:5" x14ac:dyDescent="0.2">
      <c r="A226">
        <v>6.91</v>
      </c>
      <c r="C226">
        <v>4.1760000000000002</v>
      </c>
      <c r="E226">
        <v>2.0000000000000002E-5</v>
      </c>
    </row>
    <row r="227" spans="1:5" x14ac:dyDescent="0.2">
      <c r="A227">
        <v>2.19</v>
      </c>
      <c r="C227">
        <v>6.5949999999999998</v>
      </c>
      <c r="E227">
        <v>1.7999999999999997E-5</v>
      </c>
    </row>
    <row r="228" spans="1:5" x14ac:dyDescent="0.2">
      <c r="A228">
        <v>0.23</v>
      </c>
      <c r="C228">
        <v>6.3479999999999999</v>
      </c>
      <c r="E228">
        <v>3.0000000000000001E-6</v>
      </c>
    </row>
    <row r="229" spans="1:5" x14ac:dyDescent="0.2">
      <c r="A229">
        <v>9379</v>
      </c>
      <c r="C229">
        <v>0.44</v>
      </c>
      <c r="E229">
        <v>2.5999999999999998E-5</v>
      </c>
    </row>
    <row r="230" spans="1:5" x14ac:dyDescent="0.2">
      <c r="A230">
        <v>7652</v>
      </c>
      <c r="C230">
        <v>0.52</v>
      </c>
      <c r="E230">
        <v>1.7E-5</v>
      </c>
    </row>
    <row r="231" spans="1:5" x14ac:dyDescent="0.2">
      <c r="A231">
        <v>500</v>
      </c>
      <c r="C231">
        <v>0.47</v>
      </c>
      <c r="E231">
        <v>1.7999999999999997E-5</v>
      </c>
    </row>
    <row r="232" spans="1:5" x14ac:dyDescent="0.2">
      <c r="A232">
        <v>2600</v>
      </c>
      <c r="C232">
        <v>0.52</v>
      </c>
      <c r="E232">
        <v>2.1000000000000002E-5</v>
      </c>
    </row>
    <row r="233" spans="1:5" x14ac:dyDescent="0.2">
      <c r="A233">
        <v>2062.8000000000002</v>
      </c>
      <c r="C233">
        <v>3.7200000000000004E-2</v>
      </c>
      <c r="E233">
        <v>6.9999999999999999E-6</v>
      </c>
    </row>
    <row r="234" spans="1:5" x14ac:dyDescent="0.2">
      <c r="A234">
        <v>2541</v>
      </c>
      <c r="C234">
        <v>6.9000000000000008E-3</v>
      </c>
      <c r="E234">
        <v>1.0000000000000001E-5</v>
      </c>
    </row>
    <row r="235" spans="1:5" x14ac:dyDescent="0.2">
      <c r="A235">
        <v>17.8</v>
      </c>
      <c r="C235">
        <v>0.4</v>
      </c>
      <c r="E235">
        <v>6.9999999999999999E-6</v>
      </c>
    </row>
    <row r="236" spans="1:5" x14ac:dyDescent="0.2">
      <c r="A236">
        <v>27.8</v>
      </c>
      <c r="C236">
        <v>0.28000000000000003</v>
      </c>
      <c r="E236">
        <v>1.7E-5</v>
      </c>
    </row>
    <row r="237" spans="1:5" x14ac:dyDescent="0.2">
      <c r="A237">
        <v>47.13</v>
      </c>
      <c r="C237">
        <v>0.14099999999999999</v>
      </c>
      <c r="E237">
        <v>0</v>
      </c>
    </row>
    <row r="238" spans="1:5" x14ac:dyDescent="0.2">
      <c r="A238">
        <v>311</v>
      </c>
      <c r="C238">
        <v>0.38500000000000001</v>
      </c>
      <c r="E238">
        <v>0</v>
      </c>
    </row>
    <row r="239" spans="1:5" x14ac:dyDescent="0.2">
      <c r="A239">
        <v>4080</v>
      </c>
      <c r="C239">
        <v>0.46100000000000002</v>
      </c>
      <c r="E239">
        <v>1.0000000000000001E-5</v>
      </c>
    </row>
    <row r="240" spans="1:5" x14ac:dyDescent="0.2">
      <c r="A240">
        <v>6360</v>
      </c>
      <c r="C240">
        <v>4.0000000000000001E-3</v>
      </c>
      <c r="E240">
        <v>5.0000000000000004E-6</v>
      </c>
    </row>
    <row r="241" spans="1:5" x14ac:dyDescent="0.2">
      <c r="A241">
        <v>214</v>
      </c>
      <c r="C241">
        <v>0</v>
      </c>
      <c r="E241">
        <v>9.9999999999999995E-7</v>
      </c>
    </row>
    <row r="242" spans="1:5" x14ac:dyDescent="0.2">
      <c r="A242">
        <v>206</v>
      </c>
      <c r="C242">
        <v>8.0000000000000002E-3</v>
      </c>
      <c r="E242">
        <v>9.9999999999999995E-7</v>
      </c>
    </row>
    <row r="243" spans="1:5" x14ac:dyDescent="0.2">
      <c r="A243">
        <v>200</v>
      </c>
      <c r="C243">
        <v>1E-3</v>
      </c>
      <c r="E243">
        <v>1.2999999999999999E-5</v>
      </c>
    </row>
    <row r="244" spans="1:5" x14ac:dyDescent="0.2">
      <c r="A244">
        <v>238</v>
      </c>
      <c r="C244">
        <v>0</v>
      </c>
      <c r="E244">
        <v>8.5999999999999989E-8</v>
      </c>
    </row>
    <row r="245" spans="1:5" x14ac:dyDescent="0.2">
      <c r="A245">
        <v>129</v>
      </c>
      <c r="C245">
        <v>0</v>
      </c>
      <c r="E245">
        <v>4.8E-8</v>
      </c>
    </row>
    <row r="246" spans="1:5" x14ac:dyDescent="0.2">
      <c r="A246">
        <v>113</v>
      </c>
      <c r="C246">
        <v>1E-3</v>
      </c>
      <c r="E246">
        <v>3.7999999999999996E-8</v>
      </c>
    </row>
    <row r="247" spans="1:5" x14ac:dyDescent="0.2">
      <c r="A247">
        <v>40.1</v>
      </c>
      <c r="C247">
        <v>3.0000000000000001E-3</v>
      </c>
      <c r="E247">
        <v>3.0000000000000001E-3</v>
      </c>
    </row>
    <row r="248" spans="1:5" x14ac:dyDescent="0.2">
      <c r="A248">
        <v>27.3</v>
      </c>
      <c r="C248">
        <v>0</v>
      </c>
      <c r="E248">
        <v>6.6600000000000003E-4</v>
      </c>
    </row>
    <row r="249" spans="1:5" x14ac:dyDescent="0.2">
      <c r="A249">
        <v>17</v>
      </c>
      <c r="C249">
        <v>1E-3</v>
      </c>
      <c r="E249">
        <v>1.333E-3</v>
      </c>
    </row>
    <row r="250" spans="1:5" x14ac:dyDescent="0.2">
      <c r="A250">
        <v>9.65</v>
      </c>
      <c r="C250">
        <v>1E-3</v>
      </c>
      <c r="E250">
        <v>5.5492999999999992E-4</v>
      </c>
    </row>
    <row r="251" spans="1:5" x14ac:dyDescent="0.2">
      <c r="A251">
        <v>8.5</v>
      </c>
      <c r="C251">
        <v>0.01</v>
      </c>
      <c r="E251">
        <v>2.5589000000000002E-3</v>
      </c>
    </row>
    <row r="252" spans="1:5" x14ac:dyDescent="0.2">
      <c r="A252">
        <v>8.0299999999999994</v>
      </c>
      <c r="C252">
        <v>0</v>
      </c>
      <c r="E252">
        <v>1.74194E-3</v>
      </c>
    </row>
    <row r="253" spans="1:5" x14ac:dyDescent="0.2">
      <c r="A253">
        <v>2.5</v>
      </c>
      <c r="C253">
        <v>0</v>
      </c>
      <c r="E253">
        <v>0.105</v>
      </c>
    </row>
    <row r="254" spans="1:5" x14ac:dyDescent="0.2">
      <c r="A254">
        <v>2.2000000000000002</v>
      </c>
      <c r="C254">
        <v>0</v>
      </c>
      <c r="E254">
        <v>1.76643E-3</v>
      </c>
    </row>
    <row r="255" spans="1:5" x14ac:dyDescent="0.2">
      <c r="A255">
        <v>1</v>
      </c>
      <c r="C255">
        <v>0</v>
      </c>
      <c r="E255">
        <v>1.4770199999999999E-3</v>
      </c>
    </row>
    <row r="256" spans="1:5" x14ac:dyDescent="0.2">
      <c r="A256">
        <v>0.8</v>
      </c>
      <c r="C256">
        <v>2E-3</v>
      </c>
      <c r="E256">
        <v>1.7600000000000001E-6</v>
      </c>
    </row>
    <row r="257" spans="1:5" x14ac:dyDescent="0.2">
      <c r="A257">
        <v>0.45</v>
      </c>
      <c r="C257">
        <v>1E-3</v>
      </c>
      <c r="E257">
        <v>1.1618E-2</v>
      </c>
    </row>
    <row r="258" spans="1:5" x14ac:dyDescent="0.2">
      <c r="A258">
        <v>228</v>
      </c>
      <c r="C258">
        <v>0</v>
      </c>
      <c r="E258">
        <v>4.2799999999999998E-2</v>
      </c>
    </row>
    <row r="259" spans="1:5" x14ac:dyDescent="0.2">
      <c r="A259">
        <v>2353</v>
      </c>
      <c r="C259">
        <v>0</v>
      </c>
      <c r="E259">
        <v>0.12239999999999999</v>
      </c>
    </row>
    <row r="260" spans="1:5" x14ac:dyDescent="0.2">
      <c r="A260">
        <v>636</v>
      </c>
      <c r="C260">
        <v>0</v>
      </c>
      <c r="E260">
        <v>8.2799999999999999E-2</v>
      </c>
    </row>
    <row r="261" spans="1:5" x14ac:dyDescent="0.2">
      <c r="A261">
        <v>11</v>
      </c>
      <c r="C261">
        <v>0</v>
      </c>
      <c r="E261">
        <v>0.1062</v>
      </c>
    </row>
    <row r="262" spans="1:5" x14ac:dyDescent="0.2">
      <c r="A262">
        <v>150</v>
      </c>
      <c r="C262">
        <v>0</v>
      </c>
      <c r="E262">
        <v>1.66E-3</v>
      </c>
    </row>
    <row r="263" spans="1:5" x14ac:dyDescent="0.2">
      <c r="A263">
        <v>0.7</v>
      </c>
      <c r="C263">
        <v>0</v>
      </c>
      <c r="E263">
        <v>8.9250000000000006E-3</v>
      </c>
    </row>
    <row r="264" spans="1:5" x14ac:dyDescent="0.2">
      <c r="A264">
        <v>240</v>
      </c>
      <c r="C264">
        <v>0</v>
      </c>
      <c r="E264">
        <v>8.5500000000000003E-3</v>
      </c>
    </row>
    <row r="265" spans="1:5" x14ac:dyDescent="0.2">
      <c r="A265">
        <v>113</v>
      </c>
      <c r="C265">
        <v>1E-3</v>
      </c>
      <c r="E265">
        <v>6.1749999999999999E-3</v>
      </c>
    </row>
    <row r="266" spans="1:5" x14ac:dyDescent="0.2">
      <c r="A266">
        <v>27.7</v>
      </c>
      <c r="C266">
        <v>2E-3</v>
      </c>
      <c r="E266">
        <v>6.3899999999999998E-3</v>
      </c>
    </row>
    <row r="267" spans="1:5" x14ac:dyDescent="0.2">
      <c r="A267">
        <v>286.5</v>
      </c>
      <c r="C267">
        <v>0</v>
      </c>
      <c r="E267">
        <v>6.1624999999999996E-3</v>
      </c>
    </row>
    <row r="268" spans="1:5" x14ac:dyDescent="0.2">
      <c r="A268">
        <v>37.700000000000003</v>
      </c>
      <c r="C268">
        <v>0</v>
      </c>
      <c r="E268">
        <v>5.7450000000000001E-3</v>
      </c>
    </row>
    <row r="269" spans="1:5" x14ac:dyDescent="0.2">
      <c r="A269">
        <v>97.2</v>
      </c>
      <c r="C269">
        <v>0</v>
      </c>
      <c r="E269">
        <v>5.914E-3</v>
      </c>
    </row>
    <row r="270" spans="1:5" x14ac:dyDescent="0.2">
      <c r="A270">
        <v>429</v>
      </c>
      <c r="C270">
        <v>0</v>
      </c>
      <c r="E270">
        <v>2.5166999999999998E-3</v>
      </c>
    </row>
    <row r="271" spans="1:5" x14ac:dyDescent="0.2">
      <c r="A271">
        <v>50.6</v>
      </c>
      <c r="C271">
        <v>0</v>
      </c>
      <c r="E271">
        <v>2.9329999999999998E-3</v>
      </c>
    </row>
    <row r="272" spans="1:5" x14ac:dyDescent="0.2">
      <c r="A272">
        <v>2.5329999999999999</v>
      </c>
      <c r="C272">
        <v>5.0000000000000001E-3</v>
      </c>
      <c r="E272">
        <v>4.1373E-3</v>
      </c>
    </row>
    <row r="273" spans="1:5" x14ac:dyDescent="0.2">
      <c r="A273">
        <v>5.16</v>
      </c>
      <c r="C273">
        <v>4.0000000000000001E-3</v>
      </c>
      <c r="E273">
        <v>3.0000000000000001E-5</v>
      </c>
    </row>
    <row r="274" spans="1:5" x14ac:dyDescent="0.2">
      <c r="A274">
        <v>19.898</v>
      </c>
      <c r="C274">
        <v>0</v>
      </c>
      <c r="E274">
        <v>1.0900000000000001E-4</v>
      </c>
    </row>
    <row r="275" spans="1:5" x14ac:dyDescent="0.2">
      <c r="A275">
        <v>8.2370000000000001</v>
      </c>
      <c r="C275">
        <v>0</v>
      </c>
      <c r="E275">
        <v>3.1680000000000003E-7</v>
      </c>
    </row>
    <row r="276" spans="1:5" x14ac:dyDescent="0.2">
      <c r="A276">
        <v>2.4750000000000001</v>
      </c>
      <c r="C276">
        <v>5.0000000000000001E-3</v>
      </c>
      <c r="E276">
        <v>2.7999999999999999E-8</v>
      </c>
    </row>
    <row r="277" spans="1:5" x14ac:dyDescent="0.2">
      <c r="A277">
        <v>2.78</v>
      </c>
      <c r="C277">
        <v>4.0000000000000001E-3</v>
      </c>
      <c r="E277">
        <v>5.6999999999999994E-7</v>
      </c>
    </row>
    <row r="278" spans="1:5" x14ac:dyDescent="0.2">
      <c r="A278">
        <v>7.9660000000000002</v>
      </c>
      <c r="C278">
        <v>4.0000000000000001E-3</v>
      </c>
      <c r="E278">
        <v>1.1220000000000001E-5</v>
      </c>
    </row>
    <row r="279" spans="1:5" x14ac:dyDescent="0.2">
      <c r="A279">
        <v>1.6950000000000001</v>
      </c>
      <c r="C279">
        <v>0</v>
      </c>
      <c r="E279">
        <v>1.17E-6</v>
      </c>
    </row>
    <row r="280" spans="1:5" x14ac:dyDescent="0.2">
      <c r="A280">
        <v>16.7</v>
      </c>
      <c r="C280">
        <v>2E-3</v>
      </c>
      <c r="E280">
        <v>5.3900000000000001E-6</v>
      </c>
    </row>
    <row r="281" spans="1:5" x14ac:dyDescent="0.2">
      <c r="A281">
        <v>13.787000000000001</v>
      </c>
      <c r="C281">
        <v>2E-3</v>
      </c>
      <c r="E281">
        <v>1.24E-6</v>
      </c>
    </row>
    <row r="282" spans="1:5" x14ac:dyDescent="0.2">
      <c r="A282">
        <v>15.08</v>
      </c>
      <c r="C282">
        <v>2E-3</v>
      </c>
      <c r="E282">
        <v>8.0000000000000007E-7</v>
      </c>
    </row>
    <row r="283" spans="1:5" x14ac:dyDescent="0.2">
      <c r="A283">
        <v>37.463000000000001</v>
      </c>
      <c r="C283">
        <v>0</v>
      </c>
      <c r="E283">
        <v>3.36E-6</v>
      </c>
    </row>
    <row r="284" spans="1:5" x14ac:dyDescent="0.2">
      <c r="A284">
        <v>34</v>
      </c>
      <c r="C284">
        <v>0</v>
      </c>
      <c r="E284">
        <v>6.5999999999999995E-6</v>
      </c>
    </row>
    <row r="285" spans="1:5" x14ac:dyDescent="0.2">
      <c r="A285">
        <v>186.7</v>
      </c>
      <c r="C285">
        <v>0</v>
      </c>
      <c r="E285">
        <v>4.3700000000000005E-6</v>
      </c>
    </row>
    <row r="286" spans="1:5" x14ac:dyDescent="0.2">
      <c r="A286">
        <v>76.3</v>
      </c>
      <c r="C286">
        <v>3.0000000000000001E-3</v>
      </c>
      <c r="E286">
        <v>2.5299999999999999E-6</v>
      </c>
    </row>
    <row r="287" spans="1:5" x14ac:dyDescent="0.2">
      <c r="A287">
        <v>36</v>
      </c>
      <c r="C287">
        <v>6.0000000000000001E-3</v>
      </c>
      <c r="E287">
        <v>5.9200000000000001E-6</v>
      </c>
    </row>
    <row r="288" spans="1:5" x14ac:dyDescent="0.2">
      <c r="A288">
        <v>1.57</v>
      </c>
      <c r="C288">
        <v>0</v>
      </c>
      <c r="E288">
        <v>1.028E-5</v>
      </c>
    </row>
    <row r="289" spans="1:5" x14ac:dyDescent="0.2">
      <c r="A289">
        <v>56.4</v>
      </c>
      <c r="C289">
        <v>4.0000000000000001E-3</v>
      </c>
      <c r="E289">
        <v>9.300000000000001E-7</v>
      </c>
    </row>
    <row r="290" spans="1:5" x14ac:dyDescent="0.2">
      <c r="A290">
        <v>22.7</v>
      </c>
      <c r="C290">
        <v>1E-3</v>
      </c>
      <c r="E290">
        <v>2.96E-6</v>
      </c>
    </row>
    <row r="291" spans="1:5" x14ac:dyDescent="0.2">
      <c r="A291">
        <v>14.1</v>
      </c>
      <c r="C291">
        <v>0</v>
      </c>
      <c r="E291">
        <v>4.7999999999999996E-7</v>
      </c>
    </row>
    <row r="292" spans="1:5" x14ac:dyDescent="0.2">
      <c r="A292">
        <v>11.468999999999999</v>
      </c>
      <c r="C292">
        <v>0</v>
      </c>
      <c r="E292">
        <v>3.7299999999999999E-6</v>
      </c>
    </row>
    <row r="293" spans="1:5" x14ac:dyDescent="0.2">
      <c r="A293">
        <v>14.407</v>
      </c>
      <c r="C293">
        <v>3.0000000000000001E-3</v>
      </c>
      <c r="E293">
        <v>3.14E-6</v>
      </c>
    </row>
    <row r="294" spans="1:5" x14ac:dyDescent="0.2">
      <c r="A294">
        <v>1</v>
      </c>
      <c r="C294">
        <v>3.0000000000000001E-3</v>
      </c>
      <c r="E294">
        <v>8.8599999999999999E-6</v>
      </c>
    </row>
    <row r="295" spans="1:5" x14ac:dyDescent="0.2">
      <c r="A295">
        <v>169</v>
      </c>
      <c r="C295">
        <v>0</v>
      </c>
      <c r="E295">
        <v>3.3E-4</v>
      </c>
    </row>
    <row r="296" spans="1:5" x14ac:dyDescent="0.2">
      <c r="A296">
        <v>23</v>
      </c>
      <c r="C296">
        <v>1E-3</v>
      </c>
      <c r="E296">
        <v>0.32533000000000001</v>
      </c>
    </row>
    <row r="297" spans="1:5" x14ac:dyDescent="0.2">
      <c r="A297">
        <v>170.9</v>
      </c>
      <c r="C297">
        <v>1E-3</v>
      </c>
      <c r="E297">
        <v>4.8250000000000001E-2</v>
      </c>
    </row>
    <row r="298" spans="1:5" x14ac:dyDescent="0.2">
      <c r="A298">
        <v>14.895</v>
      </c>
      <c r="C298">
        <v>0</v>
      </c>
      <c r="E298">
        <v>3.5699999999999998E-3</v>
      </c>
    </row>
    <row r="299" spans="1:5" x14ac:dyDescent="0.2">
      <c r="A299">
        <v>9.4749999999999996</v>
      </c>
      <c r="C299">
        <v>2E-3</v>
      </c>
      <c r="E299">
        <v>4.2399999999999998E-3</v>
      </c>
    </row>
    <row r="300" spans="1:5" x14ac:dyDescent="0.2">
      <c r="A300">
        <v>13.2</v>
      </c>
      <c r="C300">
        <v>1E-3</v>
      </c>
      <c r="E300">
        <v>3.7000000000000002E-6</v>
      </c>
    </row>
    <row r="301" spans="1:5" x14ac:dyDescent="0.2">
      <c r="A301">
        <v>14.13</v>
      </c>
      <c r="C301">
        <v>0</v>
      </c>
      <c r="E301">
        <v>1.7E-6</v>
      </c>
    </row>
    <row r="302" spans="1:5" x14ac:dyDescent="0.2">
      <c r="A302">
        <v>220</v>
      </c>
      <c r="C302">
        <v>1E-3</v>
      </c>
      <c r="E302">
        <v>3.9000000000000002E-7</v>
      </c>
    </row>
    <row r="303" spans="1:5" x14ac:dyDescent="0.2">
      <c r="A303">
        <v>2.92</v>
      </c>
      <c r="C303">
        <v>0</v>
      </c>
      <c r="E303">
        <v>3.4000000000000003E-7</v>
      </c>
    </row>
    <row r="304" spans="1:5" x14ac:dyDescent="0.2">
      <c r="A304">
        <v>52.1</v>
      </c>
      <c r="C304">
        <v>1E-3</v>
      </c>
      <c r="E304">
        <v>1.4999999999999999E-7</v>
      </c>
    </row>
    <row r="305" spans="1:5" x14ac:dyDescent="0.2">
      <c r="A305">
        <v>1.02</v>
      </c>
      <c r="C305">
        <v>0</v>
      </c>
      <c r="E305">
        <v>1.1999999999999999E-7</v>
      </c>
    </row>
    <row r="306" spans="1:5" x14ac:dyDescent="0.2">
      <c r="A306">
        <v>7.5</v>
      </c>
      <c r="C306">
        <v>0</v>
      </c>
      <c r="E306">
        <v>9.9E-8</v>
      </c>
    </row>
    <row r="307" spans="1:5" x14ac:dyDescent="0.2">
      <c r="A307">
        <v>32</v>
      </c>
      <c r="C307">
        <v>0</v>
      </c>
      <c r="E307">
        <v>4.6000000000000002E-8</v>
      </c>
    </row>
    <row r="308" spans="1:5" x14ac:dyDescent="0.2">
      <c r="A308">
        <v>7</v>
      </c>
      <c r="C308">
        <v>1E-3</v>
      </c>
      <c r="E308">
        <v>3.4999999999999999E-9</v>
      </c>
    </row>
    <row r="309" spans="1:5" x14ac:dyDescent="0.2">
      <c r="A309">
        <v>180.7</v>
      </c>
      <c r="C309">
        <v>0</v>
      </c>
      <c r="E309">
        <v>4.0000000000000002E-9</v>
      </c>
    </row>
    <row r="310" spans="1:5" x14ac:dyDescent="0.2">
      <c r="A310">
        <v>97.2</v>
      </c>
      <c r="C310">
        <v>1E-3</v>
      </c>
      <c r="E310">
        <v>4.8E-9</v>
      </c>
    </row>
    <row r="311" spans="1:5" x14ac:dyDescent="0.2">
      <c r="A311">
        <v>74.7</v>
      </c>
      <c r="C311">
        <v>1E-3</v>
      </c>
      <c r="E311">
        <v>3.1E-8</v>
      </c>
    </row>
    <row r="312" spans="1:5" x14ac:dyDescent="0.2">
      <c r="A312">
        <v>14</v>
      </c>
      <c r="C312">
        <v>0</v>
      </c>
      <c r="E312">
        <v>2.7900000000000001E-4</v>
      </c>
    </row>
    <row r="313" spans="1:5" x14ac:dyDescent="0.2">
      <c r="A313">
        <v>22.36</v>
      </c>
      <c r="C313">
        <v>0</v>
      </c>
      <c r="E313">
        <v>1.7099999999999999E-3</v>
      </c>
    </row>
    <row r="314" spans="1:5" x14ac:dyDescent="0.2">
      <c r="A314">
        <v>21.25</v>
      </c>
      <c r="C314">
        <v>1E-3</v>
      </c>
      <c r="E314">
        <v>7.6299999999999996E-3</v>
      </c>
    </row>
    <row r="315" spans="1:5" x14ac:dyDescent="0.2">
      <c r="A315">
        <v>29.66</v>
      </c>
      <c r="C315">
        <v>1E-3</v>
      </c>
      <c r="E315">
        <v>3.2100000000000002E-3</v>
      </c>
    </row>
    <row r="316" spans="1:5" x14ac:dyDescent="0.2">
      <c r="A316">
        <v>13.06</v>
      </c>
      <c r="C316">
        <v>1.0999999999999999E-2</v>
      </c>
      <c r="E316">
        <v>8.5099999999999998E-6</v>
      </c>
    </row>
    <row r="317" spans="1:5" x14ac:dyDescent="0.2">
      <c r="A317">
        <v>0.81</v>
      </c>
      <c r="C317">
        <v>5.0000000000000001E-3</v>
      </c>
      <c r="E317">
        <v>9.1800000000000007E-3</v>
      </c>
    </row>
    <row r="318" spans="1:5" x14ac:dyDescent="0.2">
      <c r="A318">
        <v>0.83</v>
      </c>
      <c r="C318">
        <v>0.01</v>
      </c>
      <c r="E318">
        <v>4.9800000000000006E-6</v>
      </c>
    </row>
    <row r="319" spans="1:5" x14ac:dyDescent="0.2">
      <c r="A319">
        <v>4.7</v>
      </c>
      <c r="C319">
        <v>3.0000000000000001E-3</v>
      </c>
      <c r="E319">
        <v>3.1699999999999997E-6</v>
      </c>
    </row>
    <row r="320" spans="1:5" x14ac:dyDescent="0.2">
      <c r="A320">
        <v>12.73</v>
      </c>
      <c r="C320">
        <v>0</v>
      </c>
      <c r="E320">
        <v>1.4899999999999999E-6</v>
      </c>
    </row>
    <row r="321" spans="1:5" x14ac:dyDescent="0.2">
      <c r="A321">
        <v>6.91</v>
      </c>
      <c r="C321">
        <v>0</v>
      </c>
      <c r="E321">
        <v>1.35E-6</v>
      </c>
    </row>
    <row r="322" spans="1:5" x14ac:dyDescent="0.2">
      <c r="A322">
        <v>2.19</v>
      </c>
      <c r="C322">
        <v>1E-3</v>
      </c>
      <c r="E322">
        <v>4.0000000000000001E-8</v>
      </c>
    </row>
    <row r="323" spans="1:5" x14ac:dyDescent="0.2">
      <c r="A323">
        <v>0.23</v>
      </c>
      <c r="C323">
        <v>0</v>
      </c>
      <c r="E323">
        <v>2.0000000000000001E-9</v>
      </c>
    </row>
    <row r="324" spans="1:5" x14ac:dyDescent="0.2">
      <c r="A324">
        <v>9.3789999999999996</v>
      </c>
      <c r="C324">
        <v>1E-3</v>
      </c>
      <c r="E324">
        <v>6.2500000000000001E-5</v>
      </c>
    </row>
    <row r="325" spans="1:5" x14ac:dyDescent="0.2">
      <c r="A325">
        <v>7.6520000000000001</v>
      </c>
      <c r="C325">
        <v>0</v>
      </c>
      <c r="E325">
        <v>2.8000000000000002E-7</v>
      </c>
    </row>
    <row r="326" spans="1:5" x14ac:dyDescent="0.2">
      <c r="A326">
        <v>0.5</v>
      </c>
      <c r="C326">
        <v>0</v>
      </c>
      <c r="E326">
        <v>5.0000000000000001E-4</v>
      </c>
    </row>
    <row r="327" spans="1:5" x14ac:dyDescent="0.2">
      <c r="A327">
        <v>26</v>
      </c>
      <c r="C327">
        <v>0</v>
      </c>
      <c r="E327">
        <v>1.0200000000000001E-2</v>
      </c>
    </row>
    <row r="328" spans="1:5" x14ac:dyDescent="0.2">
      <c r="A328">
        <v>2.0628000000000002</v>
      </c>
      <c r="C328">
        <v>205.08500000000001</v>
      </c>
      <c r="E328">
        <v>0</v>
      </c>
    </row>
    <row r="329" spans="1:5" x14ac:dyDescent="0.2">
      <c r="A329">
        <v>6.36</v>
      </c>
      <c r="C329">
        <v>71.106999999999999</v>
      </c>
      <c r="E329">
        <v>8.1000000000000008E-7</v>
      </c>
    </row>
    <row r="330" spans="1:5" x14ac:dyDescent="0.2">
      <c r="A330">
        <v>238</v>
      </c>
      <c r="C330">
        <v>28.210999999999999</v>
      </c>
      <c r="E330">
        <v>2.0000000000000002E-5</v>
      </c>
    </row>
    <row r="331" spans="1:5" x14ac:dyDescent="0.2">
      <c r="A331">
        <v>129</v>
      </c>
      <c r="C331">
        <v>12.048</v>
      </c>
      <c r="E331">
        <v>1.2E-4</v>
      </c>
    </row>
    <row r="332" spans="1:5" x14ac:dyDescent="0.2">
      <c r="A332">
        <v>240</v>
      </c>
      <c r="C332">
        <v>0.39069999999999999</v>
      </c>
      <c r="E332">
        <v>1E-8</v>
      </c>
    </row>
    <row r="333" spans="1:5" x14ac:dyDescent="0.2">
      <c r="A333">
        <v>1</v>
      </c>
      <c r="C333">
        <v>0.16290000000000002</v>
      </c>
      <c r="E333">
        <v>1.5E-6</v>
      </c>
    </row>
    <row r="334" spans="1:5" x14ac:dyDescent="0.2">
      <c r="A334">
        <v>24</v>
      </c>
      <c r="C334">
        <v>8.6599999999999996E-2</v>
      </c>
      <c r="E334">
        <v>4.6E-6</v>
      </c>
    </row>
    <row r="335" spans="1:5" x14ac:dyDescent="0.2">
      <c r="A335">
        <v>4.1959999999999997</v>
      </c>
      <c r="C335">
        <v>0.18619999999999998</v>
      </c>
      <c r="E335">
        <v>2.0100000000000001E-5</v>
      </c>
    </row>
    <row r="336" spans="1:5" x14ac:dyDescent="0.2">
      <c r="A336">
        <v>15.385</v>
      </c>
      <c r="C336">
        <v>0.27339999999999998</v>
      </c>
      <c r="E336">
        <v>0</v>
      </c>
    </row>
    <row r="337" spans="1:5" x14ac:dyDescent="0.2">
      <c r="A337">
        <v>0.996</v>
      </c>
      <c r="C337">
        <v>0.1197</v>
      </c>
      <c r="E337">
        <v>3.0000000000000001E-6</v>
      </c>
    </row>
    <row r="338" spans="1:5" x14ac:dyDescent="0.2">
      <c r="A338">
        <v>14.9</v>
      </c>
      <c r="C338">
        <v>0.10920000000000001</v>
      </c>
      <c r="E338">
        <v>7.0000000000000005E-8</v>
      </c>
    </row>
    <row r="339" spans="1:5" x14ac:dyDescent="0.2">
      <c r="A339">
        <v>4.4000000000000004</v>
      </c>
      <c r="C339">
        <v>0.12390000000000001</v>
      </c>
      <c r="E339">
        <v>1.1399999999999999E-6</v>
      </c>
    </row>
    <row r="340" spans="1:5" x14ac:dyDescent="0.2">
      <c r="A340">
        <v>18</v>
      </c>
      <c r="C340">
        <v>0.18630000000000002</v>
      </c>
      <c r="E340">
        <v>1.7000000000000001E-7</v>
      </c>
    </row>
    <row r="341" spans="1:5" x14ac:dyDescent="0.2">
      <c r="A341">
        <v>41</v>
      </c>
      <c r="C341">
        <v>6.6900000000000001E-2</v>
      </c>
      <c r="E341">
        <v>6.1999999999999999E-7</v>
      </c>
    </row>
    <row r="342" spans="1:5" x14ac:dyDescent="0.2">
      <c r="A342">
        <v>2</v>
      </c>
      <c r="C342">
        <v>0.12740000000000001</v>
      </c>
      <c r="E342">
        <v>0</v>
      </c>
    </row>
    <row r="343" spans="1:5" x14ac:dyDescent="0.2">
      <c r="A343">
        <v>1</v>
      </c>
      <c r="C343">
        <v>7.1499999999999994E-2</v>
      </c>
      <c r="E343">
        <v>2.9E-5</v>
      </c>
    </row>
    <row r="344" spans="1:5" x14ac:dyDescent="0.2">
      <c r="A344">
        <v>24</v>
      </c>
      <c r="C344">
        <v>0.1158</v>
      </c>
      <c r="E344">
        <v>1.1999999999999999E-6</v>
      </c>
    </row>
    <row r="345" spans="1:5" x14ac:dyDescent="0.2">
      <c r="A345">
        <v>1.6</v>
      </c>
      <c r="C345">
        <v>8.8400000000000006E-2</v>
      </c>
      <c r="E345">
        <v>1.8100000000000003E-5</v>
      </c>
    </row>
    <row r="346" spans="1:5" x14ac:dyDescent="0.2">
      <c r="A346">
        <v>0.7</v>
      </c>
      <c r="C346">
        <v>0.11220000000000001</v>
      </c>
      <c r="E346">
        <v>0</v>
      </c>
    </row>
    <row r="347" spans="1:5" x14ac:dyDescent="0.2">
      <c r="A347">
        <v>113</v>
      </c>
      <c r="C347">
        <v>9.820000000000001E-2</v>
      </c>
      <c r="E347">
        <v>7.0300000000000001E-5</v>
      </c>
    </row>
    <row r="348" spans="1:5" x14ac:dyDescent="0.2">
      <c r="A348">
        <v>0.37</v>
      </c>
      <c r="C348">
        <v>0.26950000000000002</v>
      </c>
      <c r="E348">
        <v>1.6E-7</v>
      </c>
    </row>
    <row r="349" spans="1:5" x14ac:dyDescent="0.2">
      <c r="A349">
        <v>15</v>
      </c>
      <c r="C349">
        <v>0.15619999999999998</v>
      </c>
      <c r="E349">
        <v>2.7000000000000001E-7</v>
      </c>
    </row>
    <row r="350" spans="1:5" x14ac:dyDescent="0.2">
      <c r="A350">
        <v>28</v>
      </c>
      <c r="C350">
        <v>7.7900000000000011E-2</v>
      </c>
      <c r="E350">
        <v>0</v>
      </c>
    </row>
    <row r="351" spans="1:5" x14ac:dyDescent="0.2">
      <c r="A351">
        <v>21</v>
      </c>
      <c r="C351">
        <v>4.87E-2</v>
      </c>
      <c r="E351">
        <v>5.7300000000000002E-6</v>
      </c>
    </row>
    <row r="352" spans="1:5" x14ac:dyDescent="0.2">
      <c r="A352">
        <v>6.7</v>
      </c>
      <c r="C352">
        <v>9.5899999999999999E-2</v>
      </c>
      <c r="E352">
        <v>2.5700000000000001E-4</v>
      </c>
    </row>
    <row r="353" spans="1:5" x14ac:dyDescent="0.2">
      <c r="A353">
        <v>51</v>
      </c>
      <c r="C353">
        <v>0.1021</v>
      </c>
      <c r="E353">
        <v>1.2149999999999999E-3</v>
      </c>
    </row>
    <row r="354" spans="1:5" x14ac:dyDescent="0.2">
      <c r="A354">
        <v>62.6</v>
      </c>
      <c r="C354">
        <v>5.6899999999999999E-2</v>
      </c>
      <c r="E354">
        <v>2.0000000000000001E-4</v>
      </c>
    </row>
    <row r="355" spans="1:5" x14ac:dyDescent="0.2">
      <c r="A355">
        <v>165</v>
      </c>
      <c r="C355">
        <v>0.1242</v>
      </c>
      <c r="E355">
        <v>5.0999999999999995E-3</v>
      </c>
    </row>
    <row r="356" spans="1:5" x14ac:dyDescent="0.2">
      <c r="A356">
        <v>101</v>
      </c>
      <c r="C356">
        <v>0.1</v>
      </c>
      <c r="E356">
        <v>3.8000000000000002E-4</v>
      </c>
    </row>
    <row r="357" spans="1:5" x14ac:dyDescent="0.2">
      <c r="A357">
        <v>113</v>
      </c>
      <c r="C357">
        <v>0.02</v>
      </c>
      <c r="E357">
        <v>6.0999999999999997E-4</v>
      </c>
    </row>
    <row r="358" spans="1:5" x14ac:dyDescent="0.2">
      <c r="A358">
        <v>55.4</v>
      </c>
      <c r="C358">
        <v>0.34</v>
      </c>
      <c r="E358">
        <v>1.3000000000000002E-4</v>
      </c>
    </row>
    <row r="359" spans="1:5" x14ac:dyDescent="0.2">
      <c r="A359">
        <v>73.8</v>
      </c>
      <c r="C359">
        <v>0.252</v>
      </c>
      <c r="E359">
        <v>6.8999999999999997E-4</v>
      </c>
    </row>
    <row r="360" spans="1:5" x14ac:dyDescent="0.2">
      <c r="A360">
        <v>62.2</v>
      </c>
      <c r="C360">
        <v>0.11</v>
      </c>
      <c r="E360">
        <v>1.2999999999999999E-5</v>
      </c>
    </row>
    <row r="361" spans="1:5" x14ac:dyDescent="0.2">
      <c r="A361">
        <v>12.2</v>
      </c>
      <c r="C361">
        <v>5.3999999999999999E-2</v>
      </c>
      <c r="E361">
        <v>5.0100000000000003E-4</v>
      </c>
    </row>
    <row r="362" spans="1:5" x14ac:dyDescent="0.2">
      <c r="A362">
        <v>4.04</v>
      </c>
      <c r="C362">
        <v>5.8999999999999997E-2</v>
      </c>
      <c r="E362">
        <v>4.1370000000000001E-3</v>
      </c>
    </row>
    <row r="363" spans="1:5" x14ac:dyDescent="0.2">
      <c r="A363">
        <v>36</v>
      </c>
      <c r="C363">
        <v>0.33</v>
      </c>
      <c r="E363">
        <v>9.5600000000000004E-4</v>
      </c>
    </row>
    <row r="364" spans="1:5" x14ac:dyDescent="0.2">
      <c r="A364">
        <v>1</v>
      </c>
      <c r="C364">
        <v>0.14599999999999999</v>
      </c>
      <c r="E364">
        <v>6.8000000000000005E-4</v>
      </c>
    </row>
    <row r="365" spans="1:5" x14ac:dyDescent="0.2">
      <c r="A365">
        <v>24</v>
      </c>
      <c r="C365">
        <v>3.1459999999999999</v>
      </c>
      <c r="E365">
        <v>1.1709999999999999E-3</v>
      </c>
    </row>
    <row r="366" spans="1:5" x14ac:dyDescent="0.2">
      <c r="A366">
        <v>4.8</v>
      </c>
      <c r="C366">
        <v>0</v>
      </c>
      <c r="E366">
        <v>1.3E-7</v>
      </c>
    </row>
    <row r="367" spans="1:5" x14ac:dyDescent="0.2">
      <c r="A367">
        <v>2.7</v>
      </c>
      <c r="C367">
        <v>0.34799999999999998</v>
      </c>
      <c r="E367">
        <v>3.3000000000000002E-7</v>
      </c>
    </row>
    <row r="368" spans="1:5" x14ac:dyDescent="0.2">
      <c r="A368">
        <v>5.4</v>
      </c>
      <c r="C368">
        <v>0.64300000000000002</v>
      </c>
      <c r="E368">
        <v>4.0639999999999999E-3</v>
      </c>
    </row>
    <row r="369" spans="1:5" x14ac:dyDescent="0.2">
      <c r="A369">
        <v>2.2000000000000002</v>
      </c>
      <c r="C369">
        <v>0.23300000000000001</v>
      </c>
      <c r="E369">
        <v>7.8399999999999997E-4</v>
      </c>
    </row>
    <row r="370" spans="1:5" x14ac:dyDescent="0.2">
      <c r="A370">
        <v>16.48</v>
      </c>
      <c r="C370">
        <v>9.6000000000000002E-2</v>
      </c>
      <c r="E370">
        <v>1.5479999999999999E-3</v>
      </c>
    </row>
    <row r="371" spans="1:5" x14ac:dyDescent="0.2">
      <c r="A371">
        <v>6.71</v>
      </c>
      <c r="C371">
        <v>0.41799999999999998</v>
      </c>
      <c r="E371">
        <v>1.1460000000000001E-3</v>
      </c>
    </row>
    <row r="372" spans="1:5" x14ac:dyDescent="0.2">
      <c r="A372">
        <v>57.18</v>
      </c>
      <c r="C372">
        <v>0.30099999999999999</v>
      </c>
      <c r="E372">
        <v>2.362E-3</v>
      </c>
    </row>
    <row r="373" spans="1:5" x14ac:dyDescent="0.2">
      <c r="A373">
        <v>20.91</v>
      </c>
      <c r="C373">
        <v>0.109</v>
      </c>
      <c r="E373">
        <v>1E-3</v>
      </c>
    </row>
    <row r="374" spans="1:5" x14ac:dyDescent="0.2">
      <c r="A374">
        <v>4.82</v>
      </c>
      <c r="C374">
        <v>0</v>
      </c>
      <c r="E374">
        <v>1.7639999999999999E-3</v>
      </c>
    </row>
    <row r="375" spans="1:5" x14ac:dyDescent="0.2">
      <c r="A375">
        <v>0.02</v>
      </c>
      <c r="C375">
        <v>0.17599999999999999</v>
      </c>
      <c r="E375">
        <v>1.688E-3</v>
      </c>
    </row>
    <row r="376" spans="1:5" x14ac:dyDescent="0.2">
      <c r="A376">
        <v>2.69</v>
      </c>
      <c r="C376">
        <v>0.22500000000000001</v>
      </c>
      <c r="E376">
        <v>3.7000000000000002E-6</v>
      </c>
    </row>
    <row r="377" spans="1:5" x14ac:dyDescent="0.2">
      <c r="A377">
        <v>0.25</v>
      </c>
      <c r="C377">
        <v>0</v>
      </c>
      <c r="E377">
        <v>1.7000000000000001E-7</v>
      </c>
    </row>
    <row r="378" spans="1:5" x14ac:dyDescent="0.2">
      <c r="A378">
        <v>170.9</v>
      </c>
      <c r="C378">
        <v>6.2E-2</v>
      </c>
      <c r="E378">
        <v>8.6540000000000002E-3</v>
      </c>
    </row>
    <row r="379" spans="1:5" x14ac:dyDescent="0.2">
      <c r="A379">
        <v>129</v>
      </c>
      <c r="C379">
        <v>0.499</v>
      </c>
      <c r="E379">
        <v>1.841E-3</v>
      </c>
    </row>
    <row r="380" spans="1:5" x14ac:dyDescent="0.2">
      <c r="A380">
        <v>24</v>
      </c>
      <c r="C380">
        <v>0.56100000000000005</v>
      </c>
      <c r="E380">
        <v>1.2E-8</v>
      </c>
    </row>
    <row r="381" spans="1:5" x14ac:dyDescent="0.2">
      <c r="A381">
        <v>8</v>
      </c>
      <c r="C381">
        <v>0.19400000000000001</v>
      </c>
      <c r="E381">
        <v>9.6900000000000003E-4</v>
      </c>
    </row>
    <row r="382" spans="1:5" x14ac:dyDescent="0.2">
      <c r="A382">
        <v>1350</v>
      </c>
      <c r="C382">
        <v>0.13800000000000001</v>
      </c>
      <c r="E382">
        <v>1.15E-6</v>
      </c>
    </row>
    <row r="383" spans="1:5" x14ac:dyDescent="0.2">
      <c r="A383">
        <v>0.193</v>
      </c>
      <c r="C383">
        <v>0.14000000000000001</v>
      </c>
      <c r="E383">
        <v>2.7999999999999996E-10</v>
      </c>
    </row>
    <row r="384" spans="1:5" x14ac:dyDescent="0.2">
      <c r="A384">
        <v>169000</v>
      </c>
      <c r="C384">
        <v>0.42499999999999999</v>
      </c>
      <c r="E384">
        <v>7.6799999999999993E-6</v>
      </c>
    </row>
    <row r="385" spans="1:5" x14ac:dyDescent="0.2">
      <c r="A385">
        <v>468.2</v>
      </c>
      <c r="C385">
        <v>1.5089999999999999</v>
      </c>
      <c r="E385">
        <v>3.1E-8</v>
      </c>
    </row>
    <row r="386" spans="1:5" x14ac:dyDescent="0.2">
      <c r="A386">
        <v>342.8</v>
      </c>
      <c r="C386">
        <v>0.58499999999999996</v>
      </c>
      <c r="E386">
        <v>2.0000000000000001E-10</v>
      </c>
    </row>
    <row r="387" spans="1:5" x14ac:dyDescent="0.2">
      <c r="A387">
        <v>400.2</v>
      </c>
      <c r="C387">
        <v>0.48099999999999998</v>
      </c>
      <c r="E387">
        <v>1.6899999999999999E-6</v>
      </c>
    </row>
    <row r="388" spans="1:5" x14ac:dyDescent="0.2">
      <c r="A388">
        <v>439</v>
      </c>
      <c r="C388">
        <v>0.222</v>
      </c>
      <c r="E388">
        <v>1.4999999999999999E-8</v>
      </c>
    </row>
    <row r="389" spans="1:5" x14ac:dyDescent="0.2">
      <c r="A389">
        <v>382</v>
      </c>
      <c r="C389">
        <v>0.30599999999999999</v>
      </c>
      <c r="E389">
        <v>4.7999999999999997E-12</v>
      </c>
    </row>
    <row r="390" spans="1:5" x14ac:dyDescent="0.2">
      <c r="A390">
        <v>200.6</v>
      </c>
      <c r="C390">
        <v>0.28000000000000003</v>
      </c>
      <c r="E390">
        <v>3.4100000000000001E-10</v>
      </c>
    </row>
    <row r="391" spans="1:5" x14ac:dyDescent="0.2">
      <c r="A391">
        <v>403.8</v>
      </c>
      <c r="C391">
        <v>9.820000000000001E-2</v>
      </c>
      <c r="E391">
        <v>1.8E-10</v>
      </c>
    </row>
    <row r="392" spans="1:5" x14ac:dyDescent="0.2">
      <c r="A392">
        <v>411.2</v>
      </c>
      <c r="C392">
        <v>0.1158</v>
      </c>
      <c r="E392">
        <v>2.8999999999999998E-3</v>
      </c>
    </row>
    <row r="393" spans="1:5" x14ac:dyDescent="0.2">
      <c r="A393">
        <v>368.2</v>
      </c>
      <c r="C393">
        <v>0.10920000000000001</v>
      </c>
      <c r="E393">
        <v>6.9699999999999996E-3</v>
      </c>
    </row>
    <row r="394" spans="1:5" x14ac:dyDescent="0.2">
      <c r="A394">
        <v>231.6</v>
      </c>
      <c r="C394">
        <v>8.1780000000000008</v>
      </c>
      <c r="E394">
        <v>1.4000000000000001E-7</v>
      </c>
    </row>
    <row r="395" spans="1:5" x14ac:dyDescent="0.2">
      <c r="A395">
        <v>512</v>
      </c>
      <c r="C395">
        <v>5.8689999999999998</v>
      </c>
      <c r="E395">
        <v>2.4600000000000002E-6</v>
      </c>
    </row>
    <row r="396" spans="1:5" x14ac:dyDescent="0.2">
      <c r="A396">
        <v>486.8</v>
      </c>
      <c r="C396">
        <v>1.738</v>
      </c>
      <c r="E396">
        <v>2.3999999999999998E-7</v>
      </c>
    </row>
    <row r="397" spans="1:5" x14ac:dyDescent="0.2">
      <c r="A397">
        <v>487.6</v>
      </c>
      <c r="C397">
        <v>1.524</v>
      </c>
      <c r="E397">
        <v>0</v>
      </c>
    </row>
    <row r="398" spans="1:5" x14ac:dyDescent="0.2">
      <c r="A398">
        <v>188.2</v>
      </c>
      <c r="C398">
        <v>2.101</v>
      </c>
      <c r="E398">
        <v>1E-4</v>
      </c>
    </row>
    <row r="399" spans="1:5" x14ac:dyDescent="0.2">
      <c r="A399">
        <v>262</v>
      </c>
      <c r="C399">
        <v>1.1060000000000001</v>
      </c>
      <c r="E399">
        <v>2E-8</v>
      </c>
    </row>
    <row r="400" spans="1:5" x14ac:dyDescent="0.2">
      <c r="A400">
        <v>406.44</v>
      </c>
      <c r="C400">
        <v>0.41699999999999998</v>
      </c>
      <c r="E400">
        <v>3.5999999999999998E-8</v>
      </c>
    </row>
    <row r="401" spans="1:5" x14ac:dyDescent="0.2">
      <c r="A401">
        <v>436.56</v>
      </c>
      <c r="C401">
        <v>5.7249999999999996</v>
      </c>
      <c r="E401">
        <v>0</v>
      </c>
    </row>
    <row r="402" spans="1:5" x14ac:dyDescent="0.2">
      <c r="A402">
        <v>374.4</v>
      </c>
      <c r="C402">
        <v>2.66</v>
      </c>
      <c r="E402">
        <v>3.4999999999999999E-6</v>
      </c>
    </row>
    <row r="403" spans="1:5" x14ac:dyDescent="0.2">
      <c r="A403">
        <v>206.8</v>
      </c>
      <c r="C403">
        <v>1.216</v>
      </c>
      <c r="E403">
        <v>5.3399999999999997E-6</v>
      </c>
    </row>
    <row r="404" spans="1:5" x14ac:dyDescent="0.2">
      <c r="A404">
        <v>1</v>
      </c>
      <c r="C404">
        <v>1.22</v>
      </c>
      <c r="E404">
        <v>2.5170000000000001E-5</v>
      </c>
    </row>
    <row r="405" spans="1:5" x14ac:dyDescent="0.2">
      <c r="A405">
        <v>186.7</v>
      </c>
      <c r="C405">
        <v>5.7000000000000002E-2</v>
      </c>
      <c r="E405">
        <v>6.2099999999999998E-6</v>
      </c>
    </row>
    <row r="406" spans="1:5" x14ac:dyDescent="0.2">
      <c r="A406">
        <v>0.66</v>
      </c>
      <c r="C406">
        <v>0.192</v>
      </c>
      <c r="E406">
        <v>2.285E-5</v>
      </c>
    </row>
    <row r="407" spans="1:5" x14ac:dyDescent="0.2">
      <c r="A407">
        <v>0.51</v>
      </c>
      <c r="C407">
        <v>0</v>
      </c>
      <c r="E407">
        <v>8.4399999999999988E-6</v>
      </c>
    </row>
    <row r="408" spans="1:5" x14ac:dyDescent="0.2">
      <c r="A408">
        <v>14.9</v>
      </c>
      <c r="C408">
        <v>1E-3</v>
      </c>
      <c r="E408">
        <v>5.8560000000000002E-5</v>
      </c>
    </row>
    <row r="409" spans="1:5" x14ac:dyDescent="0.2">
      <c r="A409">
        <v>170.965</v>
      </c>
      <c r="C409">
        <v>2E-3</v>
      </c>
      <c r="E409">
        <v>7.889999999999999E-6</v>
      </c>
    </row>
    <row r="410" spans="1:5" x14ac:dyDescent="0.2">
      <c r="A410">
        <v>14.895</v>
      </c>
      <c r="C410">
        <v>3.4000000000000002E-2</v>
      </c>
      <c r="E410">
        <v>1.1579999999999999E-5</v>
      </c>
    </row>
    <row r="411" spans="1:5" x14ac:dyDescent="0.2">
      <c r="A411">
        <v>9.6549999999999994</v>
      </c>
      <c r="C411">
        <v>7.3999999999999996E-2</v>
      </c>
      <c r="E411">
        <v>3.5099999999999999E-6</v>
      </c>
    </row>
    <row r="412" spans="1:5" x14ac:dyDescent="0.2">
      <c r="A412">
        <v>13.2</v>
      </c>
      <c r="C412">
        <v>1E-3</v>
      </c>
      <c r="E412">
        <v>3.3299999999999999E-6</v>
      </c>
    </row>
    <row r="413" spans="1:5" x14ac:dyDescent="0.2">
      <c r="A413">
        <v>404.3</v>
      </c>
      <c r="C413">
        <v>7.0000000000000001E-3</v>
      </c>
      <c r="E413">
        <v>2.8100000000000002E-6</v>
      </c>
    </row>
    <row r="414" spans="1:5" x14ac:dyDescent="0.2">
      <c r="A414">
        <v>2.3E-3</v>
      </c>
      <c r="C414">
        <v>0</v>
      </c>
      <c r="E414">
        <v>3.1E-7</v>
      </c>
    </row>
    <row r="415" spans="1:5" x14ac:dyDescent="0.2">
      <c r="A415">
        <v>113</v>
      </c>
      <c r="C415">
        <v>0.35</v>
      </c>
      <c r="E415">
        <v>6.3189999999999996E-5</v>
      </c>
    </row>
    <row r="416" spans="1:5" x14ac:dyDescent="0.2">
      <c r="A416">
        <v>7.9100000000000004E-3</v>
      </c>
      <c r="C416">
        <v>0.75</v>
      </c>
      <c r="E416">
        <v>2.3999999999999998E-7</v>
      </c>
    </row>
    <row r="417" spans="1:5" x14ac:dyDescent="0.2">
      <c r="A417">
        <v>56.3</v>
      </c>
      <c r="C417">
        <v>1.02</v>
      </c>
      <c r="E417">
        <v>8.9000000000000012E-6</v>
      </c>
    </row>
    <row r="418" spans="1:5" x14ac:dyDescent="0.2">
      <c r="A418">
        <v>51.2</v>
      </c>
      <c r="C418">
        <v>0.89</v>
      </c>
      <c r="E418">
        <v>1.643E-5</v>
      </c>
    </row>
    <row r="419" spans="1:5" x14ac:dyDescent="0.2">
      <c r="A419">
        <v>48.5</v>
      </c>
      <c r="C419">
        <v>3.9</v>
      </c>
      <c r="E419">
        <v>5.3199999999999999E-6</v>
      </c>
    </row>
    <row r="420" spans="1:5" x14ac:dyDescent="0.2">
      <c r="A420">
        <v>2.92</v>
      </c>
      <c r="C420">
        <v>0.62</v>
      </c>
      <c r="E420">
        <v>4.8999999999999997E-7</v>
      </c>
    </row>
    <row r="421" spans="1:5" x14ac:dyDescent="0.2">
      <c r="A421">
        <v>133</v>
      </c>
      <c r="C421">
        <v>0.28000000000000003</v>
      </c>
      <c r="E421">
        <v>2.4537000000000002E-4</v>
      </c>
    </row>
    <row r="422" spans="1:5" x14ac:dyDescent="0.2">
      <c r="A422">
        <v>36.299999999999997</v>
      </c>
      <c r="C422">
        <v>0.21</v>
      </c>
      <c r="E422">
        <v>2.1820000000000001E-5</v>
      </c>
    </row>
    <row r="423" spans="1:5" x14ac:dyDescent="0.2">
      <c r="A423">
        <v>6.9080000000000004</v>
      </c>
      <c r="C423">
        <v>0.31</v>
      </c>
      <c r="E423">
        <v>5.9999999999999995E-8</v>
      </c>
    </row>
    <row r="424" spans="1:5" x14ac:dyDescent="0.2">
      <c r="A424">
        <v>2.19</v>
      </c>
      <c r="C424">
        <v>0.48</v>
      </c>
      <c r="E424">
        <v>1.0185E-4</v>
      </c>
    </row>
    <row r="425" spans="1:5" x14ac:dyDescent="0.2">
      <c r="A425">
        <v>0.23469999999999999</v>
      </c>
      <c r="C425">
        <v>0.27141999999999999</v>
      </c>
      <c r="E425">
        <v>5.1100000000000002E-6</v>
      </c>
    </row>
    <row r="426" spans="1:5" x14ac:dyDescent="0.2">
      <c r="A426">
        <v>1401</v>
      </c>
      <c r="C426">
        <v>0.28887000000000002</v>
      </c>
      <c r="E426">
        <v>2.7160000000000001E-5</v>
      </c>
    </row>
    <row r="427" spans="1:5" x14ac:dyDescent="0.2">
      <c r="A427">
        <v>26.3</v>
      </c>
      <c r="C427">
        <v>0.30960000000000004</v>
      </c>
      <c r="E427">
        <v>5.2520000000000005E-5</v>
      </c>
    </row>
    <row r="428" spans="1:5" x14ac:dyDescent="0.2">
      <c r="A428">
        <v>32</v>
      </c>
      <c r="C428">
        <v>0.11916</v>
      </c>
      <c r="E428">
        <v>5.9999999999999995E-8</v>
      </c>
    </row>
    <row r="429" spans="1:5" x14ac:dyDescent="0.2">
      <c r="A429">
        <v>10.9</v>
      </c>
      <c r="C429">
        <v>0.21727000000000002</v>
      </c>
      <c r="E429">
        <v>2.4537000000000002E-4</v>
      </c>
    </row>
    <row r="430" spans="1:5" x14ac:dyDescent="0.2">
      <c r="A430">
        <v>2.5750000000000002</v>
      </c>
      <c r="C430">
        <v>0.31839999999999996</v>
      </c>
      <c r="E430">
        <v>7.0000000000000001E-3</v>
      </c>
    </row>
    <row r="431" spans="1:5" x14ac:dyDescent="0.2">
      <c r="A431">
        <v>12.2</v>
      </c>
      <c r="C431">
        <v>9.8489999999999994E-2</v>
      </c>
      <c r="E431">
        <v>1.8499999999999999E-2</v>
      </c>
    </row>
    <row r="432" spans="1:5" x14ac:dyDescent="0.2">
      <c r="A432">
        <v>15.9</v>
      </c>
      <c r="C432">
        <v>0.12051000000000001</v>
      </c>
      <c r="E432">
        <v>8.0000000000000002E-3</v>
      </c>
    </row>
    <row r="433" spans="1:5" x14ac:dyDescent="0.2">
      <c r="A433">
        <v>40</v>
      </c>
      <c r="C433">
        <v>3.8719999999999997E-2</v>
      </c>
      <c r="E433">
        <v>8.9999999999999998E-4</v>
      </c>
    </row>
    <row r="434" spans="1:5" x14ac:dyDescent="0.2">
      <c r="A434">
        <v>56.5</v>
      </c>
      <c r="C434">
        <v>0.53940999999999995</v>
      </c>
      <c r="E434">
        <v>2.8E-3</v>
      </c>
    </row>
    <row r="435" spans="1:5" x14ac:dyDescent="0.2">
      <c r="A435">
        <v>45.7</v>
      </c>
      <c r="C435">
        <v>2.7899999999999999E-3</v>
      </c>
      <c r="E435">
        <v>5.0000000000000001E-3</v>
      </c>
    </row>
    <row r="436" spans="1:5" x14ac:dyDescent="0.2">
      <c r="A436">
        <v>46.1</v>
      </c>
      <c r="C436">
        <v>0.25544</v>
      </c>
      <c r="E436">
        <v>3.4000000000000002E-2</v>
      </c>
    </row>
    <row r="437" spans="1:5" x14ac:dyDescent="0.2">
      <c r="A437">
        <v>51.2</v>
      </c>
      <c r="C437">
        <v>0.14044999999999999</v>
      </c>
      <c r="E437">
        <v>1.2999999999999999E-3</v>
      </c>
    </row>
    <row r="438" spans="1:5" x14ac:dyDescent="0.2">
      <c r="A438">
        <v>31.7</v>
      </c>
      <c r="C438">
        <v>3.356E-2</v>
      </c>
      <c r="E438">
        <v>4.7000000000000002E-3</v>
      </c>
    </row>
    <row r="439" spans="1:5" x14ac:dyDescent="0.2">
      <c r="A439">
        <v>37.799999999999997</v>
      </c>
      <c r="C439">
        <v>7.7060000000000003E-2</v>
      </c>
      <c r="E439">
        <v>1.6999999999999999E-3</v>
      </c>
    </row>
    <row r="440" spans="1:5" x14ac:dyDescent="0.2">
      <c r="A440">
        <v>48.5</v>
      </c>
      <c r="C440">
        <v>2.2239999999999999E-2</v>
      </c>
      <c r="E440">
        <v>8.8999999999999999E-3</v>
      </c>
    </row>
    <row r="441" spans="1:5" x14ac:dyDescent="0.2">
      <c r="A441">
        <v>0.9</v>
      </c>
      <c r="C441">
        <v>8.8689999999999991E-2</v>
      </c>
      <c r="E441">
        <v>3.3999999999999998E-3</v>
      </c>
    </row>
    <row r="442" spans="1:5" x14ac:dyDescent="0.2">
      <c r="A442">
        <v>4.9400000000000004</v>
      </c>
      <c r="C442">
        <v>0.10647</v>
      </c>
      <c r="E442">
        <v>2.58E-2</v>
      </c>
    </row>
    <row r="443" spans="1:5" x14ac:dyDescent="0.2">
      <c r="A443">
        <v>11.1</v>
      </c>
      <c r="C443">
        <v>0.14962</v>
      </c>
      <c r="E443">
        <v>1.6999999999999999E-3</v>
      </c>
    </row>
    <row r="444" spans="1:5" x14ac:dyDescent="0.2">
      <c r="A444">
        <v>150</v>
      </c>
      <c r="C444">
        <v>0.13731000000000002</v>
      </c>
      <c r="E444">
        <v>8.5000000000000006E-3</v>
      </c>
    </row>
    <row r="445" spans="1:5" x14ac:dyDescent="0.2">
      <c r="A445">
        <v>9.1</v>
      </c>
      <c r="C445">
        <v>0.62891999999999992</v>
      </c>
      <c r="E445">
        <v>4.0000000000000002E-4</v>
      </c>
    </row>
    <row r="446" spans="1:5" x14ac:dyDescent="0.2">
      <c r="A446">
        <v>636</v>
      </c>
      <c r="C446">
        <v>1.1887999999999999</v>
      </c>
      <c r="E446">
        <v>9.7999999999999997E-4</v>
      </c>
    </row>
    <row r="447" spans="1:5" x14ac:dyDescent="0.2">
      <c r="A447">
        <v>228</v>
      </c>
      <c r="C447">
        <v>0.2399</v>
      </c>
      <c r="E447">
        <v>0.17199999999999999</v>
      </c>
    </row>
    <row r="448" spans="1:5" x14ac:dyDescent="0.2">
      <c r="A448">
        <v>1353</v>
      </c>
      <c r="C448">
        <v>0.23447999999999999</v>
      </c>
      <c r="E448">
        <v>0.51900000000000002</v>
      </c>
    </row>
    <row r="449" spans="1:5" x14ac:dyDescent="0.2">
      <c r="A449">
        <v>55.4</v>
      </c>
      <c r="C449">
        <v>0.25428000000000001</v>
      </c>
      <c r="E449">
        <v>5.0000000000000001E-3</v>
      </c>
    </row>
    <row r="450" spans="1:5" x14ac:dyDescent="0.2">
      <c r="A450">
        <v>73.8</v>
      </c>
      <c r="C450">
        <v>2.7899999999999999E-3</v>
      </c>
      <c r="E450">
        <v>3.0000000000000001E-3</v>
      </c>
    </row>
    <row r="451" spans="1:5" x14ac:dyDescent="0.2">
      <c r="A451">
        <v>37.700000000000003</v>
      </c>
      <c r="C451">
        <v>1.1887999999999999</v>
      </c>
      <c r="E451">
        <v>2.5000000000000001E-3</v>
      </c>
    </row>
    <row r="452" spans="1:5" x14ac:dyDescent="0.2">
      <c r="A452">
        <v>97.2</v>
      </c>
      <c r="C452">
        <v>4.8399999999999999E-2</v>
      </c>
      <c r="E452">
        <v>5.7999999999999996E-3</v>
      </c>
    </row>
    <row r="453" spans="1:5" x14ac:dyDescent="0.2">
      <c r="A453">
        <v>48.5</v>
      </c>
      <c r="C453">
        <v>4.0399999999999998E-2</v>
      </c>
      <c r="E453">
        <v>0.38</v>
      </c>
    </row>
    <row r="454" spans="1:5" x14ac:dyDescent="0.2">
      <c r="A454">
        <v>56.5</v>
      </c>
      <c r="C454">
        <v>3.4700000000000002E-2</v>
      </c>
      <c r="E454">
        <v>1.3919999999999999</v>
      </c>
    </row>
    <row r="455" spans="1:5" x14ac:dyDescent="0.2">
      <c r="A455">
        <v>2.2000000000000002</v>
      </c>
      <c r="C455">
        <v>1.2E-2</v>
      </c>
      <c r="E455">
        <v>8.0000000000000007E-5</v>
      </c>
    </row>
    <row r="456" spans="1:5" x14ac:dyDescent="0.2">
      <c r="A456">
        <v>11.3</v>
      </c>
      <c r="C456">
        <v>2.9899999999999999E-2</v>
      </c>
      <c r="E456">
        <v>7.4199999999999995E-3</v>
      </c>
    </row>
    <row r="457" spans="1:5" x14ac:dyDescent="0.2">
      <c r="A457">
        <v>50</v>
      </c>
      <c r="C457">
        <v>2.58E-2</v>
      </c>
      <c r="E457">
        <v>1.8E-3</v>
      </c>
    </row>
    <row r="458" spans="1:5" x14ac:dyDescent="0.2">
      <c r="A458">
        <v>133</v>
      </c>
      <c r="C458">
        <v>4.6899999999999997E-2</v>
      </c>
      <c r="E458">
        <v>1.8200000000000001E-2</v>
      </c>
    </row>
    <row r="459" spans="1:5" x14ac:dyDescent="0.2">
      <c r="A459">
        <v>101</v>
      </c>
      <c r="C459">
        <v>8.9999999999999993E-3</v>
      </c>
      <c r="E459">
        <v>2.7E-2</v>
      </c>
    </row>
    <row r="460" spans="1:5" x14ac:dyDescent="0.2">
      <c r="A460">
        <v>8.6999999999999993</v>
      </c>
      <c r="C460">
        <v>3.5000000000000003E-2</v>
      </c>
      <c r="E460">
        <v>1.2009999999999999E-4</v>
      </c>
    </row>
    <row r="461" spans="1:5" x14ac:dyDescent="0.2">
      <c r="A461">
        <v>14.4</v>
      </c>
      <c r="C461">
        <v>8.5999999999999993E-2</v>
      </c>
      <c r="E461">
        <v>4.8769999999999998E-4</v>
      </c>
    </row>
    <row r="462" spans="1:5" x14ac:dyDescent="0.2">
      <c r="A462">
        <v>113</v>
      </c>
      <c r="C462">
        <v>1.6E-2</v>
      </c>
      <c r="E462">
        <v>2.8999999999999998E-6</v>
      </c>
    </row>
    <row r="463" spans="1:5" x14ac:dyDescent="0.2">
      <c r="A463">
        <v>240</v>
      </c>
      <c r="C463">
        <v>1.4999999999999999E-2</v>
      </c>
      <c r="E463">
        <v>1.19E-5</v>
      </c>
    </row>
    <row r="464" spans="1:5" x14ac:dyDescent="0.2">
      <c r="A464">
        <v>1.6</v>
      </c>
      <c r="C464">
        <v>0.39100000000000001</v>
      </c>
      <c r="E464">
        <v>2.1000000000000002E-6</v>
      </c>
    </row>
    <row r="465" spans="1:5" x14ac:dyDescent="0.2">
      <c r="A465">
        <v>56.4</v>
      </c>
      <c r="C465">
        <v>0.11600000000000001</v>
      </c>
      <c r="E465">
        <v>3.7000000000000002E-6</v>
      </c>
    </row>
    <row r="466" spans="1:5" x14ac:dyDescent="0.2">
      <c r="A466">
        <v>4.4000000000000004</v>
      </c>
      <c r="C466">
        <v>0.156</v>
      </c>
      <c r="E466">
        <v>8.0000000000000007E-7</v>
      </c>
    </row>
    <row r="467" spans="1:5" x14ac:dyDescent="0.2">
      <c r="A467">
        <v>1</v>
      </c>
      <c r="C467">
        <v>0</v>
      </c>
      <c r="E467">
        <v>1.6000000000000001E-6</v>
      </c>
    </row>
    <row r="468" spans="1:5" x14ac:dyDescent="0.2">
      <c r="A468">
        <v>8.4789999999999992</v>
      </c>
      <c r="C468">
        <v>1.6E-2</v>
      </c>
      <c r="E468">
        <v>5.4E-6</v>
      </c>
    </row>
    <row r="469" spans="1:5" x14ac:dyDescent="0.2">
      <c r="A469">
        <v>4.1959999999999997</v>
      </c>
      <c r="C469">
        <v>3.6799999999999999E-2</v>
      </c>
      <c r="E469">
        <v>4.2000000000000004E-6</v>
      </c>
    </row>
    <row r="470" spans="1:5" x14ac:dyDescent="0.2">
      <c r="A470">
        <v>15.385</v>
      </c>
      <c r="C470">
        <v>0.16669999999999999</v>
      </c>
      <c r="E470">
        <v>1.8999999999999998E-6</v>
      </c>
    </row>
    <row r="471" spans="1:5" x14ac:dyDescent="0.2">
      <c r="A471">
        <v>1</v>
      </c>
      <c r="C471">
        <v>9.7200000000000009E-2</v>
      </c>
      <c r="E471">
        <v>2.7999999999999999E-6</v>
      </c>
    </row>
    <row r="472" spans="1:5" x14ac:dyDescent="0.2">
      <c r="A472">
        <v>2.0649999999999999</v>
      </c>
      <c r="C472">
        <v>9.2799999999999994E-2</v>
      </c>
      <c r="E472">
        <v>5.38E-5</v>
      </c>
    </row>
    <row r="473" spans="1:5" x14ac:dyDescent="0.2">
      <c r="A473">
        <v>11.932</v>
      </c>
      <c r="C473">
        <v>9.1999999999999998E-3</v>
      </c>
      <c r="E473">
        <v>2.3E-6</v>
      </c>
    </row>
    <row r="474" spans="1:5" x14ac:dyDescent="0.2">
      <c r="A474">
        <v>4.4000000000000004</v>
      </c>
      <c r="C474">
        <v>1.77E-2</v>
      </c>
      <c r="E474">
        <v>3.8999999999999999E-6</v>
      </c>
    </row>
    <row r="475" spans="1:5" x14ac:dyDescent="0.2">
      <c r="A475">
        <v>14.9</v>
      </c>
      <c r="C475">
        <v>0.67200000000000004</v>
      </c>
      <c r="E475">
        <v>2.7E-6</v>
      </c>
    </row>
    <row r="476" spans="1:5" x14ac:dyDescent="0.2">
      <c r="A476">
        <v>23</v>
      </c>
      <c r="C476">
        <v>2.1749999999999998</v>
      </c>
      <c r="E476">
        <v>1.7000000000000001E-4</v>
      </c>
    </row>
    <row r="477" spans="1:5" x14ac:dyDescent="0.2">
      <c r="A477">
        <v>170</v>
      </c>
      <c r="C477">
        <v>1.2999999999999999E-3</v>
      </c>
      <c r="E477">
        <v>2.5999999999999998E-4</v>
      </c>
    </row>
    <row r="478" spans="1:5" x14ac:dyDescent="0.2">
      <c r="A478">
        <v>14.74</v>
      </c>
      <c r="C478">
        <v>2.3E-3</v>
      </c>
      <c r="E478">
        <v>4.8000000000000001E-5</v>
      </c>
    </row>
    <row r="479" spans="1:5" x14ac:dyDescent="0.2">
      <c r="A479">
        <v>18.66</v>
      </c>
      <c r="C479">
        <v>0.17780000000000001</v>
      </c>
      <c r="E479">
        <v>4.4670000000000004E-5</v>
      </c>
    </row>
    <row r="480" spans="1:5" x14ac:dyDescent="0.2">
      <c r="A480">
        <v>1.5649999999999999</v>
      </c>
      <c r="C480">
        <v>0.1704</v>
      </c>
      <c r="E480">
        <v>1.6000000000000001E-6</v>
      </c>
    </row>
    <row r="481" spans="1:5" x14ac:dyDescent="0.2">
      <c r="A481">
        <v>56.386000000000003</v>
      </c>
      <c r="C481">
        <v>4.8000000000000001E-2</v>
      </c>
      <c r="E481">
        <v>4.0000000000000002E-9</v>
      </c>
    </row>
    <row r="482" spans="1:5" x14ac:dyDescent="0.2">
      <c r="C482">
        <v>5.5</v>
      </c>
      <c r="E482">
        <v>1E-8</v>
      </c>
    </row>
    <row r="483" spans="1:5" x14ac:dyDescent="0.2">
      <c r="C483">
        <v>7.9</v>
      </c>
      <c r="E483">
        <v>2.1999999999999999E-5</v>
      </c>
    </row>
    <row r="484" spans="1:5" x14ac:dyDescent="0.2">
      <c r="C484">
        <v>7.9</v>
      </c>
      <c r="E484">
        <v>5.57E-6</v>
      </c>
    </row>
    <row r="485" spans="1:5" x14ac:dyDescent="0.2">
      <c r="C485">
        <v>7.9</v>
      </c>
      <c r="E485">
        <v>3.0000000000000001E-6</v>
      </c>
    </row>
    <row r="486" spans="1:5" x14ac:dyDescent="0.2">
      <c r="C486">
        <v>3.2</v>
      </c>
      <c r="E486">
        <v>1.06E-4</v>
      </c>
    </row>
    <row r="487" spans="1:5" x14ac:dyDescent="0.2">
      <c r="C487">
        <v>6</v>
      </c>
      <c r="E487">
        <v>8.7749999999999995E-2</v>
      </c>
    </row>
    <row r="488" spans="1:5" x14ac:dyDescent="0.2">
      <c r="C488">
        <v>7</v>
      </c>
      <c r="E488">
        <v>2.3000000000000001E-4</v>
      </c>
    </row>
    <row r="489" spans="1:5" x14ac:dyDescent="0.2">
      <c r="C489">
        <v>8.6999999999999993</v>
      </c>
    </row>
    <row r="490" spans="1:5" x14ac:dyDescent="0.2">
      <c r="C490">
        <v>5.7</v>
      </c>
    </row>
    <row r="491" spans="1:5" x14ac:dyDescent="0.2">
      <c r="C491">
        <v>5.5</v>
      </c>
    </row>
    <row r="492" spans="1:5" x14ac:dyDescent="0.2">
      <c r="C492">
        <v>2.5</v>
      </c>
    </row>
    <row r="493" spans="1:5" x14ac:dyDescent="0.2">
      <c r="C493">
        <v>4</v>
      </c>
    </row>
    <row r="494" spans="1:5" x14ac:dyDescent="0.2">
      <c r="C494">
        <v>6</v>
      </c>
    </row>
    <row r="495" spans="1:5" x14ac:dyDescent="0.2">
      <c r="C495">
        <v>9.1999999999999993</v>
      </c>
    </row>
    <row r="496" spans="1:5" x14ac:dyDescent="0.2">
      <c r="C496">
        <v>3.9E-2</v>
      </c>
    </row>
    <row r="497" spans="3:3" x14ac:dyDescent="0.2">
      <c r="C497">
        <v>1.4E-3</v>
      </c>
    </row>
    <row r="498" spans="3:3" x14ac:dyDescent="0.2">
      <c r="C498">
        <v>3.5000000000000001E-3</v>
      </c>
    </row>
    <row r="499" spans="3:3" x14ac:dyDescent="0.2">
      <c r="C499">
        <v>0.22</v>
      </c>
    </row>
    <row r="500" spans="3:3" x14ac:dyDescent="0.2">
      <c r="C500">
        <v>4.9800000000000004</v>
      </c>
    </row>
    <row r="501" spans="3:3" x14ac:dyDescent="0.2">
      <c r="C501">
        <v>0.28799999999999998</v>
      </c>
    </row>
    <row r="502" spans="3:3" x14ac:dyDescent="0.2">
      <c r="C502">
        <v>7.5600000000000001E-2</v>
      </c>
    </row>
    <row r="503" spans="3:3" x14ac:dyDescent="0.2">
      <c r="C503">
        <v>1.0362</v>
      </c>
    </row>
    <row r="504" spans="3:3" x14ac:dyDescent="0.2">
      <c r="C504">
        <v>0</v>
      </c>
    </row>
    <row r="505" spans="3:3" x14ac:dyDescent="0.2">
      <c r="C505">
        <v>9.7E-5</v>
      </c>
    </row>
    <row r="506" spans="3:3" x14ac:dyDescent="0.2">
      <c r="C506">
        <v>0.17249999999999999</v>
      </c>
    </row>
    <row r="507" spans="3:3" x14ac:dyDescent="0.2">
      <c r="C507">
        <v>6.5000000000000002E-2</v>
      </c>
    </row>
    <row r="508" spans="3:3" x14ac:dyDescent="0.2">
      <c r="C508">
        <v>7.5620000000000003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46F1-00E5-F643-A9E3-1C13716E93B6}">
  <dimension ref="A1:W61"/>
  <sheetViews>
    <sheetView workbookViewId="0">
      <selection activeCell="B47" sqref="B47"/>
    </sheetView>
  </sheetViews>
  <sheetFormatPr baseColWidth="10" defaultRowHeight="16" x14ac:dyDescent="0.2"/>
  <cols>
    <col min="1" max="1" width="32.33203125" bestFit="1" customWidth="1"/>
    <col min="2" max="2" width="20.33203125" bestFit="1" customWidth="1"/>
    <col min="3" max="3" width="21" customWidth="1"/>
    <col min="4" max="4" width="53" bestFit="1" customWidth="1"/>
  </cols>
  <sheetData>
    <row r="1" spans="1:4" x14ac:dyDescent="0.2">
      <c r="A1" s="1" t="s">
        <v>371</v>
      </c>
      <c r="B1" s="3" t="s">
        <v>390</v>
      </c>
    </row>
    <row r="2" spans="1:4" x14ac:dyDescent="0.2">
      <c r="A2" t="s">
        <v>372</v>
      </c>
      <c r="B2" t="s">
        <v>386</v>
      </c>
      <c r="C2" t="s">
        <v>373</v>
      </c>
      <c r="D2" t="s">
        <v>374</v>
      </c>
    </row>
    <row r="3" spans="1:4" x14ac:dyDescent="0.2">
      <c r="A3" t="s">
        <v>375</v>
      </c>
      <c r="B3">
        <v>4356</v>
      </c>
      <c r="C3">
        <v>0.74</v>
      </c>
      <c r="D3">
        <v>0.93700000000000006</v>
      </c>
    </row>
    <row r="4" spans="1:4" x14ac:dyDescent="0.2">
      <c r="A4" t="s">
        <v>376</v>
      </c>
      <c r="B4">
        <v>3447</v>
      </c>
      <c r="C4">
        <v>0.92</v>
      </c>
      <c r="D4">
        <v>0.96799999999999997</v>
      </c>
    </row>
    <row r="5" spans="1:4" x14ac:dyDescent="0.2">
      <c r="A5" t="s">
        <v>377</v>
      </c>
      <c r="B5">
        <v>1049</v>
      </c>
      <c r="C5">
        <v>0.9</v>
      </c>
      <c r="D5">
        <v>0.93400000000000005</v>
      </c>
    </row>
    <row r="6" spans="1:4" x14ac:dyDescent="0.2">
      <c r="A6" t="s">
        <v>378</v>
      </c>
      <c r="B6">
        <v>1201</v>
      </c>
      <c r="C6">
        <v>0.36</v>
      </c>
      <c r="D6">
        <v>0.97199999999999998</v>
      </c>
    </row>
    <row r="7" spans="1:4" x14ac:dyDescent="0.2">
      <c r="A7" t="s">
        <v>379</v>
      </c>
      <c r="B7">
        <v>2741</v>
      </c>
      <c r="C7">
        <v>0.15</v>
      </c>
      <c r="D7">
        <v>0.879</v>
      </c>
    </row>
    <row r="8" spans="1:4" x14ac:dyDescent="0.2">
      <c r="A8" t="s">
        <v>380</v>
      </c>
      <c r="B8">
        <v>2196</v>
      </c>
      <c r="C8">
        <v>0.03</v>
      </c>
      <c r="D8">
        <v>0.879</v>
      </c>
    </row>
    <row r="9" spans="1:4" x14ac:dyDescent="0.2">
      <c r="A9" t="s">
        <v>381</v>
      </c>
      <c r="B9">
        <v>1577</v>
      </c>
      <c r="C9">
        <v>0.33</v>
      </c>
      <c r="D9">
        <v>0.9</v>
      </c>
    </row>
    <row r="10" spans="1:4" x14ac:dyDescent="0.2">
      <c r="A10" t="s">
        <v>382</v>
      </c>
      <c r="B10">
        <v>305</v>
      </c>
      <c r="C10">
        <v>0.77</v>
      </c>
      <c r="D10">
        <v>0.94499999999999995</v>
      </c>
    </row>
    <row r="11" spans="1:4" x14ac:dyDescent="0.2">
      <c r="A11" t="s">
        <v>383</v>
      </c>
      <c r="B11">
        <v>2629</v>
      </c>
      <c r="C11">
        <v>0.6</v>
      </c>
      <c r="D11">
        <v>0.879</v>
      </c>
    </row>
    <row r="12" spans="1:4" x14ac:dyDescent="0.2">
      <c r="A12" t="s">
        <v>384</v>
      </c>
      <c r="B12">
        <v>4345</v>
      </c>
      <c r="C12">
        <v>0.33</v>
      </c>
      <c r="D12">
        <v>0.92</v>
      </c>
    </row>
    <row r="13" spans="1:4" x14ac:dyDescent="0.2">
      <c r="A13" t="s">
        <v>385</v>
      </c>
      <c r="B13">
        <v>1306</v>
      </c>
      <c r="C13">
        <v>0.38</v>
      </c>
      <c r="D13">
        <v>0.92400000000000004</v>
      </c>
    </row>
    <row r="14" spans="1:4" x14ac:dyDescent="0.2">
      <c r="A14" t="s">
        <v>387</v>
      </c>
      <c r="B14">
        <f>SUM(B3:B13)</f>
        <v>25152</v>
      </c>
      <c r="C14">
        <f>(B3*C3+B4*C4+B5*C5+B6*C6+B7*C7+B8*C8+B9*C9+B10*C10+B11*C11+B12*C12+B13*C13)/B14</f>
        <v>0.4974141221374046</v>
      </c>
      <c r="D14">
        <f>(B3*C3*D3+B4*C4*D4+B5*C5*D5+B6*C6*D6+B7*C7*D7+B8*C8*D8+B9*C9*D9+B10*C10*D10+B11*C11*D11+B12*C12*D12+B13*C13*D13)/(B3*C3+B4*C4+B5*C5+B6*C6+B7*C7+B8*C8+B9*C9+B10*C10+B11*C11+B12*C12+B13*C13)</f>
        <v>0.9324638445011415</v>
      </c>
    </row>
    <row r="16" spans="1:4" x14ac:dyDescent="0.2">
      <c r="A16" s="1" t="s">
        <v>388</v>
      </c>
      <c r="B16" s="3" t="s">
        <v>390</v>
      </c>
    </row>
    <row r="17" spans="1:4" x14ac:dyDescent="0.2">
      <c r="A17" t="s">
        <v>372</v>
      </c>
      <c r="B17" t="s">
        <v>386</v>
      </c>
      <c r="C17" t="s">
        <v>373</v>
      </c>
      <c r="D17" t="s">
        <v>374</v>
      </c>
    </row>
    <row r="18" spans="1:4" x14ac:dyDescent="0.2">
      <c r="A18" t="s">
        <v>375</v>
      </c>
      <c r="B18">
        <v>107880</v>
      </c>
      <c r="C18">
        <v>0.74</v>
      </c>
      <c r="D18">
        <v>0.92900000000000005</v>
      </c>
    </row>
    <row r="19" spans="1:4" x14ac:dyDescent="0.2">
      <c r="A19" t="s">
        <v>376</v>
      </c>
      <c r="B19">
        <v>45858</v>
      </c>
      <c r="C19">
        <v>0.92</v>
      </c>
      <c r="D19">
        <v>0.94899999999999995</v>
      </c>
    </row>
    <row r="20" spans="1:4" x14ac:dyDescent="0.2">
      <c r="A20" t="s">
        <v>377</v>
      </c>
      <c r="B20">
        <v>17612</v>
      </c>
      <c r="C20">
        <v>0.9</v>
      </c>
      <c r="D20">
        <v>0.92800000000000005</v>
      </c>
    </row>
    <row r="21" spans="1:4" x14ac:dyDescent="0.2">
      <c r="A21" t="s">
        <v>378</v>
      </c>
      <c r="B21">
        <v>31347</v>
      </c>
      <c r="C21">
        <v>0.36</v>
      </c>
      <c r="D21">
        <v>0.95199999999999996</v>
      </c>
    </row>
    <row r="22" spans="1:4" x14ac:dyDescent="0.2">
      <c r="A22" t="s">
        <v>379</v>
      </c>
      <c r="B22">
        <v>59963</v>
      </c>
      <c r="C22">
        <v>0.15</v>
      </c>
      <c r="D22">
        <v>0.88800000000000001</v>
      </c>
    </row>
    <row r="23" spans="1:4" x14ac:dyDescent="0.2">
      <c r="A23" t="s">
        <v>380</v>
      </c>
      <c r="B23">
        <v>8628</v>
      </c>
      <c r="C23">
        <v>0.03</v>
      </c>
      <c r="D23">
        <v>0.88800000000000001</v>
      </c>
    </row>
    <row r="24" spans="1:4" x14ac:dyDescent="0.2">
      <c r="A24" t="s">
        <v>381</v>
      </c>
      <c r="B24">
        <v>19849</v>
      </c>
      <c r="C24">
        <v>0.33</v>
      </c>
      <c r="D24">
        <v>0.90200000000000002</v>
      </c>
    </row>
    <row r="25" spans="1:4" x14ac:dyDescent="0.2">
      <c r="A25" t="s">
        <v>382</v>
      </c>
      <c r="B25">
        <v>10277</v>
      </c>
      <c r="C25">
        <v>0.77</v>
      </c>
      <c r="D25">
        <v>0.93400000000000005</v>
      </c>
    </row>
    <row r="26" spans="1:4" x14ac:dyDescent="0.2">
      <c r="A26" t="s">
        <v>383</v>
      </c>
      <c r="B26">
        <v>68427</v>
      </c>
      <c r="C26">
        <v>0.6</v>
      </c>
      <c r="D26">
        <v>0.88800000000000001</v>
      </c>
    </row>
    <row r="27" spans="1:4" x14ac:dyDescent="0.2">
      <c r="A27" t="s">
        <v>384</v>
      </c>
      <c r="B27">
        <v>102655</v>
      </c>
      <c r="C27">
        <v>0.33</v>
      </c>
      <c r="D27">
        <v>0.92</v>
      </c>
    </row>
    <row r="28" spans="1:4" x14ac:dyDescent="0.2">
      <c r="A28" t="s">
        <v>385</v>
      </c>
      <c r="B28">
        <v>24868</v>
      </c>
      <c r="C28">
        <v>0.38</v>
      </c>
      <c r="D28">
        <v>0.91900000000000004</v>
      </c>
    </row>
    <row r="29" spans="1:4" x14ac:dyDescent="0.2">
      <c r="A29" t="s">
        <v>387</v>
      </c>
      <c r="B29">
        <f>SUM(B18:B28)</f>
        <v>497364</v>
      </c>
      <c r="C29">
        <f>(B18*C18+B19*C19+B20*C20+B21*C21+B22*C22+B23*C23+B24*C24+B25*C25+B26*C26+B27*C27+B28*C28)/B29</f>
        <v>0.51723731512534088</v>
      </c>
      <c r="D29">
        <f>(B18*C18*D18+B19*C19*D19+B20*C20*D20+B21*C21*D21+B22*C22*D22+B23*C23*D23+B24*C24*D24+B25*C25*D25+B26*C26*D26+B27*C27*D27+B28*C28*D28)/(B18*C18+B19*C19+B20*C20+B21*C21+B22*C22+B23*C23+B24*C24+B25*C25+B26*C26+B27*C27+B28*C28)</f>
        <v>0.92312306805669464</v>
      </c>
    </row>
    <row r="31" spans="1:4" x14ac:dyDescent="0.2">
      <c r="A31" s="1" t="s">
        <v>389</v>
      </c>
      <c r="B31" s="3" t="s">
        <v>390</v>
      </c>
      <c r="C31" s="9" t="s">
        <v>393</v>
      </c>
    </row>
    <row r="32" spans="1:4" x14ac:dyDescent="0.2">
      <c r="B32" t="s">
        <v>386</v>
      </c>
      <c r="C32" t="s">
        <v>394</v>
      </c>
    </row>
    <row r="33" spans="1:23" x14ac:dyDescent="0.2">
      <c r="A33" t="s">
        <v>391</v>
      </c>
      <c r="B33">
        <v>1410000</v>
      </c>
      <c r="C33">
        <v>0.9</v>
      </c>
    </row>
    <row r="34" spans="1:23" x14ac:dyDescent="0.2">
      <c r="A34" t="s">
        <v>392</v>
      </c>
      <c r="B34">
        <v>590000</v>
      </c>
      <c r="C34">
        <v>0.9</v>
      </c>
    </row>
    <row r="36" spans="1:23" x14ac:dyDescent="0.2">
      <c r="A36" s="1" t="s">
        <v>395</v>
      </c>
    </row>
    <row r="37" spans="1:23" x14ac:dyDescent="0.2">
      <c r="A37" s="4" t="s">
        <v>396</v>
      </c>
      <c r="B37">
        <v>0.999</v>
      </c>
      <c r="C37">
        <v>0.97099999999999997</v>
      </c>
      <c r="D37">
        <v>0.99099999999999999</v>
      </c>
      <c r="E37">
        <v>0.99</v>
      </c>
      <c r="F37">
        <v>0.98299999999999998</v>
      </c>
      <c r="G37">
        <v>0.99</v>
      </c>
      <c r="H37">
        <v>0.64400000000000002</v>
      </c>
      <c r="I37">
        <v>0.99</v>
      </c>
      <c r="J37">
        <v>0.84</v>
      </c>
      <c r="K37">
        <v>0.93</v>
      </c>
      <c r="L37">
        <v>0.98</v>
      </c>
      <c r="M37">
        <v>0.98409999999999997</v>
      </c>
      <c r="N37">
        <v>0.998</v>
      </c>
    </row>
    <row r="38" spans="1:23" x14ac:dyDescent="0.2">
      <c r="A38" s="4" t="s">
        <v>390</v>
      </c>
      <c r="B38">
        <v>0.93700000000000006</v>
      </c>
      <c r="C38">
        <v>0.96799999999999997</v>
      </c>
      <c r="D38">
        <v>0.93400000000000005</v>
      </c>
      <c r="E38">
        <v>0.97199999999999998</v>
      </c>
      <c r="F38">
        <v>0.879</v>
      </c>
      <c r="G38">
        <v>0.879</v>
      </c>
      <c r="H38">
        <v>0.9</v>
      </c>
      <c r="I38">
        <v>0.94499999999999995</v>
      </c>
      <c r="J38">
        <v>0.879</v>
      </c>
      <c r="K38">
        <v>0.92</v>
      </c>
      <c r="L38">
        <v>0.92400000000000004</v>
      </c>
      <c r="M38">
        <v>0.92900000000000005</v>
      </c>
      <c r="N38">
        <v>0.94899999999999995</v>
      </c>
      <c r="O38">
        <v>0.92800000000000005</v>
      </c>
      <c r="P38">
        <v>0.95199999999999996</v>
      </c>
      <c r="Q38">
        <v>0.88800000000000001</v>
      </c>
      <c r="R38">
        <v>0.88800000000000001</v>
      </c>
      <c r="S38">
        <v>0.90200000000000002</v>
      </c>
      <c r="T38">
        <v>0.93400000000000005</v>
      </c>
      <c r="U38">
        <v>0.88800000000000001</v>
      </c>
      <c r="V38">
        <v>0.92</v>
      </c>
      <c r="W38">
        <v>0.91900000000000004</v>
      </c>
    </row>
    <row r="39" spans="1:23" x14ac:dyDescent="0.2">
      <c r="A39" s="4" t="s">
        <v>400</v>
      </c>
      <c r="B39">
        <v>0.99909999999999999</v>
      </c>
      <c r="C39">
        <v>0.9839</v>
      </c>
      <c r="D39">
        <v>0.98870000000000002</v>
      </c>
      <c r="E39">
        <v>0.97389999999999999</v>
      </c>
      <c r="F39">
        <v>0.99470000000000003</v>
      </c>
      <c r="G39">
        <v>0.99280000000000002</v>
      </c>
      <c r="H39">
        <v>0.99460000000000004</v>
      </c>
      <c r="I39">
        <v>0.9587</v>
      </c>
      <c r="J39">
        <v>0.97599999999999998</v>
      </c>
      <c r="K39">
        <v>0.98309999999999997</v>
      </c>
      <c r="L39">
        <v>0.95140000000000002</v>
      </c>
      <c r="M39">
        <v>0.98280000000000001</v>
      </c>
      <c r="N39">
        <v>0.99019999999999997</v>
      </c>
      <c r="O39">
        <v>0.99329999999999996</v>
      </c>
      <c r="P39">
        <v>0.98609999999999998</v>
      </c>
      <c r="Q39">
        <v>0.82140000000000002</v>
      </c>
      <c r="R39">
        <v>0.53569999999999995</v>
      </c>
      <c r="S39">
        <v>0.84</v>
      </c>
      <c r="T39">
        <v>0.7661</v>
      </c>
      <c r="U39">
        <v>0.81879999999999997</v>
      </c>
      <c r="V39">
        <v>0.999</v>
      </c>
    </row>
    <row r="40" spans="1:23" x14ac:dyDescent="0.2">
      <c r="A40" t="s">
        <v>397</v>
      </c>
      <c r="B40">
        <f>_xlfn.PERCENTILE.INC(B37:W39, 0.05)</f>
        <v>0.80562500000000004</v>
      </c>
    </row>
    <row r="41" spans="1:23" x14ac:dyDescent="0.2">
      <c r="A41" t="s">
        <v>398</v>
      </c>
      <c r="B41">
        <f>_xlfn.PERCENTILE.INC(B37:W39, 0.5)</f>
        <v>0.95169999999999999</v>
      </c>
    </row>
    <row r="42" spans="1:23" x14ac:dyDescent="0.2">
      <c r="A42" t="s">
        <v>399</v>
      </c>
      <c r="B42">
        <f>_xlfn.PERCENTILE.INC(B37:W39, 0.95)</f>
        <v>0.99824999999999997</v>
      </c>
    </row>
    <row r="44" spans="1:23" x14ac:dyDescent="0.2">
      <c r="A44" s="1" t="s">
        <v>594</v>
      </c>
      <c r="D44" s="4" t="s">
        <v>608</v>
      </c>
    </row>
    <row r="45" spans="1:23" x14ac:dyDescent="0.2">
      <c r="A45" t="s">
        <v>609</v>
      </c>
      <c r="B45" t="s">
        <v>595</v>
      </c>
      <c r="C45" t="s">
        <v>606</v>
      </c>
      <c r="D45" t="s">
        <v>607</v>
      </c>
      <c r="E45" t="s">
        <v>605</v>
      </c>
    </row>
    <row r="46" spans="1:23" x14ac:dyDescent="0.2">
      <c r="A46" t="s">
        <v>497</v>
      </c>
      <c r="B46">
        <f>40/292.8</f>
        <v>0.13661202185792348</v>
      </c>
      <c r="C46">
        <v>340.1</v>
      </c>
      <c r="D46">
        <v>0.75</v>
      </c>
      <c r="E46" s="4" t="s">
        <v>596</v>
      </c>
    </row>
    <row r="47" spans="1:23" x14ac:dyDescent="0.2">
      <c r="A47" t="s">
        <v>598</v>
      </c>
      <c r="B47">
        <v>0.7</v>
      </c>
      <c r="C47">
        <v>68.52</v>
      </c>
      <c r="D47">
        <v>0.92</v>
      </c>
      <c r="E47" s="4" t="s">
        <v>601</v>
      </c>
    </row>
    <row r="48" spans="1:23" x14ac:dyDescent="0.2">
      <c r="A48" t="s">
        <v>599</v>
      </c>
      <c r="B48">
        <v>0.7</v>
      </c>
      <c r="C48">
        <v>83.51</v>
      </c>
      <c r="D48">
        <v>0.92</v>
      </c>
      <c r="E48" s="4" t="s">
        <v>601</v>
      </c>
    </row>
    <row r="49" spans="1:5" x14ac:dyDescent="0.2">
      <c r="A49" t="s">
        <v>480</v>
      </c>
      <c r="B49">
        <v>0.7</v>
      </c>
      <c r="C49">
        <v>69.23</v>
      </c>
      <c r="D49">
        <v>0.92</v>
      </c>
      <c r="E49" s="4" t="s">
        <v>601</v>
      </c>
    </row>
    <row r="50" spans="1:5" x14ac:dyDescent="0.2">
      <c r="A50" t="s">
        <v>600</v>
      </c>
      <c r="B50">
        <v>0.45</v>
      </c>
      <c r="C50">
        <v>5.9770000000000003</v>
      </c>
      <c r="D50">
        <v>0.92</v>
      </c>
      <c r="E50" s="4" t="s">
        <v>601</v>
      </c>
    </row>
    <row r="51" spans="1:5" x14ac:dyDescent="0.2">
      <c r="A51" t="s">
        <v>602</v>
      </c>
      <c r="B51">
        <v>1</v>
      </c>
      <c r="C51">
        <v>58.99</v>
      </c>
      <c r="D51">
        <v>0.92</v>
      </c>
      <c r="E51" s="4" t="s">
        <v>601</v>
      </c>
    </row>
    <row r="52" spans="1:5" x14ac:dyDescent="0.2">
      <c r="A52" t="s">
        <v>384</v>
      </c>
      <c r="B52">
        <v>0.21</v>
      </c>
      <c r="C52">
        <v>1409</v>
      </c>
      <c r="D52">
        <v>0.46</v>
      </c>
      <c r="E52" s="4" t="s">
        <v>601</v>
      </c>
    </row>
    <row r="53" spans="1:5" x14ac:dyDescent="0.2">
      <c r="A53" t="s">
        <v>510</v>
      </c>
      <c r="B53">
        <v>1</v>
      </c>
      <c r="C53">
        <v>5.38</v>
      </c>
      <c r="D53">
        <v>0.92</v>
      </c>
      <c r="E53" s="4" t="s">
        <v>601</v>
      </c>
    </row>
    <row r="54" spans="1:5" x14ac:dyDescent="0.2">
      <c r="A54" t="s">
        <v>377</v>
      </c>
      <c r="B54">
        <f>23/80</f>
        <v>0.28749999999999998</v>
      </c>
      <c r="C54">
        <v>124</v>
      </c>
      <c r="D54">
        <v>0.78</v>
      </c>
      <c r="E54" s="4" t="s">
        <v>603</v>
      </c>
    </row>
    <row r="55" spans="1:5" x14ac:dyDescent="0.2">
      <c r="A55" t="s">
        <v>507</v>
      </c>
      <c r="B55">
        <v>0.28000000000000003</v>
      </c>
      <c r="C55">
        <v>51.75</v>
      </c>
      <c r="D55">
        <v>0.46</v>
      </c>
      <c r="E55" s="4" t="s">
        <v>604</v>
      </c>
    </row>
    <row r="57" spans="1:5" x14ac:dyDescent="0.2">
      <c r="A57" s="1" t="s">
        <v>515</v>
      </c>
    </row>
    <row r="58" spans="1:5" x14ac:dyDescent="0.2">
      <c r="A58">
        <f>SUMPRODUCT(B46:B55,C46:C55,D46:D55)/SUMPRODUCT(C46:C55,D46:D55)</f>
        <v>0.3170345072438826</v>
      </c>
      <c r="B58" s="13">
        <v>0.2</v>
      </c>
      <c r="C58">
        <f>A58*1.2</f>
        <v>0.38044140869265913</v>
      </c>
    </row>
    <row r="59" spans="1:5" x14ac:dyDescent="0.2">
      <c r="B59" s="13">
        <v>-0.2</v>
      </c>
      <c r="C59">
        <f>A58*0.8</f>
        <v>0.25362760579510607</v>
      </c>
    </row>
    <row r="60" spans="1:5" x14ac:dyDescent="0.2">
      <c r="E60" t="s">
        <v>597</v>
      </c>
    </row>
    <row r="61" spans="1:5" x14ac:dyDescent="0.2">
      <c r="A61" s="1"/>
    </row>
  </sheetData>
  <hyperlinks>
    <hyperlink ref="A37" r:id="rId1" xr:uid="{B1B35D70-4916-3241-ADEA-9D48C61D8A39}"/>
    <hyperlink ref="E46" r:id="rId2" xr:uid="{304FF9A0-BA04-CC41-BEED-5618A6C23F22}"/>
    <hyperlink ref="E47" r:id="rId3" xr:uid="{E358F511-C383-8347-8055-C63FA31936CC}"/>
    <hyperlink ref="E48" r:id="rId4" xr:uid="{908C19E7-5468-C64A-A43E-2C21FBB46390}"/>
    <hyperlink ref="E49" r:id="rId5" xr:uid="{3BBBC482-D006-B748-9752-C04B776A5AB7}"/>
    <hyperlink ref="E50" r:id="rId6" xr:uid="{B9849F12-CE1F-6A44-A8C0-A7AD903C94A7}"/>
    <hyperlink ref="E51" r:id="rId7" xr:uid="{4D2847C5-B7BC-D548-B88D-7FCA1DBFB743}"/>
    <hyperlink ref="E52" r:id="rId8" xr:uid="{F26DC57E-DA9A-8A4A-8AF1-D89D7CABCCE5}"/>
    <hyperlink ref="E53" r:id="rId9" xr:uid="{72099E51-57F7-3147-A35E-A03FDC0CEED1}"/>
    <hyperlink ref="E54" r:id="rId10" xr:uid="{53DAE995-A3C5-1745-9DE4-7F0AA74B1A7F}"/>
    <hyperlink ref="E55" r:id="rId11" xr:uid="{0618EE6B-09A4-4E47-A357-6D249E8AF498}"/>
    <hyperlink ref="D44" r:id="rId12" xr:uid="{4818DBB9-12B2-6A4E-BF08-5C93E544903A}"/>
    <hyperlink ref="A38" r:id="rId13" xr:uid="{248EE5C2-A454-E84C-A279-C34579A5F109}"/>
    <hyperlink ref="A39" r:id="rId14" xr:uid="{96F53C71-BF12-6246-9693-1E59BB90C5D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43BE-75DF-9F4C-9311-8E90774357C5}">
  <dimension ref="A1:G330"/>
  <sheetViews>
    <sheetView zoomScaleNormal="100" workbookViewId="0">
      <selection activeCell="E19" sqref="E19"/>
    </sheetView>
  </sheetViews>
  <sheetFormatPr baseColWidth="10" defaultRowHeight="16" x14ac:dyDescent="0.2"/>
  <cols>
    <col min="1" max="1" width="22.33203125" bestFit="1" customWidth="1"/>
    <col min="3" max="3" width="12.6640625" bestFit="1" customWidth="1"/>
  </cols>
  <sheetData>
    <row r="1" spans="1:7" x14ac:dyDescent="0.2">
      <c r="A1" t="s">
        <v>182</v>
      </c>
      <c r="B1" t="s">
        <v>173</v>
      </c>
      <c r="C1" t="s">
        <v>176</v>
      </c>
      <c r="D1" t="s">
        <v>177</v>
      </c>
      <c r="E1" t="s">
        <v>406</v>
      </c>
      <c r="F1" t="s">
        <v>178</v>
      </c>
      <c r="G1" t="s">
        <v>174</v>
      </c>
    </row>
    <row r="2" spans="1:7" x14ac:dyDescent="0.2">
      <c r="A2" t="s">
        <v>402</v>
      </c>
      <c r="B2">
        <v>2019</v>
      </c>
      <c r="C2">
        <v>0.7</v>
      </c>
      <c r="D2" t="s">
        <v>403</v>
      </c>
      <c r="E2">
        <f>C2</f>
        <v>0.7</v>
      </c>
      <c r="G2" t="s">
        <v>401</v>
      </c>
    </row>
    <row r="3" spans="1:7" x14ac:dyDescent="0.2">
      <c r="C3">
        <v>1.3</v>
      </c>
      <c r="E3">
        <f t="shared" ref="E3:E66" si="0">C3</f>
        <v>1.3</v>
      </c>
    </row>
    <row r="4" spans="1:7" x14ac:dyDescent="0.2">
      <c r="A4" t="s">
        <v>405</v>
      </c>
      <c r="B4">
        <v>2007</v>
      </c>
      <c r="C4">
        <v>33</v>
      </c>
      <c r="D4" t="s">
        <v>406</v>
      </c>
      <c r="E4">
        <f t="shared" si="0"/>
        <v>33</v>
      </c>
      <c r="G4" t="s">
        <v>404</v>
      </c>
    </row>
    <row r="5" spans="1:7" x14ac:dyDescent="0.2">
      <c r="C5">
        <v>66</v>
      </c>
      <c r="E5">
        <f t="shared" si="0"/>
        <v>66</v>
      </c>
    </row>
    <row r="6" spans="1:7" x14ac:dyDescent="0.2">
      <c r="C6">
        <v>219</v>
      </c>
      <c r="E6">
        <f t="shared" si="0"/>
        <v>219</v>
      </c>
    </row>
    <row r="7" spans="1:7" x14ac:dyDescent="0.2">
      <c r="C7">
        <v>62</v>
      </c>
      <c r="E7">
        <f t="shared" si="0"/>
        <v>62</v>
      </c>
    </row>
    <row r="8" spans="1:7" x14ac:dyDescent="0.2">
      <c r="C8">
        <v>62</v>
      </c>
      <c r="E8">
        <f t="shared" si="0"/>
        <v>62</v>
      </c>
    </row>
    <row r="9" spans="1:7" x14ac:dyDescent="0.2">
      <c r="C9">
        <v>16</v>
      </c>
      <c r="E9">
        <f t="shared" si="0"/>
        <v>16</v>
      </c>
    </row>
    <row r="10" spans="1:7" x14ac:dyDescent="0.2">
      <c r="C10">
        <v>117</v>
      </c>
      <c r="E10">
        <f t="shared" si="0"/>
        <v>117</v>
      </c>
    </row>
    <row r="11" spans="1:7" x14ac:dyDescent="0.2">
      <c r="C11">
        <v>151</v>
      </c>
      <c r="E11">
        <f t="shared" si="0"/>
        <v>151</v>
      </c>
    </row>
    <row r="12" spans="1:7" x14ac:dyDescent="0.2">
      <c r="C12">
        <v>39</v>
      </c>
      <c r="E12">
        <f t="shared" si="0"/>
        <v>39</v>
      </c>
    </row>
    <row r="13" spans="1:7" x14ac:dyDescent="0.2">
      <c r="C13">
        <v>20</v>
      </c>
      <c r="E13">
        <f t="shared" si="0"/>
        <v>20</v>
      </c>
    </row>
    <row r="14" spans="1:7" x14ac:dyDescent="0.2">
      <c r="C14">
        <v>36</v>
      </c>
      <c r="E14">
        <f t="shared" si="0"/>
        <v>36</v>
      </c>
    </row>
    <row r="15" spans="1:7" x14ac:dyDescent="0.2">
      <c r="C15">
        <v>178</v>
      </c>
      <c r="E15">
        <f t="shared" si="0"/>
        <v>178</v>
      </c>
    </row>
    <row r="16" spans="1:7" x14ac:dyDescent="0.2">
      <c r="C16">
        <v>8.3000000000000007</v>
      </c>
      <c r="E16">
        <f t="shared" si="0"/>
        <v>8.3000000000000007</v>
      </c>
    </row>
    <row r="17" spans="1:7" x14ac:dyDescent="0.2">
      <c r="A17" t="s">
        <v>410</v>
      </c>
      <c r="B17">
        <v>2016</v>
      </c>
      <c r="C17">
        <v>0</v>
      </c>
      <c r="D17" t="s">
        <v>406</v>
      </c>
      <c r="E17">
        <f t="shared" si="0"/>
        <v>0</v>
      </c>
      <c r="G17" t="s">
        <v>409</v>
      </c>
    </row>
    <row r="18" spans="1:7" x14ac:dyDescent="0.2">
      <c r="C18">
        <v>2.5299999999999998</v>
      </c>
      <c r="E18">
        <f t="shared" si="0"/>
        <v>2.5299999999999998</v>
      </c>
    </row>
    <row r="19" spans="1:7" x14ac:dyDescent="0.2">
      <c r="C19">
        <v>601</v>
      </c>
      <c r="E19">
        <f t="shared" si="0"/>
        <v>601</v>
      </c>
    </row>
    <row r="20" spans="1:7" x14ac:dyDescent="0.2">
      <c r="A20" t="s">
        <v>412</v>
      </c>
      <c r="B20">
        <v>2021</v>
      </c>
      <c r="C20">
        <v>0</v>
      </c>
      <c r="D20" t="s">
        <v>406</v>
      </c>
      <c r="E20">
        <f t="shared" si="0"/>
        <v>0</v>
      </c>
      <c r="G20" t="s">
        <v>411</v>
      </c>
    </row>
    <row r="21" spans="1:7" x14ac:dyDescent="0.2">
      <c r="C21">
        <v>4.9000000000000004</v>
      </c>
      <c r="E21">
        <f t="shared" si="0"/>
        <v>4.9000000000000004</v>
      </c>
    </row>
    <row r="22" spans="1:7" x14ac:dyDescent="0.2">
      <c r="C22">
        <v>45</v>
      </c>
      <c r="E22">
        <f t="shared" si="0"/>
        <v>45</v>
      </c>
    </row>
    <row r="23" spans="1:7" x14ac:dyDescent="0.2">
      <c r="A23" t="s">
        <v>414</v>
      </c>
      <c r="B23">
        <v>2013</v>
      </c>
      <c r="C23">
        <v>11.8</v>
      </c>
      <c r="D23" t="s">
        <v>406</v>
      </c>
      <c r="E23">
        <f t="shared" si="0"/>
        <v>11.8</v>
      </c>
      <c r="G23" t="s">
        <v>413</v>
      </c>
    </row>
    <row r="24" spans="1:7" x14ac:dyDescent="0.2">
      <c r="C24">
        <v>70.3</v>
      </c>
      <c r="E24">
        <f t="shared" si="0"/>
        <v>70.3</v>
      </c>
    </row>
    <row r="25" spans="1:7" x14ac:dyDescent="0.2">
      <c r="A25" t="s">
        <v>275</v>
      </c>
      <c r="B25">
        <v>2009</v>
      </c>
      <c r="C25">
        <v>8</v>
      </c>
      <c r="D25" t="s">
        <v>406</v>
      </c>
      <c r="E25">
        <f t="shared" si="0"/>
        <v>8</v>
      </c>
      <c r="G25" t="s">
        <v>415</v>
      </c>
    </row>
    <row r="26" spans="1:7" x14ac:dyDescent="0.2">
      <c r="C26">
        <v>12.3</v>
      </c>
      <c r="E26">
        <f t="shared" si="0"/>
        <v>12.3</v>
      </c>
    </row>
    <row r="27" spans="1:7" x14ac:dyDescent="0.2">
      <c r="C27">
        <v>10.5</v>
      </c>
      <c r="E27">
        <f t="shared" si="0"/>
        <v>10.5</v>
      </c>
    </row>
    <row r="28" spans="1:7" x14ac:dyDescent="0.2">
      <c r="C28">
        <v>17.5</v>
      </c>
      <c r="E28">
        <f t="shared" si="0"/>
        <v>17.5</v>
      </c>
    </row>
    <row r="29" spans="1:7" x14ac:dyDescent="0.2">
      <c r="C29">
        <v>36.700000000000003</v>
      </c>
      <c r="E29">
        <f t="shared" si="0"/>
        <v>36.700000000000003</v>
      </c>
    </row>
    <row r="30" spans="1:7" x14ac:dyDescent="0.2">
      <c r="C30">
        <v>17.899999999999999</v>
      </c>
      <c r="E30">
        <f t="shared" si="0"/>
        <v>17.899999999999999</v>
      </c>
    </row>
    <row r="31" spans="1:7" x14ac:dyDescent="0.2">
      <c r="C31">
        <v>24.9</v>
      </c>
      <c r="E31">
        <f t="shared" si="0"/>
        <v>24.9</v>
      </c>
    </row>
    <row r="32" spans="1:7" x14ac:dyDescent="0.2">
      <c r="C32">
        <v>28.8</v>
      </c>
      <c r="E32">
        <f t="shared" si="0"/>
        <v>28.8</v>
      </c>
    </row>
    <row r="33" spans="3:5" x14ac:dyDescent="0.2">
      <c r="C33">
        <v>36.6</v>
      </c>
      <c r="E33">
        <f t="shared" si="0"/>
        <v>36.6</v>
      </c>
    </row>
    <row r="34" spans="3:5" x14ac:dyDescent="0.2">
      <c r="C34">
        <v>69</v>
      </c>
      <c r="E34">
        <f t="shared" si="0"/>
        <v>69</v>
      </c>
    </row>
    <row r="35" spans="3:5" x14ac:dyDescent="0.2">
      <c r="C35">
        <v>8.3000000000000007</v>
      </c>
      <c r="E35">
        <f t="shared" si="0"/>
        <v>8.3000000000000007</v>
      </c>
    </row>
    <row r="36" spans="3:5" x14ac:dyDescent="0.2">
      <c r="C36">
        <v>6.5</v>
      </c>
      <c r="E36">
        <f t="shared" si="0"/>
        <v>6.5</v>
      </c>
    </row>
    <row r="37" spans="3:5" x14ac:dyDescent="0.2">
      <c r="C37">
        <v>21</v>
      </c>
      <c r="E37">
        <f t="shared" si="0"/>
        <v>21</v>
      </c>
    </row>
    <row r="38" spans="3:5" x14ac:dyDescent="0.2">
      <c r="C38">
        <v>17.399999999999999</v>
      </c>
      <c r="E38">
        <f t="shared" si="0"/>
        <v>17.399999999999999</v>
      </c>
    </row>
    <row r="39" spans="3:5" x14ac:dyDescent="0.2">
      <c r="C39">
        <v>18.899999999999999</v>
      </c>
      <c r="E39">
        <f t="shared" si="0"/>
        <v>18.899999999999999</v>
      </c>
    </row>
    <row r="40" spans="3:5" x14ac:dyDescent="0.2">
      <c r="C40">
        <v>25</v>
      </c>
      <c r="E40">
        <f t="shared" si="0"/>
        <v>25</v>
      </c>
    </row>
    <row r="41" spans="3:5" x14ac:dyDescent="0.2">
      <c r="C41">
        <v>35</v>
      </c>
      <c r="E41">
        <f t="shared" si="0"/>
        <v>35</v>
      </c>
    </row>
    <row r="42" spans="3:5" x14ac:dyDescent="0.2">
      <c r="C42">
        <v>28</v>
      </c>
      <c r="E42">
        <f t="shared" si="0"/>
        <v>28</v>
      </c>
    </row>
    <row r="43" spans="3:5" x14ac:dyDescent="0.2">
      <c r="C43">
        <v>46.9</v>
      </c>
      <c r="E43">
        <f t="shared" si="0"/>
        <v>46.9</v>
      </c>
    </row>
    <row r="44" spans="3:5" x14ac:dyDescent="0.2">
      <c r="C44">
        <v>13.7</v>
      </c>
      <c r="E44">
        <f t="shared" si="0"/>
        <v>13.7</v>
      </c>
    </row>
    <row r="45" spans="3:5" x14ac:dyDescent="0.2">
      <c r="C45">
        <v>20.399999999999999</v>
      </c>
      <c r="E45">
        <f t="shared" si="0"/>
        <v>20.399999999999999</v>
      </c>
    </row>
    <row r="46" spans="3:5" x14ac:dyDescent="0.2">
      <c r="C46">
        <v>7.6</v>
      </c>
      <c r="E46">
        <f t="shared" si="0"/>
        <v>7.6</v>
      </c>
    </row>
    <row r="47" spans="3:5" x14ac:dyDescent="0.2">
      <c r="C47">
        <v>27.4</v>
      </c>
      <c r="E47">
        <f t="shared" si="0"/>
        <v>27.4</v>
      </c>
    </row>
    <row r="48" spans="3:5" x14ac:dyDescent="0.2">
      <c r="C48">
        <v>45.8</v>
      </c>
      <c r="E48">
        <f t="shared" si="0"/>
        <v>45.8</v>
      </c>
    </row>
    <row r="49" spans="1:7" x14ac:dyDescent="0.2">
      <c r="C49">
        <v>26.9</v>
      </c>
      <c r="E49">
        <f t="shared" si="0"/>
        <v>26.9</v>
      </c>
    </row>
    <row r="50" spans="1:7" x14ac:dyDescent="0.2">
      <c r="C50">
        <v>54.4</v>
      </c>
      <c r="E50">
        <f t="shared" si="0"/>
        <v>54.4</v>
      </c>
    </row>
    <row r="51" spans="1:7" x14ac:dyDescent="0.2">
      <c r="C51">
        <v>45</v>
      </c>
      <c r="E51">
        <f t="shared" si="0"/>
        <v>45</v>
      </c>
    </row>
    <row r="52" spans="1:7" x14ac:dyDescent="0.2">
      <c r="C52">
        <v>39.9</v>
      </c>
      <c r="E52">
        <f t="shared" si="0"/>
        <v>39.9</v>
      </c>
    </row>
    <row r="53" spans="1:7" x14ac:dyDescent="0.2">
      <c r="C53">
        <v>47.5</v>
      </c>
      <c r="E53">
        <f t="shared" si="0"/>
        <v>47.5</v>
      </c>
    </row>
    <row r="54" spans="1:7" x14ac:dyDescent="0.2">
      <c r="C54">
        <v>13.1</v>
      </c>
      <c r="E54">
        <f t="shared" si="0"/>
        <v>13.1</v>
      </c>
    </row>
    <row r="55" spans="1:7" x14ac:dyDescent="0.2">
      <c r="C55">
        <v>6</v>
      </c>
      <c r="E55">
        <f t="shared" si="0"/>
        <v>6</v>
      </c>
    </row>
    <row r="56" spans="1:7" x14ac:dyDescent="0.2">
      <c r="C56">
        <v>9.3000000000000007</v>
      </c>
      <c r="E56">
        <f t="shared" si="0"/>
        <v>9.3000000000000007</v>
      </c>
    </row>
    <row r="57" spans="1:7" x14ac:dyDescent="0.2">
      <c r="C57">
        <v>12.1</v>
      </c>
      <c r="E57">
        <f t="shared" si="0"/>
        <v>12.1</v>
      </c>
    </row>
    <row r="58" spans="1:7" x14ac:dyDescent="0.2">
      <c r="A58" t="s">
        <v>417</v>
      </c>
      <c r="B58">
        <v>2024</v>
      </c>
      <c r="C58">
        <v>0.08</v>
      </c>
      <c r="D58" t="s">
        <v>406</v>
      </c>
      <c r="E58">
        <f t="shared" si="0"/>
        <v>0.08</v>
      </c>
      <c r="G58" t="s">
        <v>416</v>
      </c>
    </row>
    <row r="59" spans="1:7" x14ac:dyDescent="0.2">
      <c r="C59">
        <v>4.3</v>
      </c>
      <c r="E59">
        <f t="shared" si="0"/>
        <v>4.3</v>
      </c>
    </row>
    <row r="60" spans="1:7" x14ac:dyDescent="0.2">
      <c r="C60">
        <v>59</v>
      </c>
      <c r="E60">
        <f t="shared" si="0"/>
        <v>59</v>
      </c>
    </row>
    <row r="61" spans="1:7" x14ac:dyDescent="0.2">
      <c r="A61" t="s">
        <v>419</v>
      </c>
      <c r="B61">
        <v>2025</v>
      </c>
      <c r="C61">
        <v>2</v>
      </c>
      <c r="D61" t="s">
        <v>406</v>
      </c>
      <c r="E61">
        <f t="shared" si="0"/>
        <v>2</v>
      </c>
      <c r="G61" t="s">
        <v>418</v>
      </c>
    </row>
    <row r="62" spans="1:7" x14ac:dyDescent="0.2">
      <c r="C62">
        <v>0</v>
      </c>
      <c r="E62">
        <f t="shared" si="0"/>
        <v>0</v>
      </c>
    </row>
    <row r="63" spans="1:7" x14ac:dyDescent="0.2">
      <c r="C63">
        <v>0</v>
      </c>
      <c r="E63">
        <f t="shared" si="0"/>
        <v>0</v>
      </c>
    </row>
    <row r="64" spans="1:7" x14ac:dyDescent="0.2">
      <c r="C64">
        <v>0</v>
      </c>
      <c r="E64">
        <f t="shared" si="0"/>
        <v>0</v>
      </c>
    </row>
    <row r="65" spans="3:5" x14ac:dyDescent="0.2">
      <c r="C65">
        <v>0</v>
      </c>
      <c r="E65">
        <f t="shared" si="0"/>
        <v>0</v>
      </c>
    </row>
    <row r="66" spans="3:5" x14ac:dyDescent="0.2">
      <c r="C66">
        <v>0</v>
      </c>
      <c r="E66">
        <f t="shared" si="0"/>
        <v>0</v>
      </c>
    </row>
    <row r="67" spans="3:5" x14ac:dyDescent="0.2">
      <c r="C67">
        <v>0</v>
      </c>
      <c r="E67">
        <f t="shared" ref="E67:E130" si="1">C67</f>
        <v>0</v>
      </c>
    </row>
    <row r="68" spans="3:5" x14ac:dyDescent="0.2">
      <c r="C68">
        <v>0</v>
      </c>
      <c r="E68">
        <f t="shared" si="1"/>
        <v>0</v>
      </c>
    </row>
    <row r="69" spans="3:5" x14ac:dyDescent="0.2">
      <c r="C69">
        <v>0</v>
      </c>
      <c r="E69">
        <f t="shared" si="1"/>
        <v>0</v>
      </c>
    </row>
    <row r="70" spans="3:5" x14ac:dyDescent="0.2">
      <c r="C70">
        <v>0</v>
      </c>
      <c r="E70">
        <f t="shared" si="1"/>
        <v>0</v>
      </c>
    </row>
    <row r="71" spans="3:5" x14ac:dyDescent="0.2">
      <c r="C71">
        <v>0</v>
      </c>
      <c r="E71">
        <f t="shared" si="1"/>
        <v>0</v>
      </c>
    </row>
    <row r="72" spans="3:5" x14ac:dyDescent="0.2">
      <c r="C72">
        <v>1.2</v>
      </c>
      <c r="E72">
        <f t="shared" si="1"/>
        <v>1.2</v>
      </c>
    </row>
    <row r="73" spans="3:5" x14ac:dyDescent="0.2">
      <c r="C73">
        <v>0</v>
      </c>
      <c r="E73">
        <f t="shared" si="1"/>
        <v>0</v>
      </c>
    </row>
    <row r="74" spans="3:5" x14ac:dyDescent="0.2">
      <c r="C74">
        <v>1.4</v>
      </c>
      <c r="E74">
        <f t="shared" si="1"/>
        <v>1.4</v>
      </c>
    </row>
    <row r="75" spans="3:5" x14ac:dyDescent="0.2">
      <c r="C75">
        <v>0</v>
      </c>
      <c r="E75">
        <f t="shared" si="1"/>
        <v>0</v>
      </c>
    </row>
    <row r="76" spans="3:5" x14ac:dyDescent="0.2">
      <c r="C76">
        <v>0</v>
      </c>
      <c r="E76">
        <f t="shared" si="1"/>
        <v>0</v>
      </c>
    </row>
    <row r="77" spans="3:5" x14ac:dyDescent="0.2">
      <c r="C77">
        <v>0</v>
      </c>
      <c r="E77">
        <f t="shared" si="1"/>
        <v>0</v>
      </c>
    </row>
    <row r="78" spans="3:5" x14ac:dyDescent="0.2">
      <c r="C78">
        <v>1</v>
      </c>
      <c r="E78">
        <f t="shared" si="1"/>
        <v>1</v>
      </c>
    </row>
    <row r="79" spans="3:5" x14ac:dyDescent="0.2">
      <c r="C79">
        <v>0</v>
      </c>
      <c r="E79">
        <f t="shared" si="1"/>
        <v>0</v>
      </c>
    </row>
    <row r="80" spans="3:5" x14ac:dyDescent="0.2">
      <c r="C80">
        <v>2.9</v>
      </c>
      <c r="E80">
        <f t="shared" si="1"/>
        <v>2.9</v>
      </c>
    </row>
    <row r="81" spans="3:5" x14ac:dyDescent="0.2">
      <c r="C81">
        <v>0</v>
      </c>
      <c r="E81">
        <f t="shared" si="1"/>
        <v>0</v>
      </c>
    </row>
    <row r="82" spans="3:5" x14ac:dyDescent="0.2">
      <c r="C82">
        <v>0</v>
      </c>
      <c r="E82">
        <f t="shared" si="1"/>
        <v>0</v>
      </c>
    </row>
    <row r="83" spans="3:5" x14ac:dyDescent="0.2">
      <c r="C83">
        <v>0</v>
      </c>
      <c r="E83">
        <f t="shared" si="1"/>
        <v>0</v>
      </c>
    </row>
    <row r="84" spans="3:5" x14ac:dyDescent="0.2">
      <c r="C84">
        <v>0.65</v>
      </c>
      <c r="E84">
        <f t="shared" si="1"/>
        <v>0.65</v>
      </c>
    </row>
    <row r="85" spans="3:5" x14ac:dyDescent="0.2">
      <c r="C85">
        <v>2</v>
      </c>
      <c r="E85">
        <f t="shared" si="1"/>
        <v>2</v>
      </c>
    </row>
    <row r="86" spans="3:5" x14ac:dyDescent="0.2">
      <c r="C86">
        <v>0</v>
      </c>
      <c r="E86">
        <f t="shared" si="1"/>
        <v>0</v>
      </c>
    </row>
    <row r="87" spans="3:5" x14ac:dyDescent="0.2">
      <c r="C87">
        <v>0</v>
      </c>
      <c r="E87">
        <f t="shared" si="1"/>
        <v>0</v>
      </c>
    </row>
    <row r="88" spans="3:5" x14ac:dyDescent="0.2">
      <c r="C88">
        <v>0</v>
      </c>
      <c r="E88">
        <f t="shared" si="1"/>
        <v>0</v>
      </c>
    </row>
    <row r="89" spans="3:5" x14ac:dyDescent="0.2">
      <c r="C89">
        <v>0</v>
      </c>
      <c r="E89">
        <f t="shared" si="1"/>
        <v>0</v>
      </c>
    </row>
    <row r="90" spans="3:5" x14ac:dyDescent="0.2">
      <c r="C90">
        <v>0</v>
      </c>
      <c r="E90">
        <f t="shared" si="1"/>
        <v>0</v>
      </c>
    </row>
    <row r="91" spans="3:5" x14ac:dyDescent="0.2">
      <c r="C91">
        <v>0</v>
      </c>
      <c r="E91">
        <f t="shared" si="1"/>
        <v>0</v>
      </c>
    </row>
    <row r="92" spans="3:5" x14ac:dyDescent="0.2">
      <c r="C92">
        <v>0.95</v>
      </c>
      <c r="E92">
        <f t="shared" si="1"/>
        <v>0.95</v>
      </c>
    </row>
    <row r="93" spans="3:5" x14ac:dyDescent="0.2">
      <c r="C93">
        <v>0</v>
      </c>
      <c r="E93">
        <f t="shared" si="1"/>
        <v>0</v>
      </c>
    </row>
    <row r="94" spans="3:5" x14ac:dyDescent="0.2">
      <c r="C94">
        <v>0</v>
      </c>
      <c r="E94">
        <f t="shared" si="1"/>
        <v>0</v>
      </c>
    </row>
    <row r="95" spans="3:5" x14ac:dyDescent="0.2">
      <c r="C95">
        <v>0</v>
      </c>
      <c r="E95">
        <f t="shared" si="1"/>
        <v>0</v>
      </c>
    </row>
    <row r="96" spans="3:5" x14ac:dyDescent="0.2">
      <c r="C96">
        <v>0</v>
      </c>
      <c r="E96">
        <f t="shared" si="1"/>
        <v>0</v>
      </c>
    </row>
    <row r="97" spans="3:5" x14ac:dyDescent="0.2">
      <c r="C97">
        <v>0</v>
      </c>
      <c r="E97">
        <f t="shared" si="1"/>
        <v>0</v>
      </c>
    </row>
    <row r="98" spans="3:5" x14ac:dyDescent="0.2">
      <c r="C98">
        <v>1.5</v>
      </c>
      <c r="E98">
        <f t="shared" si="1"/>
        <v>1.5</v>
      </c>
    </row>
    <row r="99" spans="3:5" x14ac:dyDescent="0.2">
      <c r="C99">
        <v>0</v>
      </c>
      <c r="E99">
        <f t="shared" si="1"/>
        <v>0</v>
      </c>
    </row>
    <row r="100" spans="3:5" x14ac:dyDescent="0.2">
      <c r="C100">
        <v>1</v>
      </c>
      <c r="E100">
        <f t="shared" si="1"/>
        <v>1</v>
      </c>
    </row>
    <row r="101" spans="3:5" x14ac:dyDescent="0.2">
      <c r="C101">
        <v>0</v>
      </c>
      <c r="E101">
        <f t="shared" si="1"/>
        <v>0</v>
      </c>
    </row>
    <row r="102" spans="3:5" x14ac:dyDescent="0.2">
      <c r="C102">
        <v>0</v>
      </c>
      <c r="E102">
        <f t="shared" si="1"/>
        <v>0</v>
      </c>
    </row>
    <row r="103" spans="3:5" x14ac:dyDescent="0.2">
      <c r="C103">
        <v>0</v>
      </c>
      <c r="E103">
        <f t="shared" si="1"/>
        <v>0</v>
      </c>
    </row>
    <row r="104" spans="3:5" x14ac:dyDescent="0.2">
      <c r="C104">
        <v>1.8</v>
      </c>
      <c r="E104">
        <f t="shared" si="1"/>
        <v>1.8</v>
      </c>
    </row>
    <row r="105" spans="3:5" x14ac:dyDescent="0.2">
      <c r="C105">
        <v>0</v>
      </c>
      <c r="E105">
        <f t="shared" si="1"/>
        <v>0</v>
      </c>
    </row>
    <row r="106" spans="3:5" x14ac:dyDescent="0.2">
      <c r="C106">
        <v>1.9</v>
      </c>
      <c r="E106">
        <f t="shared" si="1"/>
        <v>1.9</v>
      </c>
    </row>
    <row r="107" spans="3:5" x14ac:dyDescent="0.2">
      <c r="C107">
        <v>0</v>
      </c>
      <c r="E107">
        <f t="shared" si="1"/>
        <v>0</v>
      </c>
    </row>
    <row r="108" spans="3:5" x14ac:dyDescent="0.2">
      <c r="C108">
        <v>0</v>
      </c>
      <c r="E108">
        <f t="shared" si="1"/>
        <v>0</v>
      </c>
    </row>
    <row r="109" spans="3:5" x14ac:dyDescent="0.2">
      <c r="C109">
        <v>0</v>
      </c>
      <c r="E109">
        <f t="shared" si="1"/>
        <v>0</v>
      </c>
    </row>
    <row r="110" spans="3:5" x14ac:dyDescent="0.2">
      <c r="C110">
        <v>0</v>
      </c>
      <c r="E110">
        <f t="shared" si="1"/>
        <v>0</v>
      </c>
    </row>
    <row r="111" spans="3:5" x14ac:dyDescent="0.2">
      <c r="C111">
        <v>0</v>
      </c>
      <c r="E111">
        <f t="shared" si="1"/>
        <v>0</v>
      </c>
    </row>
    <row r="112" spans="3:5" x14ac:dyDescent="0.2">
      <c r="C112">
        <v>0</v>
      </c>
      <c r="E112">
        <f t="shared" si="1"/>
        <v>0</v>
      </c>
    </row>
    <row r="113" spans="1:7" x14ac:dyDescent="0.2">
      <c r="C113">
        <v>0</v>
      </c>
      <c r="E113">
        <f t="shared" si="1"/>
        <v>0</v>
      </c>
    </row>
    <row r="114" spans="1:7" x14ac:dyDescent="0.2">
      <c r="C114">
        <v>1.2</v>
      </c>
      <c r="E114">
        <f t="shared" si="1"/>
        <v>1.2</v>
      </c>
    </row>
    <row r="115" spans="1:7" x14ac:dyDescent="0.2">
      <c r="A115" t="s">
        <v>421</v>
      </c>
      <c r="B115">
        <v>2023</v>
      </c>
      <c r="C115">
        <v>12</v>
      </c>
      <c r="D115" t="s">
        <v>406</v>
      </c>
      <c r="E115">
        <f t="shared" si="1"/>
        <v>12</v>
      </c>
      <c r="G115" t="s">
        <v>420</v>
      </c>
    </row>
    <row r="116" spans="1:7" x14ac:dyDescent="0.2">
      <c r="C116">
        <v>0.9</v>
      </c>
      <c r="E116">
        <f t="shared" si="1"/>
        <v>0.9</v>
      </c>
    </row>
    <row r="117" spans="1:7" x14ac:dyDescent="0.2">
      <c r="C117">
        <v>1.6</v>
      </c>
      <c r="E117">
        <f t="shared" si="1"/>
        <v>1.6</v>
      </c>
    </row>
    <row r="118" spans="1:7" x14ac:dyDescent="0.2">
      <c r="C118">
        <v>0.2</v>
      </c>
      <c r="E118">
        <f t="shared" si="1"/>
        <v>0.2</v>
      </c>
    </row>
    <row r="119" spans="1:7" x14ac:dyDescent="0.2">
      <c r="C119">
        <v>0.3</v>
      </c>
      <c r="E119">
        <f t="shared" si="1"/>
        <v>0.3</v>
      </c>
    </row>
    <row r="120" spans="1:7" x14ac:dyDescent="0.2">
      <c r="C120">
        <v>0.7</v>
      </c>
      <c r="E120">
        <f t="shared" si="1"/>
        <v>0.7</v>
      </c>
    </row>
    <row r="121" spans="1:7" x14ac:dyDescent="0.2">
      <c r="C121">
        <v>8</v>
      </c>
      <c r="E121">
        <f t="shared" si="1"/>
        <v>8</v>
      </c>
    </row>
    <row r="122" spans="1:7" x14ac:dyDescent="0.2">
      <c r="A122" t="s">
        <v>423</v>
      </c>
      <c r="B122">
        <v>2022</v>
      </c>
      <c r="C122">
        <v>0.21099999999999999</v>
      </c>
      <c r="D122" t="s">
        <v>406</v>
      </c>
      <c r="E122">
        <f t="shared" si="1"/>
        <v>0.21099999999999999</v>
      </c>
      <c r="G122" t="s">
        <v>422</v>
      </c>
    </row>
    <row r="123" spans="1:7" x14ac:dyDescent="0.2">
      <c r="A123" t="s">
        <v>425</v>
      </c>
      <c r="B123">
        <v>2018</v>
      </c>
      <c r="C123">
        <v>0</v>
      </c>
      <c r="D123" t="s">
        <v>403</v>
      </c>
      <c r="E123">
        <f t="shared" si="1"/>
        <v>0</v>
      </c>
      <c r="G123" t="s">
        <v>424</v>
      </c>
    </row>
    <row r="124" spans="1:7" x14ac:dyDescent="0.2">
      <c r="C124">
        <v>50.6</v>
      </c>
      <c r="E124">
        <f t="shared" si="1"/>
        <v>50.6</v>
      </c>
    </row>
    <row r="125" spans="1:7" x14ac:dyDescent="0.2">
      <c r="C125">
        <v>0</v>
      </c>
      <c r="E125">
        <f t="shared" si="1"/>
        <v>0</v>
      </c>
    </row>
    <row r="126" spans="1:7" x14ac:dyDescent="0.2">
      <c r="C126">
        <v>17</v>
      </c>
      <c r="E126">
        <f t="shared" si="1"/>
        <v>17</v>
      </c>
    </row>
    <row r="127" spans="1:7" x14ac:dyDescent="0.2">
      <c r="C127">
        <v>11.8</v>
      </c>
      <c r="E127">
        <f t="shared" si="1"/>
        <v>11.8</v>
      </c>
    </row>
    <row r="128" spans="1:7" x14ac:dyDescent="0.2">
      <c r="C128">
        <v>0.7</v>
      </c>
      <c r="E128">
        <f t="shared" si="1"/>
        <v>0.7</v>
      </c>
    </row>
    <row r="129" spans="1:7" x14ac:dyDescent="0.2">
      <c r="C129">
        <v>19.7</v>
      </c>
      <c r="E129">
        <f t="shared" si="1"/>
        <v>19.7</v>
      </c>
    </row>
    <row r="130" spans="1:7" x14ac:dyDescent="0.2">
      <c r="C130">
        <v>1.3</v>
      </c>
      <c r="E130">
        <f t="shared" si="1"/>
        <v>1.3</v>
      </c>
    </row>
    <row r="131" spans="1:7" x14ac:dyDescent="0.2">
      <c r="C131">
        <v>16.3</v>
      </c>
      <c r="E131">
        <f t="shared" ref="E131:E140" si="2">C131</f>
        <v>16.3</v>
      </c>
    </row>
    <row r="132" spans="1:7" x14ac:dyDescent="0.2">
      <c r="C132">
        <v>18</v>
      </c>
      <c r="E132">
        <f t="shared" si="2"/>
        <v>18</v>
      </c>
    </row>
    <row r="133" spans="1:7" x14ac:dyDescent="0.2">
      <c r="C133">
        <v>241</v>
      </c>
      <c r="E133">
        <f t="shared" si="2"/>
        <v>241</v>
      </c>
    </row>
    <row r="134" spans="1:7" x14ac:dyDescent="0.2">
      <c r="C134">
        <v>11.8</v>
      </c>
      <c r="E134">
        <f t="shared" si="2"/>
        <v>11.8</v>
      </c>
    </row>
    <row r="135" spans="1:7" x14ac:dyDescent="0.2">
      <c r="C135">
        <v>70.3</v>
      </c>
      <c r="E135">
        <f t="shared" si="2"/>
        <v>70.3</v>
      </c>
    </row>
    <row r="136" spans="1:7" x14ac:dyDescent="0.2">
      <c r="C136">
        <v>7.4</v>
      </c>
      <c r="E136">
        <f t="shared" si="2"/>
        <v>7.4</v>
      </c>
    </row>
    <row r="137" spans="1:7" x14ac:dyDescent="0.2">
      <c r="C137">
        <v>400</v>
      </c>
      <c r="E137">
        <f t="shared" si="2"/>
        <v>400</v>
      </c>
    </row>
    <row r="138" spans="1:7" x14ac:dyDescent="0.2">
      <c r="C138">
        <v>1.3</v>
      </c>
      <c r="E138">
        <f t="shared" si="2"/>
        <v>1.3</v>
      </c>
    </row>
    <row r="139" spans="1:7" x14ac:dyDescent="0.2">
      <c r="C139">
        <v>15.7</v>
      </c>
      <c r="E139">
        <f t="shared" si="2"/>
        <v>15.7</v>
      </c>
    </row>
    <row r="140" spans="1:7" x14ac:dyDescent="0.2">
      <c r="C140">
        <v>11</v>
      </c>
      <c r="E140">
        <f t="shared" si="2"/>
        <v>11</v>
      </c>
    </row>
    <row r="141" spans="1:7" x14ac:dyDescent="0.2">
      <c r="A141" t="s">
        <v>427</v>
      </c>
      <c r="B141">
        <v>2025</v>
      </c>
      <c r="C141">
        <v>8.5000000000000006E-5</v>
      </c>
      <c r="D141" t="s">
        <v>428</v>
      </c>
      <c r="E141">
        <f>C141*1000</f>
        <v>8.5000000000000006E-2</v>
      </c>
      <c r="G141" t="s">
        <v>426</v>
      </c>
    </row>
    <row r="142" spans="1:7" x14ac:dyDescent="0.2">
      <c r="C142">
        <v>1.9E-2</v>
      </c>
      <c r="E142">
        <f t="shared" ref="E142:E180" si="3">C142*1000</f>
        <v>19</v>
      </c>
    </row>
    <row r="143" spans="1:7" x14ac:dyDescent="0.2">
      <c r="C143">
        <v>6.9999999999999999E-4</v>
      </c>
      <c r="E143">
        <f t="shared" si="3"/>
        <v>0.7</v>
      </c>
    </row>
    <row r="144" spans="1:7" x14ac:dyDescent="0.2">
      <c r="C144">
        <v>0.02</v>
      </c>
      <c r="E144">
        <f t="shared" si="3"/>
        <v>20</v>
      </c>
    </row>
    <row r="145" spans="3:5" x14ac:dyDescent="0.2">
      <c r="C145">
        <v>2.9999999999999997E-4</v>
      </c>
      <c r="E145">
        <f t="shared" si="3"/>
        <v>0.3</v>
      </c>
    </row>
    <row r="146" spans="3:5" x14ac:dyDescent="0.2">
      <c r="C146">
        <v>6.9999999999999999E-4</v>
      </c>
      <c r="E146">
        <f t="shared" si="3"/>
        <v>0.7</v>
      </c>
    </row>
    <row r="147" spans="3:5" x14ac:dyDescent="0.2">
      <c r="C147">
        <v>1.1999999999999999E-3</v>
      </c>
      <c r="E147">
        <f t="shared" si="3"/>
        <v>1.2</v>
      </c>
    </row>
    <row r="148" spans="3:5" x14ac:dyDescent="0.2">
      <c r="C148">
        <v>2.0999999999999999E-3</v>
      </c>
      <c r="E148">
        <f t="shared" si="3"/>
        <v>2.1</v>
      </c>
    </row>
    <row r="149" spans="3:5" x14ac:dyDescent="0.2">
      <c r="C149">
        <v>1.2999999999999999E-3</v>
      </c>
      <c r="E149">
        <f t="shared" si="3"/>
        <v>1.3</v>
      </c>
    </row>
    <row r="150" spans="3:5" x14ac:dyDescent="0.2">
      <c r="C150">
        <v>3.3999999999999998E-3</v>
      </c>
      <c r="E150">
        <f t="shared" si="3"/>
        <v>3.4</v>
      </c>
    </row>
    <row r="151" spans="3:5" x14ac:dyDescent="0.2">
      <c r="C151">
        <v>2.7000000000000001E-3</v>
      </c>
      <c r="E151">
        <f t="shared" si="3"/>
        <v>2.7</v>
      </c>
    </row>
    <row r="152" spans="3:5" x14ac:dyDescent="0.2">
      <c r="C152">
        <v>3.7000000000000002E-3</v>
      </c>
      <c r="E152">
        <f t="shared" si="3"/>
        <v>3.7</v>
      </c>
    </row>
    <row r="153" spans="3:5" x14ac:dyDescent="0.2">
      <c r="C153">
        <v>2E-3</v>
      </c>
      <c r="E153">
        <f t="shared" si="3"/>
        <v>2</v>
      </c>
    </row>
    <row r="154" spans="3:5" x14ac:dyDescent="0.2">
      <c r="C154">
        <v>5.0000000000000001E-3</v>
      </c>
      <c r="E154">
        <f t="shared" si="3"/>
        <v>5</v>
      </c>
    </row>
    <row r="155" spans="3:5" x14ac:dyDescent="0.2">
      <c r="C155">
        <v>1E-3</v>
      </c>
      <c r="E155">
        <f t="shared" si="3"/>
        <v>1</v>
      </c>
    </row>
    <row r="156" spans="3:5" x14ac:dyDescent="0.2">
      <c r="C156">
        <v>6.0000000000000001E-3</v>
      </c>
      <c r="E156">
        <f t="shared" si="3"/>
        <v>6</v>
      </c>
    </row>
    <row r="157" spans="3:5" x14ac:dyDescent="0.2">
      <c r="C157">
        <v>4.0000000000000001E-3</v>
      </c>
      <c r="E157">
        <f t="shared" si="3"/>
        <v>4</v>
      </c>
    </row>
    <row r="158" spans="3:5" x14ac:dyDescent="0.2">
      <c r="C158">
        <v>1.4999999999999999E-2</v>
      </c>
      <c r="E158">
        <f t="shared" si="3"/>
        <v>15</v>
      </c>
    </row>
    <row r="159" spans="3:5" x14ac:dyDescent="0.2">
      <c r="C159">
        <v>5.0000000000000001E-4</v>
      </c>
      <c r="E159">
        <f t="shared" si="3"/>
        <v>0.5</v>
      </c>
    </row>
    <row r="160" spans="3:5" x14ac:dyDescent="0.2">
      <c r="C160">
        <v>8.0000000000000002E-3</v>
      </c>
      <c r="E160">
        <f t="shared" si="3"/>
        <v>8</v>
      </c>
    </row>
    <row r="161" spans="3:5" x14ac:dyDescent="0.2">
      <c r="C161">
        <v>4.0000000000000001E-3</v>
      </c>
      <c r="E161">
        <f t="shared" si="3"/>
        <v>4</v>
      </c>
    </row>
    <row r="162" spans="3:5" x14ac:dyDescent="0.2">
      <c r="C162">
        <v>1.4999999999999999E-2</v>
      </c>
      <c r="E162">
        <f t="shared" si="3"/>
        <v>15</v>
      </c>
    </row>
    <row r="163" spans="3:5" x14ac:dyDescent="0.2">
      <c r="C163">
        <v>1E-3</v>
      </c>
      <c r="E163">
        <f t="shared" si="3"/>
        <v>1</v>
      </c>
    </row>
    <row r="164" spans="3:5" x14ac:dyDescent="0.2">
      <c r="C164">
        <v>5.5000000000000003E-4</v>
      </c>
      <c r="E164">
        <f t="shared" si="3"/>
        <v>0.55000000000000004</v>
      </c>
    </row>
    <row r="165" spans="3:5" x14ac:dyDescent="0.2">
      <c r="C165">
        <v>9.1999999999999998E-3</v>
      </c>
      <c r="E165">
        <f t="shared" si="3"/>
        <v>9.1999999999999993</v>
      </c>
    </row>
    <row r="166" spans="3:5" x14ac:dyDescent="0.2">
      <c r="C166">
        <v>2.9999999999999997E-4</v>
      </c>
      <c r="E166">
        <f t="shared" si="3"/>
        <v>0.3</v>
      </c>
    </row>
    <row r="167" spans="3:5" x14ac:dyDescent="0.2">
      <c r="C167">
        <v>2.5999999999999999E-3</v>
      </c>
      <c r="E167">
        <f t="shared" si="3"/>
        <v>2.6</v>
      </c>
    </row>
    <row r="168" spans="3:5" x14ac:dyDescent="0.2">
      <c r="C168">
        <v>0.17</v>
      </c>
      <c r="E168">
        <f t="shared" si="3"/>
        <v>170</v>
      </c>
    </row>
    <row r="169" spans="3:5" x14ac:dyDescent="0.2">
      <c r="C169">
        <v>1.6999999999999999E-3</v>
      </c>
      <c r="E169">
        <f t="shared" si="3"/>
        <v>1.7</v>
      </c>
    </row>
    <row r="170" spans="3:5" x14ac:dyDescent="0.2">
      <c r="C170">
        <v>1.1000000000000001E-3</v>
      </c>
      <c r="E170">
        <f t="shared" si="3"/>
        <v>1.1000000000000001</v>
      </c>
    </row>
    <row r="171" spans="3:5" x14ac:dyDescent="0.2">
      <c r="C171">
        <v>2.5000000000000001E-4</v>
      </c>
      <c r="E171">
        <f t="shared" si="3"/>
        <v>0.25</v>
      </c>
    </row>
    <row r="172" spans="3:5" x14ac:dyDescent="0.2">
      <c r="C172">
        <v>0.37</v>
      </c>
      <c r="E172">
        <f t="shared" si="3"/>
        <v>370</v>
      </c>
    </row>
    <row r="173" spans="3:5" x14ac:dyDescent="0.2">
      <c r="C173">
        <v>4.8000000000000001E-4</v>
      </c>
      <c r="E173">
        <f t="shared" si="3"/>
        <v>0.48000000000000004</v>
      </c>
    </row>
    <row r="174" spans="3:5" x14ac:dyDescent="0.2">
      <c r="C174">
        <v>2.1999999999999999E-2</v>
      </c>
      <c r="E174">
        <f t="shared" si="3"/>
        <v>22</v>
      </c>
    </row>
    <row r="175" spans="3:5" x14ac:dyDescent="0.2">
      <c r="C175">
        <v>1.1000000000000001E-3</v>
      </c>
      <c r="E175">
        <f t="shared" si="3"/>
        <v>1.1000000000000001</v>
      </c>
    </row>
    <row r="176" spans="3:5" x14ac:dyDescent="0.2">
      <c r="C176">
        <v>5.3E-3</v>
      </c>
      <c r="E176">
        <f t="shared" si="3"/>
        <v>5.3</v>
      </c>
    </row>
    <row r="177" spans="1:7" x14ac:dyDescent="0.2">
      <c r="C177">
        <v>6.7000000000000002E-4</v>
      </c>
      <c r="E177">
        <f t="shared" si="3"/>
        <v>0.67</v>
      </c>
    </row>
    <row r="178" spans="1:7" x14ac:dyDescent="0.2">
      <c r="C178">
        <v>1.2999999999999999E-3</v>
      </c>
      <c r="E178">
        <f t="shared" si="3"/>
        <v>1.3</v>
      </c>
    </row>
    <row r="179" spans="1:7" x14ac:dyDescent="0.2">
      <c r="C179">
        <v>4.4999999999999999E-4</v>
      </c>
      <c r="E179">
        <f t="shared" si="3"/>
        <v>0.45</v>
      </c>
    </row>
    <row r="180" spans="1:7" x14ac:dyDescent="0.2">
      <c r="C180">
        <v>0.01</v>
      </c>
      <c r="E180">
        <f t="shared" si="3"/>
        <v>10</v>
      </c>
    </row>
    <row r="181" spans="1:7" x14ac:dyDescent="0.2">
      <c r="A181" t="s">
        <v>430</v>
      </c>
      <c r="B181">
        <v>2021</v>
      </c>
      <c r="C181">
        <v>4.3</v>
      </c>
      <c r="D181" t="s">
        <v>403</v>
      </c>
      <c r="E181">
        <f>C181</f>
        <v>4.3</v>
      </c>
      <c r="G181" t="s">
        <v>429</v>
      </c>
    </row>
    <row r="182" spans="1:7" x14ac:dyDescent="0.2">
      <c r="C182">
        <v>4.3</v>
      </c>
      <c r="E182">
        <f t="shared" ref="E182:E194" si="4">C182</f>
        <v>4.3</v>
      </c>
    </row>
    <row r="183" spans="1:7" x14ac:dyDescent="0.2">
      <c r="C183">
        <v>0.44</v>
      </c>
      <c r="E183">
        <f t="shared" si="4"/>
        <v>0.44</v>
      </c>
    </row>
    <row r="184" spans="1:7" x14ac:dyDescent="0.2">
      <c r="C184">
        <v>1.2</v>
      </c>
      <c r="E184">
        <f t="shared" si="4"/>
        <v>1.2</v>
      </c>
    </row>
    <row r="185" spans="1:7" x14ac:dyDescent="0.2">
      <c r="A185" t="s">
        <v>432</v>
      </c>
      <c r="B185">
        <v>2021</v>
      </c>
      <c r="C185">
        <v>1.5427797119468634</v>
      </c>
      <c r="D185" t="s">
        <v>403</v>
      </c>
      <c r="E185">
        <f t="shared" si="4"/>
        <v>1.5427797119468634</v>
      </c>
      <c r="G185" t="s">
        <v>431</v>
      </c>
    </row>
    <row r="186" spans="1:7" x14ac:dyDescent="0.2">
      <c r="C186">
        <v>0</v>
      </c>
      <c r="E186">
        <f t="shared" si="4"/>
        <v>0</v>
      </c>
    </row>
    <row r="187" spans="1:7" x14ac:dyDescent="0.2">
      <c r="C187">
        <v>2.0646340865258921</v>
      </c>
      <c r="E187">
        <f t="shared" si="4"/>
        <v>2.0646340865258921</v>
      </c>
    </row>
    <row r="188" spans="1:7" x14ac:dyDescent="0.2">
      <c r="C188">
        <v>2.6395799057218299</v>
      </c>
      <c r="E188">
        <f t="shared" si="4"/>
        <v>2.6395799057218299</v>
      </c>
    </row>
    <row r="189" spans="1:7" x14ac:dyDescent="0.2">
      <c r="C189">
        <v>4.3685647201290534</v>
      </c>
      <c r="E189">
        <f t="shared" si="4"/>
        <v>4.3685647201290534</v>
      </c>
    </row>
    <row r="190" spans="1:7" x14ac:dyDescent="0.2">
      <c r="C190">
        <v>5.8154374681634904</v>
      </c>
      <c r="E190">
        <f t="shared" si="4"/>
        <v>5.8154374681634904</v>
      </c>
    </row>
    <row r="191" spans="1:7" x14ac:dyDescent="0.2">
      <c r="C191">
        <v>4.3018824957724373</v>
      </c>
      <c r="E191">
        <f t="shared" si="4"/>
        <v>4.3018824957724373</v>
      </c>
    </row>
    <row r="192" spans="1:7" x14ac:dyDescent="0.2">
      <c r="C192">
        <v>12.815577804254401</v>
      </c>
      <c r="E192">
        <f t="shared" si="4"/>
        <v>12.815577804254401</v>
      </c>
    </row>
    <row r="193" spans="1:7" x14ac:dyDescent="0.2">
      <c r="C193">
        <v>1.6552117515128295</v>
      </c>
      <c r="E193">
        <f t="shared" si="4"/>
        <v>1.6552117515128295</v>
      </c>
    </row>
    <row r="194" spans="1:7" x14ac:dyDescent="0.2">
      <c r="C194">
        <v>1.2426448548114479</v>
      </c>
      <c r="E194">
        <f t="shared" si="4"/>
        <v>1.2426448548114479</v>
      </c>
    </row>
    <row r="195" spans="1:7" x14ac:dyDescent="0.2">
      <c r="A195" t="s">
        <v>434</v>
      </c>
      <c r="B195">
        <v>2011</v>
      </c>
      <c r="C195">
        <v>2E-3</v>
      </c>
      <c r="D195" t="s">
        <v>428</v>
      </c>
      <c r="E195">
        <f>C195*1000</f>
        <v>2</v>
      </c>
      <c r="G195" t="s">
        <v>433</v>
      </c>
    </row>
    <row r="196" spans="1:7" x14ac:dyDescent="0.2">
      <c r="C196">
        <v>0.24399999999999999</v>
      </c>
      <c r="E196">
        <f t="shared" ref="E196:E202" si="5">C196*1000</f>
        <v>244</v>
      </c>
    </row>
    <row r="197" spans="1:7" x14ac:dyDescent="0.2">
      <c r="C197">
        <v>1.7999999999999999E-2</v>
      </c>
      <c r="E197">
        <f t="shared" si="5"/>
        <v>18</v>
      </c>
    </row>
    <row r="198" spans="1:7" x14ac:dyDescent="0.2">
      <c r="C198">
        <v>0.24099999999999999</v>
      </c>
      <c r="E198">
        <f t="shared" si="5"/>
        <v>241</v>
      </c>
    </row>
    <row r="199" spans="1:7" x14ac:dyDescent="0.2">
      <c r="C199">
        <v>8.3000000000000001E-3</v>
      </c>
      <c r="E199">
        <f t="shared" si="5"/>
        <v>8.3000000000000007</v>
      </c>
    </row>
    <row r="200" spans="1:7" x14ac:dyDescent="0.2">
      <c r="C200">
        <v>0.219</v>
      </c>
      <c r="E200">
        <f t="shared" si="5"/>
        <v>219</v>
      </c>
    </row>
    <row r="201" spans="1:7" x14ac:dyDescent="0.2">
      <c r="C201">
        <v>1E-3</v>
      </c>
      <c r="E201">
        <f t="shared" si="5"/>
        <v>1</v>
      </c>
    </row>
    <row r="202" spans="1:7" x14ac:dyDescent="0.2">
      <c r="C202">
        <v>0.02</v>
      </c>
      <c r="E202">
        <f t="shared" si="5"/>
        <v>20</v>
      </c>
    </row>
    <row r="203" spans="1:7" x14ac:dyDescent="0.2">
      <c r="A203" t="s">
        <v>436</v>
      </c>
      <c r="B203">
        <v>2017</v>
      </c>
      <c r="C203">
        <v>23.1</v>
      </c>
      <c r="D203" t="s">
        <v>406</v>
      </c>
      <c r="E203">
        <f>C203</f>
        <v>23.1</v>
      </c>
      <c r="G203" t="s">
        <v>435</v>
      </c>
    </row>
    <row r="204" spans="1:7" x14ac:dyDescent="0.2">
      <c r="C204">
        <v>21</v>
      </c>
      <c r="E204">
        <f t="shared" ref="E204:E267" si="6">C204</f>
        <v>21</v>
      </c>
    </row>
    <row r="205" spans="1:7" x14ac:dyDescent="0.2">
      <c r="C205">
        <v>62.3</v>
      </c>
      <c r="E205">
        <f t="shared" si="6"/>
        <v>62.3</v>
      </c>
    </row>
    <row r="206" spans="1:7" x14ac:dyDescent="0.2">
      <c r="C206">
        <v>6</v>
      </c>
      <c r="E206">
        <f t="shared" si="6"/>
        <v>6</v>
      </c>
    </row>
    <row r="207" spans="1:7" x14ac:dyDescent="0.2">
      <c r="C207">
        <v>1.8</v>
      </c>
      <c r="E207">
        <f t="shared" si="6"/>
        <v>1.8</v>
      </c>
    </row>
    <row r="208" spans="1:7" x14ac:dyDescent="0.2">
      <c r="C208">
        <v>0.73</v>
      </c>
      <c r="E208">
        <f t="shared" si="6"/>
        <v>0.73</v>
      </c>
    </row>
    <row r="209" spans="3:5" x14ac:dyDescent="0.2">
      <c r="C209">
        <v>5.55</v>
      </c>
      <c r="E209">
        <f t="shared" si="6"/>
        <v>5.55</v>
      </c>
    </row>
    <row r="210" spans="3:5" x14ac:dyDescent="0.2">
      <c r="C210">
        <v>7.15</v>
      </c>
      <c r="E210">
        <f t="shared" si="6"/>
        <v>7.15</v>
      </c>
    </row>
    <row r="211" spans="3:5" x14ac:dyDescent="0.2">
      <c r="C211">
        <v>0.43</v>
      </c>
      <c r="E211">
        <f t="shared" si="6"/>
        <v>0.43</v>
      </c>
    </row>
    <row r="212" spans="3:5" x14ac:dyDescent="0.2">
      <c r="C212">
        <v>1.86</v>
      </c>
      <c r="E212">
        <f t="shared" si="6"/>
        <v>1.86</v>
      </c>
    </row>
    <row r="213" spans="3:5" x14ac:dyDescent="0.2">
      <c r="C213">
        <v>1.72</v>
      </c>
      <c r="E213">
        <f t="shared" si="6"/>
        <v>1.72</v>
      </c>
    </row>
    <row r="214" spans="3:5" x14ac:dyDescent="0.2">
      <c r="C214">
        <v>0</v>
      </c>
      <c r="E214">
        <f t="shared" si="6"/>
        <v>0</v>
      </c>
    </row>
    <row r="215" spans="3:5" x14ac:dyDescent="0.2">
      <c r="C215">
        <v>14.9</v>
      </c>
      <c r="E215">
        <f t="shared" si="6"/>
        <v>14.9</v>
      </c>
    </row>
    <row r="216" spans="3:5" x14ac:dyDescent="0.2">
      <c r="C216">
        <v>68.2</v>
      </c>
      <c r="E216">
        <f t="shared" si="6"/>
        <v>68.2</v>
      </c>
    </row>
    <row r="217" spans="3:5" x14ac:dyDescent="0.2">
      <c r="C217">
        <v>12</v>
      </c>
      <c r="E217">
        <f t="shared" si="6"/>
        <v>12</v>
      </c>
    </row>
    <row r="218" spans="3:5" x14ac:dyDescent="0.2">
      <c r="C218">
        <v>32.5</v>
      </c>
      <c r="E218">
        <f t="shared" si="6"/>
        <v>32.5</v>
      </c>
    </row>
    <row r="219" spans="3:5" x14ac:dyDescent="0.2">
      <c r="C219">
        <v>29.7</v>
      </c>
      <c r="E219">
        <f t="shared" si="6"/>
        <v>29.7</v>
      </c>
    </row>
    <row r="220" spans="3:5" x14ac:dyDescent="0.2">
      <c r="C220">
        <v>6.16</v>
      </c>
      <c r="E220">
        <f t="shared" si="6"/>
        <v>6.16</v>
      </c>
    </row>
    <row r="221" spans="3:5" x14ac:dyDescent="0.2">
      <c r="C221">
        <v>0.9</v>
      </c>
      <c r="E221">
        <f t="shared" si="6"/>
        <v>0.9</v>
      </c>
    </row>
    <row r="222" spans="3:5" x14ac:dyDescent="0.2">
      <c r="C222">
        <v>1.5</v>
      </c>
      <c r="E222">
        <f t="shared" si="6"/>
        <v>1.5</v>
      </c>
    </row>
    <row r="223" spans="3:5" x14ac:dyDescent="0.2">
      <c r="C223">
        <v>4.3</v>
      </c>
      <c r="E223">
        <f t="shared" si="6"/>
        <v>4.3</v>
      </c>
    </row>
    <row r="224" spans="3:5" x14ac:dyDescent="0.2">
      <c r="C224">
        <v>0.6</v>
      </c>
      <c r="E224">
        <f t="shared" si="6"/>
        <v>0.6</v>
      </c>
    </row>
    <row r="225" spans="3:5" x14ac:dyDescent="0.2">
      <c r="C225">
        <v>1.9</v>
      </c>
      <c r="E225">
        <f t="shared" si="6"/>
        <v>1.9</v>
      </c>
    </row>
    <row r="226" spans="3:5" x14ac:dyDescent="0.2">
      <c r="C226">
        <v>1.25</v>
      </c>
      <c r="E226">
        <f t="shared" si="6"/>
        <v>1.25</v>
      </c>
    </row>
    <row r="227" spans="3:5" x14ac:dyDescent="0.2">
      <c r="C227">
        <v>0.83</v>
      </c>
      <c r="E227">
        <f t="shared" si="6"/>
        <v>0.83</v>
      </c>
    </row>
    <row r="228" spans="3:5" x14ac:dyDescent="0.2">
      <c r="C228">
        <v>2.08</v>
      </c>
      <c r="E228">
        <f t="shared" si="6"/>
        <v>2.08</v>
      </c>
    </row>
    <row r="229" spans="3:5" x14ac:dyDescent="0.2">
      <c r="C229">
        <v>1.64</v>
      </c>
      <c r="E229">
        <f t="shared" si="6"/>
        <v>1.64</v>
      </c>
    </row>
    <row r="230" spans="3:5" x14ac:dyDescent="0.2">
      <c r="C230">
        <v>1.2</v>
      </c>
      <c r="E230">
        <f t="shared" si="6"/>
        <v>1.2</v>
      </c>
    </row>
    <row r="231" spans="3:5" x14ac:dyDescent="0.2">
      <c r="C231">
        <v>1.7</v>
      </c>
      <c r="E231">
        <f t="shared" si="6"/>
        <v>1.7</v>
      </c>
    </row>
    <row r="232" spans="3:5" x14ac:dyDescent="0.2">
      <c r="C232">
        <v>3</v>
      </c>
      <c r="E232">
        <f t="shared" si="6"/>
        <v>3</v>
      </c>
    </row>
    <row r="233" spans="3:5" x14ac:dyDescent="0.2">
      <c r="C233">
        <v>1.3</v>
      </c>
      <c r="E233">
        <f t="shared" si="6"/>
        <v>1.3</v>
      </c>
    </row>
    <row r="234" spans="3:5" x14ac:dyDescent="0.2">
      <c r="C234">
        <v>6.7</v>
      </c>
      <c r="E234">
        <f t="shared" si="6"/>
        <v>6.7</v>
      </c>
    </row>
    <row r="235" spans="3:5" x14ac:dyDescent="0.2">
      <c r="C235">
        <v>0.6</v>
      </c>
      <c r="E235">
        <f t="shared" si="6"/>
        <v>0.6</v>
      </c>
    </row>
    <row r="236" spans="3:5" x14ac:dyDescent="0.2">
      <c r="C236">
        <v>1.7</v>
      </c>
      <c r="E236">
        <f t="shared" si="6"/>
        <v>1.7</v>
      </c>
    </row>
    <row r="237" spans="3:5" x14ac:dyDescent="0.2">
      <c r="C237">
        <v>2.2200000000000002</v>
      </c>
      <c r="E237">
        <f t="shared" si="6"/>
        <v>2.2200000000000002</v>
      </c>
    </row>
    <row r="238" spans="3:5" x14ac:dyDescent="0.2">
      <c r="C238">
        <v>1.6</v>
      </c>
      <c r="E238">
        <f t="shared" si="6"/>
        <v>1.6</v>
      </c>
    </row>
    <row r="239" spans="3:5" x14ac:dyDescent="0.2">
      <c r="C239">
        <v>1.2</v>
      </c>
      <c r="E239">
        <f t="shared" si="6"/>
        <v>1.2</v>
      </c>
    </row>
    <row r="240" spans="3:5" x14ac:dyDescent="0.2">
      <c r="C240">
        <v>3.1</v>
      </c>
      <c r="E240">
        <f t="shared" si="6"/>
        <v>3.1</v>
      </c>
    </row>
    <row r="241" spans="1:7" x14ac:dyDescent="0.2">
      <c r="C241">
        <v>3</v>
      </c>
      <c r="E241">
        <f t="shared" si="6"/>
        <v>3</v>
      </c>
    </row>
    <row r="242" spans="1:7" x14ac:dyDescent="0.2">
      <c r="C242">
        <v>2.2000000000000002</v>
      </c>
      <c r="E242">
        <f t="shared" si="6"/>
        <v>2.2000000000000002</v>
      </c>
    </row>
    <row r="243" spans="1:7" x14ac:dyDescent="0.2">
      <c r="C243">
        <v>2.2000000000000002</v>
      </c>
      <c r="E243">
        <f t="shared" si="6"/>
        <v>2.2000000000000002</v>
      </c>
    </row>
    <row r="244" spans="1:7" x14ac:dyDescent="0.2">
      <c r="A244" t="s">
        <v>438</v>
      </c>
      <c r="B244">
        <v>2005</v>
      </c>
      <c r="C244">
        <v>5.56</v>
      </c>
      <c r="D244" t="s">
        <v>406</v>
      </c>
      <c r="E244">
        <f t="shared" si="6"/>
        <v>5.56</v>
      </c>
      <c r="G244" t="s">
        <v>437</v>
      </c>
    </row>
    <row r="245" spans="1:7" x14ac:dyDescent="0.2">
      <c r="C245">
        <v>29.4</v>
      </c>
      <c r="E245">
        <f t="shared" si="6"/>
        <v>29.4</v>
      </c>
    </row>
    <row r="246" spans="1:7" x14ac:dyDescent="0.2">
      <c r="C246">
        <v>0</v>
      </c>
      <c r="E246">
        <f t="shared" si="6"/>
        <v>0</v>
      </c>
    </row>
    <row r="247" spans="1:7" x14ac:dyDescent="0.2">
      <c r="C247">
        <v>8.2200000000000006</v>
      </c>
      <c r="E247">
        <f t="shared" si="6"/>
        <v>8.2200000000000006</v>
      </c>
    </row>
    <row r="248" spans="1:7" x14ac:dyDescent="0.2">
      <c r="C248">
        <v>13.3</v>
      </c>
      <c r="E248">
        <f t="shared" si="6"/>
        <v>13.3</v>
      </c>
    </row>
    <row r="249" spans="1:7" x14ac:dyDescent="0.2">
      <c r="C249">
        <v>10.8</v>
      </c>
      <c r="E249">
        <f t="shared" si="6"/>
        <v>10.8</v>
      </c>
    </row>
    <row r="250" spans="1:7" x14ac:dyDescent="0.2">
      <c r="C250">
        <v>5.2</v>
      </c>
      <c r="E250">
        <f t="shared" si="6"/>
        <v>5.2</v>
      </c>
    </row>
    <row r="251" spans="1:7" x14ac:dyDescent="0.2">
      <c r="C251">
        <v>6.3</v>
      </c>
      <c r="E251">
        <f t="shared" si="6"/>
        <v>6.3</v>
      </c>
    </row>
    <row r="252" spans="1:7" x14ac:dyDescent="0.2">
      <c r="C252">
        <v>0</v>
      </c>
      <c r="E252">
        <f t="shared" si="6"/>
        <v>0</v>
      </c>
    </row>
    <row r="253" spans="1:7" x14ac:dyDescent="0.2">
      <c r="A253" t="s">
        <v>440</v>
      </c>
      <c r="B253">
        <v>2020</v>
      </c>
      <c r="C253">
        <v>28.6</v>
      </c>
      <c r="D253" t="s">
        <v>403</v>
      </c>
      <c r="E253">
        <f t="shared" si="6"/>
        <v>28.6</v>
      </c>
      <c r="G253" t="s">
        <v>439</v>
      </c>
    </row>
    <row r="254" spans="1:7" x14ac:dyDescent="0.2">
      <c r="C254">
        <v>44</v>
      </c>
      <c r="E254">
        <f t="shared" si="6"/>
        <v>44</v>
      </c>
    </row>
    <row r="255" spans="1:7" x14ac:dyDescent="0.2">
      <c r="C255">
        <v>1.25</v>
      </c>
      <c r="E255">
        <f t="shared" si="6"/>
        <v>1.25</v>
      </c>
    </row>
    <row r="256" spans="1:7" x14ac:dyDescent="0.2">
      <c r="C256">
        <v>30.5</v>
      </c>
      <c r="E256">
        <f t="shared" si="6"/>
        <v>30.5</v>
      </c>
    </row>
    <row r="257" spans="1:7" x14ac:dyDescent="0.2">
      <c r="C257">
        <v>1.08</v>
      </c>
      <c r="E257">
        <f t="shared" si="6"/>
        <v>1.08</v>
      </c>
    </row>
    <row r="258" spans="1:7" x14ac:dyDescent="0.2">
      <c r="A258" t="s">
        <v>442</v>
      </c>
      <c r="B258">
        <v>2022</v>
      </c>
      <c r="C258">
        <v>2.77</v>
      </c>
      <c r="D258" t="s">
        <v>406</v>
      </c>
      <c r="E258">
        <f t="shared" si="6"/>
        <v>2.77</v>
      </c>
      <c r="G258" t="s">
        <v>441</v>
      </c>
    </row>
    <row r="259" spans="1:7" x14ac:dyDescent="0.2">
      <c r="C259">
        <v>2.71</v>
      </c>
      <c r="E259">
        <f t="shared" si="6"/>
        <v>2.71</v>
      </c>
    </row>
    <row r="260" spans="1:7" x14ac:dyDescent="0.2">
      <c r="C260">
        <v>2.67</v>
      </c>
      <c r="E260">
        <f t="shared" si="6"/>
        <v>2.67</v>
      </c>
    </row>
    <row r="261" spans="1:7" x14ac:dyDescent="0.2">
      <c r="C261">
        <v>2.65</v>
      </c>
      <c r="E261">
        <f t="shared" si="6"/>
        <v>2.65</v>
      </c>
    </row>
    <row r="262" spans="1:7" x14ac:dyDescent="0.2">
      <c r="C262">
        <v>2.73</v>
      </c>
      <c r="E262">
        <f t="shared" si="6"/>
        <v>2.73</v>
      </c>
    </row>
    <row r="263" spans="1:7" x14ac:dyDescent="0.2">
      <c r="C263">
        <v>2.62</v>
      </c>
      <c r="E263">
        <f t="shared" si="6"/>
        <v>2.62</v>
      </c>
    </row>
    <row r="264" spans="1:7" x14ac:dyDescent="0.2">
      <c r="C264">
        <v>3.21</v>
      </c>
      <c r="E264">
        <f t="shared" si="6"/>
        <v>3.21</v>
      </c>
    </row>
    <row r="265" spans="1:7" x14ac:dyDescent="0.2">
      <c r="C265">
        <v>3.09</v>
      </c>
      <c r="E265">
        <f t="shared" si="6"/>
        <v>3.09</v>
      </c>
    </row>
    <row r="266" spans="1:7" x14ac:dyDescent="0.2">
      <c r="C266">
        <v>3.02</v>
      </c>
      <c r="E266">
        <f t="shared" si="6"/>
        <v>3.02</v>
      </c>
    </row>
    <row r="267" spans="1:7" x14ac:dyDescent="0.2">
      <c r="C267">
        <v>1.87</v>
      </c>
      <c r="E267">
        <f t="shared" si="6"/>
        <v>1.87</v>
      </c>
    </row>
    <row r="268" spans="1:7" x14ac:dyDescent="0.2">
      <c r="C268">
        <v>1.73</v>
      </c>
      <c r="E268">
        <f t="shared" ref="E268:E330" si="7">C268</f>
        <v>1.73</v>
      </c>
    </row>
    <row r="269" spans="1:7" x14ac:dyDescent="0.2">
      <c r="C269">
        <v>1.82</v>
      </c>
      <c r="E269">
        <f t="shared" si="7"/>
        <v>1.82</v>
      </c>
    </row>
    <row r="270" spans="1:7" x14ac:dyDescent="0.2">
      <c r="C270">
        <v>1.03</v>
      </c>
      <c r="E270">
        <f t="shared" si="7"/>
        <v>1.03</v>
      </c>
    </row>
    <row r="271" spans="1:7" x14ac:dyDescent="0.2">
      <c r="C271">
        <v>1.08</v>
      </c>
      <c r="E271">
        <f t="shared" si="7"/>
        <v>1.08</v>
      </c>
    </row>
    <row r="272" spans="1:7" x14ac:dyDescent="0.2">
      <c r="C272">
        <v>1.02</v>
      </c>
      <c r="E272">
        <f t="shared" si="7"/>
        <v>1.02</v>
      </c>
    </row>
    <row r="273" spans="1:7" x14ac:dyDescent="0.2">
      <c r="C273">
        <v>1.03</v>
      </c>
      <c r="E273">
        <f t="shared" si="7"/>
        <v>1.03</v>
      </c>
    </row>
    <row r="274" spans="1:7" x14ac:dyDescent="0.2">
      <c r="C274">
        <v>1.07</v>
      </c>
      <c r="E274">
        <f t="shared" si="7"/>
        <v>1.07</v>
      </c>
    </row>
    <row r="275" spans="1:7" x14ac:dyDescent="0.2">
      <c r="C275">
        <v>0.8</v>
      </c>
      <c r="E275">
        <f t="shared" si="7"/>
        <v>0.8</v>
      </c>
    </row>
    <row r="276" spans="1:7" x14ac:dyDescent="0.2">
      <c r="C276">
        <v>6.94</v>
      </c>
      <c r="E276">
        <f t="shared" si="7"/>
        <v>6.94</v>
      </c>
    </row>
    <row r="277" spans="1:7" x14ac:dyDescent="0.2">
      <c r="C277">
        <v>8.11</v>
      </c>
      <c r="E277">
        <f t="shared" si="7"/>
        <v>8.11</v>
      </c>
    </row>
    <row r="278" spans="1:7" x14ac:dyDescent="0.2">
      <c r="C278">
        <v>8.1199999999999992</v>
      </c>
      <c r="E278">
        <f t="shared" si="7"/>
        <v>8.1199999999999992</v>
      </c>
    </row>
    <row r="279" spans="1:7" x14ac:dyDescent="0.2">
      <c r="A279" t="s">
        <v>446</v>
      </c>
      <c r="B279">
        <v>2025</v>
      </c>
      <c r="C279">
        <v>8.8000000000000007</v>
      </c>
      <c r="D279" t="s">
        <v>406</v>
      </c>
      <c r="E279">
        <f t="shared" si="7"/>
        <v>8.8000000000000007</v>
      </c>
      <c r="G279" t="s">
        <v>445</v>
      </c>
    </row>
    <row r="280" spans="1:7" x14ac:dyDescent="0.2">
      <c r="A280" t="s">
        <v>237</v>
      </c>
      <c r="B280">
        <v>2018</v>
      </c>
      <c r="C280">
        <v>210.5</v>
      </c>
      <c r="D280" t="s">
        <v>406</v>
      </c>
      <c r="E280">
        <f t="shared" si="7"/>
        <v>210.5</v>
      </c>
      <c r="G280" t="s">
        <v>447</v>
      </c>
    </row>
    <row r="281" spans="1:7" x14ac:dyDescent="0.2">
      <c r="A281" t="s">
        <v>449</v>
      </c>
      <c r="B281">
        <v>2012</v>
      </c>
      <c r="C281">
        <v>134</v>
      </c>
      <c r="D281" t="s">
        <v>406</v>
      </c>
      <c r="E281">
        <f t="shared" si="7"/>
        <v>134</v>
      </c>
      <c r="G281" t="s">
        <v>448</v>
      </c>
    </row>
    <row r="282" spans="1:7" x14ac:dyDescent="0.2">
      <c r="C282">
        <v>29.9</v>
      </c>
      <c r="E282">
        <f t="shared" si="7"/>
        <v>29.9</v>
      </c>
    </row>
    <row r="283" spans="1:7" x14ac:dyDescent="0.2">
      <c r="C283">
        <v>184</v>
      </c>
      <c r="E283">
        <f t="shared" si="7"/>
        <v>184</v>
      </c>
    </row>
    <row r="284" spans="1:7" x14ac:dyDescent="0.2">
      <c r="C284">
        <v>30.9</v>
      </c>
      <c r="E284">
        <f t="shared" si="7"/>
        <v>30.9</v>
      </c>
    </row>
    <row r="285" spans="1:7" x14ac:dyDescent="0.2">
      <c r="C285">
        <v>106</v>
      </c>
      <c r="E285">
        <f t="shared" si="7"/>
        <v>106</v>
      </c>
    </row>
    <row r="286" spans="1:7" x14ac:dyDescent="0.2">
      <c r="C286">
        <v>232</v>
      </c>
      <c r="E286">
        <f t="shared" si="7"/>
        <v>232</v>
      </c>
    </row>
    <row r="287" spans="1:7" x14ac:dyDescent="0.2">
      <c r="C287">
        <v>298</v>
      </c>
      <c r="E287">
        <f t="shared" si="7"/>
        <v>298</v>
      </c>
    </row>
    <row r="288" spans="1:7" x14ac:dyDescent="0.2">
      <c r="C288">
        <v>192</v>
      </c>
      <c r="E288">
        <f t="shared" si="7"/>
        <v>192</v>
      </c>
    </row>
    <row r="289" spans="3:5" x14ac:dyDescent="0.2">
      <c r="C289">
        <v>80.2</v>
      </c>
      <c r="E289">
        <f t="shared" si="7"/>
        <v>80.2</v>
      </c>
    </row>
    <row r="290" spans="3:5" x14ac:dyDescent="0.2">
      <c r="C290">
        <v>98.3</v>
      </c>
      <c r="E290">
        <f t="shared" si="7"/>
        <v>98.3</v>
      </c>
    </row>
    <row r="291" spans="3:5" x14ac:dyDescent="0.2">
      <c r="C291">
        <v>95.6</v>
      </c>
      <c r="E291">
        <f t="shared" si="7"/>
        <v>95.6</v>
      </c>
    </row>
    <row r="292" spans="3:5" x14ac:dyDescent="0.2">
      <c r="C292">
        <v>23.2</v>
      </c>
      <c r="E292">
        <f t="shared" si="7"/>
        <v>23.2</v>
      </c>
    </row>
    <row r="293" spans="3:5" x14ac:dyDescent="0.2">
      <c r="C293">
        <v>134</v>
      </c>
      <c r="E293">
        <f t="shared" si="7"/>
        <v>134</v>
      </c>
    </row>
    <row r="294" spans="3:5" x14ac:dyDescent="0.2">
      <c r="C294">
        <v>288</v>
      </c>
      <c r="E294">
        <f t="shared" si="7"/>
        <v>288</v>
      </c>
    </row>
    <row r="295" spans="3:5" x14ac:dyDescent="0.2">
      <c r="C295">
        <v>135</v>
      </c>
      <c r="E295">
        <f t="shared" si="7"/>
        <v>135</v>
      </c>
    </row>
    <row r="296" spans="3:5" x14ac:dyDescent="0.2">
      <c r="C296">
        <v>230</v>
      </c>
      <c r="E296">
        <f t="shared" si="7"/>
        <v>230</v>
      </c>
    </row>
    <row r="297" spans="3:5" x14ac:dyDescent="0.2">
      <c r="C297">
        <v>157</v>
      </c>
      <c r="E297">
        <f t="shared" si="7"/>
        <v>157</v>
      </c>
    </row>
    <row r="298" spans="3:5" x14ac:dyDescent="0.2">
      <c r="C298">
        <v>173</v>
      </c>
      <c r="E298">
        <f t="shared" si="7"/>
        <v>173</v>
      </c>
    </row>
    <row r="299" spans="3:5" x14ac:dyDescent="0.2">
      <c r="C299">
        <v>170</v>
      </c>
      <c r="E299">
        <f t="shared" si="7"/>
        <v>170</v>
      </c>
    </row>
    <row r="300" spans="3:5" x14ac:dyDescent="0.2">
      <c r="C300">
        <v>211</v>
      </c>
      <c r="E300">
        <f t="shared" si="7"/>
        <v>211</v>
      </c>
    </row>
    <row r="301" spans="3:5" x14ac:dyDescent="0.2">
      <c r="C301">
        <v>28.3</v>
      </c>
      <c r="E301">
        <f t="shared" si="7"/>
        <v>28.3</v>
      </c>
    </row>
    <row r="302" spans="3:5" x14ac:dyDescent="0.2">
      <c r="C302">
        <v>139</v>
      </c>
      <c r="E302">
        <f t="shared" si="7"/>
        <v>139</v>
      </c>
    </row>
    <row r="303" spans="3:5" x14ac:dyDescent="0.2">
      <c r="C303">
        <v>76.7</v>
      </c>
      <c r="E303">
        <f t="shared" si="7"/>
        <v>76.7</v>
      </c>
    </row>
    <row r="304" spans="3:5" x14ac:dyDescent="0.2">
      <c r="C304">
        <v>24</v>
      </c>
      <c r="E304">
        <f t="shared" si="7"/>
        <v>24</v>
      </c>
    </row>
    <row r="305" spans="1:7" x14ac:dyDescent="0.2">
      <c r="C305">
        <v>27.5</v>
      </c>
      <c r="E305">
        <f t="shared" si="7"/>
        <v>27.5</v>
      </c>
    </row>
    <row r="306" spans="1:7" x14ac:dyDescent="0.2">
      <c r="A306" t="s">
        <v>451</v>
      </c>
      <c r="B306">
        <v>2021</v>
      </c>
      <c r="C306">
        <v>4.7</v>
      </c>
      <c r="D306" t="s">
        <v>406</v>
      </c>
      <c r="E306">
        <f t="shared" si="7"/>
        <v>4.7</v>
      </c>
      <c r="G306" t="s">
        <v>450</v>
      </c>
    </row>
    <row r="307" spans="1:7" x14ac:dyDescent="0.2">
      <c r="C307">
        <v>0</v>
      </c>
      <c r="E307">
        <f t="shared" si="7"/>
        <v>0</v>
      </c>
    </row>
    <row r="308" spans="1:7" x14ac:dyDescent="0.2">
      <c r="C308">
        <v>4.8</v>
      </c>
      <c r="E308">
        <f t="shared" si="7"/>
        <v>4.8</v>
      </c>
    </row>
    <row r="309" spans="1:7" x14ac:dyDescent="0.2">
      <c r="C309">
        <v>14</v>
      </c>
      <c r="E309">
        <f t="shared" si="7"/>
        <v>14</v>
      </c>
    </row>
    <row r="310" spans="1:7" x14ac:dyDescent="0.2">
      <c r="C310">
        <v>0</v>
      </c>
      <c r="E310">
        <f t="shared" si="7"/>
        <v>0</v>
      </c>
    </row>
    <row r="311" spans="1:7" x14ac:dyDescent="0.2">
      <c r="C311">
        <v>23</v>
      </c>
      <c r="E311">
        <f t="shared" si="7"/>
        <v>23</v>
      </c>
    </row>
    <row r="312" spans="1:7" x14ac:dyDescent="0.2">
      <c r="C312">
        <v>18</v>
      </c>
      <c r="E312">
        <f t="shared" si="7"/>
        <v>18</v>
      </c>
    </row>
    <row r="313" spans="1:7" x14ac:dyDescent="0.2">
      <c r="C313">
        <v>241</v>
      </c>
      <c r="E313">
        <f t="shared" si="7"/>
        <v>241</v>
      </c>
    </row>
    <row r="314" spans="1:7" x14ac:dyDescent="0.2">
      <c r="C314">
        <v>0.7</v>
      </c>
      <c r="E314">
        <f t="shared" si="7"/>
        <v>0.7</v>
      </c>
    </row>
    <row r="315" spans="1:7" x14ac:dyDescent="0.2">
      <c r="C315">
        <v>19.7</v>
      </c>
      <c r="E315">
        <f t="shared" si="7"/>
        <v>19.7</v>
      </c>
    </row>
    <row r="316" spans="1:7" x14ac:dyDescent="0.2">
      <c r="C316">
        <v>7.94</v>
      </c>
      <c r="E316">
        <f t="shared" si="7"/>
        <v>7.94</v>
      </c>
    </row>
    <row r="317" spans="1:7" x14ac:dyDescent="0.2">
      <c r="C317">
        <v>0</v>
      </c>
      <c r="E317">
        <f t="shared" si="7"/>
        <v>0</v>
      </c>
    </row>
    <row r="318" spans="1:7" x14ac:dyDescent="0.2">
      <c r="C318">
        <v>19.399999999999999</v>
      </c>
      <c r="E318">
        <f t="shared" si="7"/>
        <v>19.399999999999999</v>
      </c>
    </row>
    <row r="319" spans="1:7" x14ac:dyDescent="0.2">
      <c r="C319">
        <v>4.2999999999999997E-2</v>
      </c>
      <c r="E319">
        <f t="shared" si="7"/>
        <v>4.2999999999999997E-2</v>
      </c>
    </row>
    <row r="320" spans="1:7" x14ac:dyDescent="0.2">
      <c r="C320">
        <v>1.9E-2</v>
      </c>
      <c r="E320">
        <f t="shared" si="7"/>
        <v>1.9E-2</v>
      </c>
    </row>
    <row r="321" spans="3:5" x14ac:dyDescent="0.2">
      <c r="C321">
        <v>0.42</v>
      </c>
      <c r="E321">
        <f t="shared" si="7"/>
        <v>0.42</v>
      </c>
    </row>
    <row r="322" spans="3:5" x14ac:dyDescent="0.2">
      <c r="C322">
        <v>0.13</v>
      </c>
      <c r="E322">
        <f t="shared" si="7"/>
        <v>0.13</v>
      </c>
    </row>
    <row r="323" spans="3:5" x14ac:dyDescent="0.2">
      <c r="C323">
        <v>103</v>
      </c>
      <c r="E323">
        <f t="shared" si="7"/>
        <v>103</v>
      </c>
    </row>
    <row r="324" spans="3:5" x14ac:dyDescent="0.2">
      <c r="C324">
        <v>20.2</v>
      </c>
      <c r="E324">
        <f t="shared" si="7"/>
        <v>20.2</v>
      </c>
    </row>
    <row r="325" spans="3:5" x14ac:dyDescent="0.2">
      <c r="C325">
        <v>23.5</v>
      </c>
      <c r="E325">
        <f t="shared" si="7"/>
        <v>23.5</v>
      </c>
    </row>
    <row r="326" spans="3:5" x14ac:dyDescent="0.2">
      <c r="C326">
        <v>0</v>
      </c>
      <c r="E326">
        <f t="shared" si="7"/>
        <v>0</v>
      </c>
    </row>
    <row r="327" spans="3:5" x14ac:dyDescent="0.2">
      <c r="C327">
        <v>601</v>
      </c>
      <c r="E327">
        <f t="shared" si="7"/>
        <v>601</v>
      </c>
    </row>
    <row r="328" spans="3:5" x14ac:dyDescent="0.2">
      <c r="C328">
        <v>0</v>
      </c>
      <c r="E328">
        <f t="shared" si="7"/>
        <v>0</v>
      </c>
    </row>
    <row r="329" spans="3:5" x14ac:dyDescent="0.2">
      <c r="C329">
        <v>0</v>
      </c>
      <c r="E329">
        <f t="shared" si="7"/>
        <v>0</v>
      </c>
    </row>
    <row r="330" spans="3:5" x14ac:dyDescent="0.2">
      <c r="C330">
        <v>25</v>
      </c>
      <c r="E330">
        <f t="shared" si="7"/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053C-018F-9247-AE59-33615AE8B3D4}">
  <dimension ref="A1:G364"/>
  <sheetViews>
    <sheetView zoomScaleNormal="100" workbookViewId="0">
      <selection activeCell="M16" sqref="M16"/>
    </sheetView>
  </sheetViews>
  <sheetFormatPr baseColWidth="10" defaultRowHeight="16" x14ac:dyDescent="0.2"/>
  <cols>
    <col min="1" max="1" width="20.1640625" bestFit="1" customWidth="1"/>
  </cols>
  <sheetData>
    <row r="1" spans="1:7" x14ac:dyDescent="0.2">
      <c r="A1" t="s">
        <v>182</v>
      </c>
      <c r="B1" t="s">
        <v>173</v>
      </c>
      <c r="C1" t="s">
        <v>176</v>
      </c>
      <c r="D1" t="s">
        <v>177</v>
      </c>
      <c r="E1" t="s">
        <v>406</v>
      </c>
      <c r="F1" t="s">
        <v>178</v>
      </c>
      <c r="G1" t="s">
        <v>174</v>
      </c>
    </row>
    <row r="2" spans="1:7" x14ac:dyDescent="0.2">
      <c r="A2" t="s">
        <v>402</v>
      </c>
      <c r="B2">
        <v>2019</v>
      </c>
      <c r="C2">
        <v>6.1</v>
      </c>
      <c r="D2" t="s">
        <v>403</v>
      </c>
      <c r="E2">
        <f>C2</f>
        <v>6.1</v>
      </c>
      <c r="G2" t="s">
        <v>401</v>
      </c>
    </row>
    <row r="3" spans="1:7" x14ac:dyDescent="0.2">
      <c r="C3">
        <v>14.3</v>
      </c>
      <c r="E3">
        <f t="shared" ref="E3:E66" si="0">C3</f>
        <v>14.3</v>
      </c>
    </row>
    <row r="4" spans="1:7" x14ac:dyDescent="0.2">
      <c r="A4" t="s">
        <v>405</v>
      </c>
      <c r="B4">
        <v>2007</v>
      </c>
      <c r="C4">
        <v>120</v>
      </c>
      <c r="D4" t="s">
        <v>406</v>
      </c>
      <c r="E4">
        <f t="shared" si="0"/>
        <v>120</v>
      </c>
      <c r="G4" t="s">
        <v>404</v>
      </c>
    </row>
    <row r="5" spans="1:7" x14ac:dyDescent="0.2">
      <c r="C5">
        <v>176</v>
      </c>
      <c r="E5">
        <f t="shared" si="0"/>
        <v>176</v>
      </c>
    </row>
    <row r="6" spans="1:7" x14ac:dyDescent="0.2">
      <c r="C6">
        <v>95</v>
      </c>
      <c r="E6">
        <f t="shared" si="0"/>
        <v>95</v>
      </c>
    </row>
    <row r="7" spans="1:7" x14ac:dyDescent="0.2">
      <c r="C7">
        <v>154</v>
      </c>
      <c r="E7">
        <f t="shared" si="0"/>
        <v>154</v>
      </c>
    </row>
    <row r="8" spans="1:7" x14ac:dyDescent="0.2">
      <c r="C8">
        <v>133</v>
      </c>
      <c r="E8">
        <f t="shared" si="0"/>
        <v>133</v>
      </c>
    </row>
    <row r="9" spans="1:7" x14ac:dyDescent="0.2">
      <c r="C9">
        <v>110</v>
      </c>
      <c r="E9">
        <f t="shared" si="0"/>
        <v>110</v>
      </c>
    </row>
    <row r="10" spans="1:7" x14ac:dyDescent="0.2">
      <c r="C10">
        <v>217</v>
      </c>
      <c r="E10">
        <f t="shared" si="0"/>
        <v>217</v>
      </c>
    </row>
    <row r="11" spans="1:7" x14ac:dyDescent="0.2">
      <c r="C11">
        <v>993</v>
      </c>
      <c r="E11">
        <f t="shared" si="0"/>
        <v>993</v>
      </c>
    </row>
    <row r="12" spans="1:7" x14ac:dyDescent="0.2">
      <c r="C12">
        <v>154</v>
      </c>
      <c r="E12">
        <f t="shared" si="0"/>
        <v>154</v>
      </c>
    </row>
    <row r="13" spans="1:7" x14ac:dyDescent="0.2">
      <c r="C13">
        <v>43</v>
      </c>
      <c r="E13">
        <f t="shared" si="0"/>
        <v>43</v>
      </c>
    </row>
    <row r="14" spans="1:7" x14ac:dyDescent="0.2">
      <c r="C14">
        <v>124</v>
      </c>
      <c r="E14">
        <f t="shared" si="0"/>
        <v>124</v>
      </c>
    </row>
    <row r="15" spans="1:7" x14ac:dyDescent="0.2">
      <c r="C15">
        <v>640</v>
      </c>
      <c r="E15">
        <f t="shared" si="0"/>
        <v>640</v>
      </c>
    </row>
    <row r="16" spans="1:7" x14ac:dyDescent="0.2">
      <c r="C16">
        <v>8.1999999999999993</v>
      </c>
      <c r="E16">
        <f t="shared" si="0"/>
        <v>8.1999999999999993</v>
      </c>
    </row>
    <row r="17" spans="1:7" x14ac:dyDescent="0.2">
      <c r="A17" t="s">
        <v>408</v>
      </c>
      <c r="B17">
        <v>2020</v>
      </c>
      <c r="C17">
        <v>11.6</v>
      </c>
      <c r="D17" t="s">
        <v>406</v>
      </c>
      <c r="E17">
        <f t="shared" si="0"/>
        <v>11.6</v>
      </c>
      <c r="G17" t="s">
        <v>407</v>
      </c>
    </row>
    <row r="18" spans="1:7" x14ac:dyDescent="0.2">
      <c r="C18">
        <v>2.97</v>
      </c>
      <c r="E18">
        <f t="shared" si="0"/>
        <v>2.97</v>
      </c>
    </row>
    <row r="19" spans="1:7" x14ac:dyDescent="0.2">
      <c r="C19">
        <v>5.7</v>
      </c>
      <c r="E19">
        <f t="shared" si="0"/>
        <v>5.7</v>
      </c>
    </row>
    <row r="20" spans="1:7" x14ac:dyDescent="0.2">
      <c r="C20">
        <v>19</v>
      </c>
      <c r="E20">
        <f t="shared" si="0"/>
        <v>19</v>
      </c>
    </row>
    <row r="21" spans="1:7" x14ac:dyDescent="0.2">
      <c r="C21">
        <v>8.9</v>
      </c>
      <c r="E21">
        <f t="shared" si="0"/>
        <v>8.9</v>
      </c>
    </row>
    <row r="22" spans="1:7" x14ac:dyDescent="0.2">
      <c r="C22">
        <v>5.13</v>
      </c>
      <c r="E22">
        <f t="shared" si="0"/>
        <v>5.13</v>
      </c>
    </row>
    <row r="23" spans="1:7" x14ac:dyDescent="0.2">
      <c r="C23">
        <v>50.4</v>
      </c>
      <c r="E23">
        <f t="shared" si="0"/>
        <v>50.4</v>
      </c>
    </row>
    <row r="24" spans="1:7" x14ac:dyDescent="0.2">
      <c r="C24">
        <v>2.73</v>
      </c>
      <c r="E24">
        <f t="shared" si="0"/>
        <v>2.73</v>
      </c>
    </row>
    <row r="25" spans="1:7" x14ac:dyDescent="0.2">
      <c r="C25">
        <v>3.4</v>
      </c>
      <c r="E25">
        <f t="shared" si="0"/>
        <v>3.4</v>
      </c>
    </row>
    <row r="26" spans="1:7" x14ac:dyDescent="0.2">
      <c r="C26">
        <v>17.7</v>
      </c>
      <c r="E26">
        <f t="shared" si="0"/>
        <v>17.7</v>
      </c>
    </row>
    <row r="27" spans="1:7" x14ac:dyDescent="0.2">
      <c r="C27">
        <v>14.2</v>
      </c>
      <c r="E27">
        <f t="shared" si="0"/>
        <v>14.2</v>
      </c>
    </row>
    <row r="28" spans="1:7" x14ac:dyDescent="0.2">
      <c r="C28">
        <v>13.1</v>
      </c>
      <c r="E28">
        <f t="shared" si="0"/>
        <v>13.1</v>
      </c>
    </row>
    <row r="29" spans="1:7" x14ac:dyDescent="0.2">
      <c r="C29">
        <v>5.61</v>
      </c>
      <c r="E29">
        <f t="shared" si="0"/>
        <v>5.61</v>
      </c>
    </row>
    <row r="30" spans="1:7" x14ac:dyDescent="0.2">
      <c r="C30">
        <v>16.5</v>
      </c>
      <c r="E30">
        <f t="shared" si="0"/>
        <v>16.5</v>
      </c>
    </row>
    <row r="31" spans="1:7" x14ac:dyDescent="0.2">
      <c r="C31">
        <v>17.899999999999999</v>
      </c>
      <c r="E31">
        <f t="shared" si="0"/>
        <v>17.899999999999999</v>
      </c>
    </row>
    <row r="32" spans="1:7" x14ac:dyDescent="0.2">
      <c r="C32">
        <v>4.54</v>
      </c>
      <c r="E32">
        <f t="shared" si="0"/>
        <v>4.54</v>
      </c>
    </row>
    <row r="33" spans="1:7" x14ac:dyDescent="0.2">
      <c r="C33">
        <v>0.49</v>
      </c>
      <c r="E33">
        <f t="shared" si="0"/>
        <v>0.49</v>
      </c>
    </row>
    <row r="34" spans="1:7" x14ac:dyDescent="0.2">
      <c r="C34">
        <v>2.3199999999999998</v>
      </c>
      <c r="E34">
        <f t="shared" si="0"/>
        <v>2.3199999999999998</v>
      </c>
    </row>
    <row r="35" spans="1:7" x14ac:dyDescent="0.2">
      <c r="C35">
        <v>2.87</v>
      </c>
      <c r="E35">
        <f t="shared" si="0"/>
        <v>2.87</v>
      </c>
    </row>
    <row r="36" spans="1:7" x14ac:dyDescent="0.2">
      <c r="C36">
        <v>4.97</v>
      </c>
      <c r="E36">
        <f t="shared" si="0"/>
        <v>4.97</v>
      </c>
    </row>
    <row r="37" spans="1:7" x14ac:dyDescent="0.2">
      <c r="A37" t="s">
        <v>410</v>
      </c>
      <c r="B37">
        <v>2016</v>
      </c>
      <c r="C37">
        <v>0</v>
      </c>
      <c r="D37" t="s">
        <v>406</v>
      </c>
      <c r="E37">
        <f t="shared" si="0"/>
        <v>0</v>
      </c>
      <c r="G37" t="s">
        <v>409</v>
      </c>
    </row>
    <row r="38" spans="1:7" x14ac:dyDescent="0.2">
      <c r="C38">
        <v>19.3</v>
      </c>
      <c r="E38">
        <f t="shared" si="0"/>
        <v>19.3</v>
      </c>
    </row>
    <row r="39" spans="1:7" x14ac:dyDescent="0.2">
      <c r="C39">
        <v>68.099999999999994</v>
      </c>
      <c r="E39">
        <f t="shared" si="0"/>
        <v>68.099999999999994</v>
      </c>
    </row>
    <row r="40" spans="1:7" x14ac:dyDescent="0.2">
      <c r="A40" t="s">
        <v>412</v>
      </c>
      <c r="B40">
        <v>2021</v>
      </c>
      <c r="C40">
        <v>0.9</v>
      </c>
      <c r="D40" t="s">
        <v>406</v>
      </c>
      <c r="E40">
        <f t="shared" si="0"/>
        <v>0.9</v>
      </c>
      <c r="G40" t="s">
        <v>411</v>
      </c>
    </row>
    <row r="41" spans="1:7" x14ac:dyDescent="0.2">
      <c r="C41">
        <v>7.4</v>
      </c>
      <c r="E41">
        <f t="shared" si="0"/>
        <v>7.4</v>
      </c>
    </row>
    <row r="42" spans="1:7" x14ac:dyDescent="0.2">
      <c r="C42">
        <v>190</v>
      </c>
      <c r="E42">
        <f t="shared" si="0"/>
        <v>190</v>
      </c>
    </row>
    <row r="43" spans="1:7" x14ac:dyDescent="0.2">
      <c r="A43" t="s">
        <v>414</v>
      </c>
      <c r="B43">
        <v>2013</v>
      </c>
      <c r="C43">
        <v>308</v>
      </c>
      <c r="D43" t="s">
        <v>406</v>
      </c>
      <c r="E43">
        <f t="shared" si="0"/>
        <v>308</v>
      </c>
      <c r="G43" t="s">
        <v>413</v>
      </c>
    </row>
    <row r="44" spans="1:7" x14ac:dyDescent="0.2">
      <c r="C44">
        <v>618</v>
      </c>
      <c r="E44">
        <f t="shared" si="0"/>
        <v>618</v>
      </c>
    </row>
    <row r="45" spans="1:7" x14ac:dyDescent="0.2">
      <c r="A45" t="s">
        <v>275</v>
      </c>
      <c r="B45">
        <v>2009</v>
      </c>
      <c r="C45">
        <v>22.5</v>
      </c>
      <c r="D45" t="s">
        <v>406</v>
      </c>
      <c r="E45">
        <f t="shared" si="0"/>
        <v>22.5</v>
      </c>
      <c r="G45" t="s">
        <v>415</v>
      </c>
    </row>
    <row r="46" spans="1:7" x14ac:dyDescent="0.2">
      <c r="C46">
        <v>33.200000000000003</v>
      </c>
      <c r="E46">
        <f t="shared" si="0"/>
        <v>33.200000000000003</v>
      </c>
    </row>
    <row r="47" spans="1:7" x14ac:dyDescent="0.2">
      <c r="C47">
        <v>28.5</v>
      </c>
      <c r="E47">
        <f t="shared" si="0"/>
        <v>28.5</v>
      </c>
    </row>
    <row r="48" spans="1:7" x14ac:dyDescent="0.2">
      <c r="C48">
        <v>28.2</v>
      </c>
      <c r="E48">
        <f t="shared" si="0"/>
        <v>28.2</v>
      </c>
    </row>
    <row r="49" spans="3:5" x14ac:dyDescent="0.2">
      <c r="C49">
        <v>39.200000000000003</v>
      </c>
      <c r="E49">
        <f t="shared" si="0"/>
        <v>39.200000000000003</v>
      </c>
    </row>
    <row r="50" spans="3:5" x14ac:dyDescent="0.2">
      <c r="C50">
        <v>213.5</v>
      </c>
      <c r="E50">
        <f t="shared" si="0"/>
        <v>213.5</v>
      </c>
    </row>
    <row r="51" spans="3:5" x14ac:dyDescent="0.2">
      <c r="C51">
        <v>358.8</v>
      </c>
      <c r="E51">
        <f t="shared" si="0"/>
        <v>358.8</v>
      </c>
    </row>
    <row r="52" spans="3:5" x14ac:dyDescent="0.2">
      <c r="C52">
        <v>228.8</v>
      </c>
      <c r="E52">
        <f t="shared" si="0"/>
        <v>228.8</v>
      </c>
    </row>
    <row r="53" spans="3:5" x14ac:dyDescent="0.2">
      <c r="C53">
        <v>310.3</v>
      </c>
      <c r="E53">
        <f t="shared" si="0"/>
        <v>310.3</v>
      </c>
    </row>
    <row r="54" spans="3:5" x14ac:dyDescent="0.2">
      <c r="C54">
        <v>515.1</v>
      </c>
      <c r="E54">
        <f t="shared" si="0"/>
        <v>515.1</v>
      </c>
    </row>
    <row r="55" spans="3:5" x14ac:dyDescent="0.2">
      <c r="C55">
        <v>13.1</v>
      </c>
      <c r="E55">
        <f t="shared" si="0"/>
        <v>13.1</v>
      </c>
    </row>
    <row r="56" spans="3:5" x14ac:dyDescent="0.2">
      <c r="C56">
        <v>21.5</v>
      </c>
      <c r="E56">
        <f t="shared" si="0"/>
        <v>21.5</v>
      </c>
    </row>
    <row r="57" spans="3:5" x14ac:dyDescent="0.2">
      <c r="C57">
        <v>14</v>
      </c>
      <c r="E57">
        <f t="shared" si="0"/>
        <v>14</v>
      </c>
    </row>
    <row r="58" spans="3:5" x14ac:dyDescent="0.2">
      <c r="C58">
        <v>33.299999999999997</v>
      </c>
      <c r="E58">
        <f t="shared" si="0"/>
        <v>33.299999999999997</v>
      </c>
    </row>
    <row r="59" spans="3:5" x14ac:dyDescent="0.2">
      <c r="C59">
        <v>30.7</v>
      </c>
      <c r="E59">
        <f t="shared" si="0"/>
        <v>30.7</v>
      </c>
    </row>
    <row r="60" spans="3:5" x14ac:dyDescent="0.2">
      <c r="C60">
        <v>145.1</v>
      </c>
      <c r="E60">
        <f t="shared" si="0"/>
        <v>145.1</v>
      </c>
    </row>
    <row r="61" spans="3:5" x14ac:dyDescent="0.2">
      <c r="C61">
        <v>245.1</v>
      </c>
      <c r="E61">
        <f t="shared" si="0"/>
        <v>245.1</v>
      </c>
    </row>
    <row r="62" spans="3:5" x14ac:dyDescent="0.2">
      <c r="C62">
        <v>162.5</v>
      </c>
      <c r="E62">
        <f t="shared" si="0"/>
        <v>162.5</v>
      </c>
    </row>
    <row r="63" spans="3:5" x14ac:dyDescent="0.2">
      <c r="C63">
        <v>291.60000000000002</v>
      </c>
      <c r="E63">
        <f t="shared" si="0"/>
        <v>291.60000000000002</v>
      </c>
    </row>
    <row r="64" spans="3:5" x14ac:dyDescent="0.2">
      <c r="C64">
        <v>445.2</v>
      </c>
      <c r="E64">
        <f t="shared" si="0"/>
        <v>445.2</v>
      </c>
    </row>
    <row r="65" spans="1:7" x14ac:dyDescent="0.2">
      <c r="C65">
        <v>14.1</v>
      </c>
      <c r="E65">
        <f t="shared" si="0"/>
        <v>14.1</v>
      </c>
    </row>
    <row r="66" spans="1:7" x14ac:dyDescent="0.2">
      <c r="C66">
        <v>29</v>
      </c>
      <c r="E66">
        <f t="shared" si="0"/>
        <v>29</v>
      </c>
    </row>
    <row r="67" spans="1:7" x14ac:dyDescent="0.2">
      <c r="C67">
        <v>15.5</v>
      </c>
      <c r="E67">
        <f t="shared" ref="E67:E130" si="1">C67</f>
        <v>15.5</v>
      </c>
    </row>
    <row r="68" spans="1:7" x14ac:dyDescent="0.2">
      <c r="C68">
        <v>35.200000000000003</v>
      </c>
      <c r="E68">
        <f t="shared" si="1"/>
        <v>35.200000000000003</v>
      </c>
    </row>
    <row r="69" spans="1:7" x14ac:dyDescent="0.2">
      <c r="C69">
        <v>35.700000000000003</v>
      </c>
      <c r="E69">
        <f t="shared" si="1"/>
        <v>35.700000000000003</v>
      </c>
    </row>
    <row r="70" spans="1:7" x14ac:dyDescent="0.2">
      <c r="C70">
        <v>317.89999999999998</v>
      </c>
      <c r="E70">
        <f t="shared" si="1"/>
        <v>317.89999999999998</v>
      </c>
    </row>
    <row r="71" spans="1:7" x14ac:dyDescent="0.2">
      <c r="C71">
        <v>617.70000000000005</v>
      </c>
      <c r="E71">
        <f t="shared" si="1"/>
        <v>617.70000000000005</v>
      </c>
    </row>
    <row r="72" spans="1:7" x14ac:dyDescent="0.2">
      <c r="C72">
        <v>377.1</v>
      </c>
      <c r="E72">
        <f t="shared" si="1"/>
        <v>377.1</v>
      </c>
    </row>
    <row r="73" spans="1:7" x14ac:dyDescent="0.2">
      <c r="C73">
        <v>390.1</v>
      </c>
      <c r="E73">
        <f t="shared" si="1"/>
        <v>390.1</v>
      </c>
    </row>
    <row r="74" spans="1:7" x14ac:dyDescent="0.2">
      <c r="C74">
        <v>702.2</v>
      </c>
      <c r="E74">
        <f t="shared" si="1"/>
        <v>702.2</v>
      </c>
    </row>
    <row r="75" spans="1:7" x14ac:dyDescent="0.2">
      <c r="C75">
        <v>21.5</v>
      </c>
      <c r="E75">
        <f t="shared" si="1"/>
        <v>21.5</v>
      </c>
    </row>
    <row r="76" spans="1:7" x14ac:dyDescent="0.2">
      <c r="C76">
        <v>9</v>
      </c>
      <c r="E76">
        <f t="shared" si="1"/>
        <v>9</v>
      </c>
    </row>
    <row r="77" spans="1:7" x14ac:dyDescent="0.2">
      <c r="C77">
        <v>25.1</v>
      </c>
      <c r="E77">
        <f t="shared" si="1"/>
        <v>25.1</v>
      </c>
    </row>
    <row r="78" spans="1:7" x14ac:dyDescent="0.2">
      <c r="C78">
        <v>22.1</v>
      </c>
      <c r="E78">
        <f t="shared" si="1"/>
        <v>22.1</v>
      </c>
    </row>
    <row r="79" spans="1:7" x14ac:dyDescent="0.2">
      <c r="A79" t="s">
        <v>417</v>
      </c>
      <c r="B79">
        <v>2024</v>
      </c>
      <c r="C79">
        <v>0.13</v>
      </c>
      <c r="D79" t="s">
        <v>406</v>
      </c>
      <c r="E79">
        <f t="shared" si="1"/>
        <v>0.13</v>
      </c>
      <c r="G79" t="s">
        <v>416</v>
      </c>
    </row>
    <row r="80" spans="1:7" x14ac:dyDescent="0.2">
      <c r="C80">
        <v>14</v>
      </c>
      <c r="E80">
        <f t="shared" si="1"/>
        <v>14</v>
      </c>
    </row>
    <row r="81" spans="1:7" x14ac:dyDescent="0.2">
      <c r="C81">
        <v>235</v>
      </c>
      <c r="E81">
        <f t="shared" si="1"/>
        <v>235</v>
      </c>
    </row>
    <row r="82" spans="1:7" x14ac:dyDescent="0.2">
      <c r="A82" t="s">
        <v>419</v>
      </c>
      <c r="B82">
        <v>2025</v>
      </c>
      <c r="C82">
        <v>9.6999999999999993</v>
      </c>
      <c r="D82" t="s">
        <v>406</v>
      </c>
      <c r="E82">
        <f t="shared" si="1"/>
        <v>9.6999999999999993</v>
      </c>
      <c r="G82" t="s">
        <v>418</v>
      </c>
    </row>
    <row r="83" spans="1:7" x14ac:dyDescent="0.2">
      <c r="C83">
        <v>38</v>
      </c>
      <c r="E83">
        <f t="shared" si="1"/>
        <v>38</v>
      </c>
    </row>
    <row r="84" spans="1:7" x14ac:dyDescent="0.2">
      <c r="C84">
        <v>0</v>
      </c>
      <c r="E84">
        <f t="shared" si="1"/>
        <v>0</v>
      </c>
    </row>
    <row r="85" spans="1:7" x14ac:dyDescent="0.2">
      <c r="C85">
        <v>8.1999999999999993</v>
      </c>
      <c r="E85">
        <f t="shared" si="1"/>
        <v>8.1999999999999993</v>
      </c>
    </row>
    <row r="86" spans="1:7" x14ac:dyDescent="0.2">
      <c r="C86">
        <v>4.8</v>
      </c>
      <c r="E86">
        <f t="shared" si="1"/>
        <v>4.8</v>
      </c>
    </row>
    <row r="87" spans="1:7" x14ac:dyDescent="0.2">
      <c r="C87">
        <v>20</v>
      </c>
      <c r="E87">
        <f t="shared" si="1"/>
        <v>20</v>
      </c>
    </row>
    <row r="88" spans="1:7" x14ac:dyDescent="0.2">
      <c r="C88">
        <v>4.9000000000000004</v>
      </c>
      <c r="E88">
        <f t="shared" si="1"/>
        <v>4.9000000000000004</v>
      </c>
    </row>
    <row r="89" spans="1:7" x14ac:dyDescent="0.2">
      <c r="C89">
        <v>8.6999999999999993</v>
      </c>
      <c r="E89">
        <f t="shared" si="1"/>
        <v>8.6999999999999993</v>
      </c>
    </row>
    <row r="90" spans="1:7" x14ac:dyDescent="0.2">
      <c r="C90">
        <v>0</v>
      </c>
      <c r="E90">
        <f t="shared" si="1"/>
        <v>0</v>
      </c>
    </row>
    <row r="91" spans="1:7" x14ac:dyDescent="0.2">
      <c r="C91">
        <v>2.6</v>
      </c>
      <c r="E91">
        <f t="shared" si="1"/>
        <v>2.6</v>
      </c>
    </row>
    <row r="92" spans="1:7" x14ac:dyDescent="0.2">
      <c r="C92">
        <v>4.5</v>
      </c>
      <c r="E92">
        <f t="shared" si="1"/>
        <v>4.5</v>
      </c>
    </row>
    <row r="93" spans="1:7" x14ac:dyDescent="0.2">
      <c r="C93">
        <v>6.3</v>
      </c>
      <c r="E93">
        <f t="shared" si="1"/>
        <v>6.3</v>
      </c>
    </row>
    <row r="94" spans="1:7" x14ac:dyDescent="0.2">
      <c r="C94">
        <v>11</v>
      </c>
      <c r="E94">
        <f t="shared" si="1"/>
        <v>11</v>
      </c>
    </row>
    <row r="95" spans="1:7" x14ac:dyDescent="0.2">
      <c r="C95">
        <v>9.5</v>
      </c>
      <c r="E95">
        <f t="shared" si="1"/>
        <v>9.5</v>
      </c>
    </row>
    <row r="96" spans="1:7" x14ac:dyDescent="0.2">
      <c r="C96">
        <v>5.9</v>
      </c>
      <c r="E96">
        <f t="shared" si="1"/>
        <v>5.9</v>
      </c>
    </row>
    <row r="97" spans="3:5" x14ac:dyDescent="0.2">
      <c r="C97">
        <v>0</v>
      </c>
      <c r="E97">
        <f t="shared" si="1"/>
        <v>0</v>
      </c>
    </row>
    <row r="98" spans="3:5" x14ac:dyDescent="0.2">
      <c r="C98">
        <v>0</v>
      </c>
      <c r="E98">
        <f t="shared" si="1"/>
        <v>0</v>
      </c>
    </row>
    <row r="99" spans="3:5" x14ac:dyDescent="0.2">
      <c r="C99">
        <v>9.8000000000000007</v>
      </c>
      <c r="E99">
        <f t="shared" si="1"/>
        <v>9.8000000000000007</v>
      </c>
    </row>
    <row r="100" spans="3:5" x14ac:dyDescent="0.2">
      <c r="C100">
        <v>0</v>
      </c>
      <c r="E100">
        <f t="shared" si="1"/>
        <v>0</v>
      </c>
    </row>
    <row r="101" spans="3:5" x14ac:dyDescent="0.2">
      <c r="C101">
        <v>16</v>
      </c>
      <c r="E101">
        <f t="shared" si="1"/>
        <v>16</v>
      </c>
    </row>
    <row r="102" spans="3:5" x14ac:dyDescent="0.2">
      <c r="C102">
        <v>0</v>
      </c>
      <c r="E102">
        <f t="shared" si="1"/>
        <v>0</v>
      </c>
    </row>
    <row r="103" spans="3:5" x14ac:dyDescent="0.2">
      <c r="C103">
        <v>8.8000000000000007</v>
      </c>
      <c r="E103">
        <f t="shared" si="1"/>
        <v>8.8000000000000007</v>
      </c>
    </row>
    <row r="104" spans="3:5" x14ac:dyDescent="0.2">
      <c r="C104">
        <v>41</v>
      </c>
      <c r="E104">
        <f t="shared" si="1"/>
        <v>41</v>
      </c>
    </row>
    <row r="105" spans="3:5" x14ac:dyDescent="0.2">
      <c r="C105">
        <v>4.8</v>
      </c>
      <c r="E105">
        <f t="shared" si="1"/>
        <v>4.8</v>
      </c>
    </row>
    <row r="106" spans="3:5" x14ac:dyDescent="0.2">
      <c r="C106">
        <v>5.3</v>
      </c>
      <c r="E106">
        <f t="shared" si="1"/>
        <v>5.3</v>
      </c>
    </row>
    <row r="107" spans="3:5" x14ac:dyDescent="0.2">
      <c r="C107">
        <v>0</v>
      </c>
      <c r="E107">
        <f t="shared" si="1"/>
        <v>0</v>
      </c>
    </row>
    <row r="108" spans="3:5" x14ac:dyDescent="0.2">
      <c r="C108">
        <v>0</v>
      </c>
      <c r="E108">
        <f t="shared" si="1"/>
        <v>0</v>
      </c>
    </row>
    <row r="109" spans="3:5" x14ac:dyDescent="0.2">
      <c r="C109">
        <v>6.5</v>
      </c>
      <c r="E109">
        <f t="shared" si="1"/>
        <v>6.5</v>
      </c>
    </row>
    <row r="110" spans="3:5" x14ac:dyDescent="0.2">
      <c r="C110">
        <v>7.9</v>
      </c>
      <c r="E110">
        <f t="shared" si="1"/>
        <v>7.9</v>
      </c>
    </row>
    <row r="111" spans="3:5" x14ac:dyDescent="0.2">
      <c r="C111">
        <v>7.4</v>
      </c>
      <c r="E111">
        <f t="shared" si="1"/>
        <v>7.4</v>
      </c>
    </row>
    <row r="112" spans="3:5" x14ac:dyDescent="0.2">
      <c r="C112">
        <v>0</v>
      </c>
      <c r="E112">
        <f t="shared" si="1"/>
        <v>0</v>
      </c>
    </row>
    <row r="113" spans="3:5" x14ac:dyDescent="0.2">
      <c r="C113">
        <v>4</v>
      </c>
      <c r="E113">
        <f t="shared" si="1"/>
        <v>4</v>
      </c>
    </row>
    <row r="114" spans="3:5" x14ac:dyDescent="0.2">
      <c r="C114">
        <v>0</v>
      </c>
      <c r="E114">
        <f t="shared" si="1"/>
        <v>0</v>
      </c>
    </row>
    <row r="115" spans="3:5" x14ac:dyDescent="0.2">
      <c r="C115">
        <v>0</v>
      </c>
      <c r="E115">
        <f t="shared" si="1"/>
        <v>0</v>
      </c>
    </row>
    <row r="116" spans="3:5" x14ac:dyDescent="0.2">
      <c r="C116">
        <v>0</v>
      </c>
      <c r="E116">
        <f t="shared" si="1"/>
        <v>0</v>
      </c>
    </row>
    <row r="117" spans="3:5" x14ac:dyDescent="0.2">
      <c r="C117">
        <v>0</v>
      </c>
      <c r="E117">
        <f t="shared" si="1"/>
        <v>0</v>
      </c>
    </row>
    <row r="118" spans="3:5" x14ac:dyDescent="0.2">
      <c r="C118">
        <v>0</v>
      </c>
      <c r="E118">
        <f t="shared" si="1"/>
        <v>0</v>
      </c>
    </row>
    <row r="119" spans="3:5" x14ac:dyDescent="0.2">
      <c r="C119">
        <v>10</v>
      </c>
      <c r="E119">
        <f t="shared" si="1"/>
        <v>10</v>
      </c>
    </row>
    <row r="120" spans="3:5" x14ac:dyDescent="0.2">
      <c r="C120">
        <v>7.7</v>
      </c>
      <c r="E120">
        <f t="shared" si="1"/>
        <v>7.7</v>
      </c>
    </row>
    <row r="121" spans="3:5" x14ac:dyDescent="0.2">
      <c r="C121">
        <v>6.3</v>
      </c>
      <c r="E121">
        <f t="shared" si="1"/>
        <v>6.3</v>
      </c>
    </row>
    <row r="122" spans="3:5" x14ac:dyDescent="0.2">
      <c r="C122">
        <v>0</v>
      </c>
      <c r="E122">
        <f t="shared" si="1"/>
        <v>0</v>
      </c>
    </row>
    <row r="123" spans="3:5" x14ac:dyDescent="0.2">
      <c r="C123">
        <v>0</v>
      </c>
      <c r="E123">
        <f t="shared" si="1"/>
        <v>0</v>
      </c>
    </row>
    <row r="124" spans="3:5" x14ac:dyDescent="0.2">
      <c r="C124">
        <v>0</v>
      </c>
      <c r="E124">
        <f t="shared" si="1"/>
        <v>0</v>
      </c>
    </row>
    <row r="125" spans="3:5" x14ac:dyDescent="0.2">
      <c r="C125">
        <v>13</v>
      </c>
      <c r="E125">
        <f t="shared" si="1"/>
        <v>13</v>
      </c>
    </row>
    <row r="126" spans="3:5" x14ac:dyDescent="0.2">
      <c r="C126">
        <v>24</v>
      </c>
      <c r="E126">
        <f t="shared" si="1"/>
        <v>24</v>
      </c>
    </row>
    <row r="127" spans="3:5" x14ac:dyDescent="0.2">
      <c r="C127">
        <v>13</v>
      </c>
      <c r="E127">
        <f t="shared" si="1"/>
        <v>13</v>
      </c>
    </row>
    <row r="128" spans="3:5" x14ac:dyDescent="0.2">
      <c r="C128">
        <v>0</v>
      </c>
      <c r="E128">
        <f t="shared" si="1"/>
        <v>0</v>
      </c>
    </row>
    <row r="129" spans="1:7" x14ac:dyDescent="0.2">
      <c r="C129">
        <v>6.9</v>
      </c>
      <c r="E129">
        <f t="shared" si="1"/>
        <v>6.9</v>
      </c>
    </row>
    <row r="130" spans="1:7" x14ac:dyDescent="0.2">
      <c r="C130">
        <v>0</v>
      </c>
      <c r="E130">
        <f t="shared" si="1"/>
        <v>0</v>
      </c>
    </row>
    <row r="131" spans="1:7" x14ac:dyDescent="0.2">
      <c r="C131">
        <v>7.9</v>
      </c>
      <c r="E131">
        <f t="shared" ref="E131:E164" si="2">C131</f>
        <v>7.9</v>
      </c>
    </row>
    <row r="132" spans="1:7" x14ac:dyDescent="0.2">
      <c r="C132">
        <v>24</v>
      </c>
      <c r="E132">
        <f t="shared" si="2"/>
        <v>24</v>
      </c>
    </row>
    <row r="133" spans="1:7" x14ac:dyDescent="0.2">
      <c r="C133">
        <v>30</v>
      </c>
      <c r="E133">
        <f t="shared" si="2"/>
        <v>30</v>
      </c>
    </row>
    <row r="134" spans="1:7" x14ac:dyDescent="0.2">
      <c r="C134">
        <v>40</v>
      </c>
      <c r="E134">
        <f t="shared" si="2"/>
        <v>40</v>
      </c>
    </row>
    <row r="135" spans="1:7" x14ac:dyDescent="0.2">
      <c r="C135">
        <v>49</v>
      </c>
      <c r="E135">
        <f t="shared" si="2"/>
        <v>49</v>
      </c>
    </row>
    <row r="136" spans="1:7" x14ac:dyDescent="0.2">
      <c r="A136" t="s">
        <v>421</v>
      </c>
      <c r="B136">
        <v>2023</v>
      </c>
      <c r="C136">
        <v>53</v>
      </c>
      <c r="D136" t="s">
        <v>406</v>
      </c>
      <c r="E136">
        <f t="shared" si="2"/>
        <v>53</v>
      </c>
      <c r="G136" t="s">
        <v>420</v>
      </c>
    </row>
    <row r="137" spans="1:7" x14ac:dyDescent="0.2">
      <c r="C137">
        <v>15</v>
      </c>
      <c r="E137">
        <f t="shared" si="2"/>
        <v>15</v>
      </c>
    </row>
    <row r="138" spans="1:7" x14ac:dyDescent="0.2">
      <c r="C138">
        <v>420</v>
      </c>
      <c r="E138">
        <f t="shared" si="2"/>
        <v>420</v>
      </c>
    </row>
    <row r="139" spans="1:7" x14ac:dyDescent="0.2">
      <c r="C139">
        <v>30</v>
      </c>
      <c r="E139">
        <f t="shared" si="2"/>
        <v>30</v>
      </c>
    </row>
    <row r="140" spans="1:7" x14ac:dyDescent="0.2">
      <c r="C140">
        <v>13</v>
      </c>
      <c r="E140">
        <f t="shared" si="2"/>
        <v>13</v>
      </c>
    </row>
    <row r="141" spans="1:7" x14ac:dyDescent="0.2">
      <c r="C141">
        <v>1.5</v>
      </c>
      <c r="E141">
        <f t="shared" si="2"/>
        <v>1.5</v>
      </c>
    </row>
    <row r="142" spans="1:7" x14ac:dyDescent="0.2">
      <c r="C142">
        <v>4.5999999999999996</v>
      </c>
      <c r="E142">
        <f t="shared" si="2"/>
        <v>4.5999999999999996</v>
      </c>
    </row>
    <row r="143" spans="1:7" x14ac:dyDescent="0.2">
      <c r="C143">
        <v>12</v>
      </c>
      <c r="E143">
        <f t="shared" si="2"/>
        <v>12</v>
      </c>
    </row>
    <row r="144" spans="1:7" x14ac:dyDescent="0.2">
      <c r="C144">
        <v>10</v>
      </c>
      <c r="E144">
        <f t="shared" si="2"/>
        <v>10</v>
      </c>
    </row>
    <row r="145" spans="1:7" x14ac:dyDescent="0.2">
      <c r="C145">
        <v>7.9</v>
      </c>
      <c r="E145">
        <f t="shared" si="2"/>
        <v>7.9</v>
      </c>
    </row>
    <row r="146" spans="1:7" x14ac:dyDescent="0.2">
      <c r="A146" t="s">
        <v>423</v>
      </c>
      <c r="B146">
        <v>2022</v>
      </c>
      <c r="C146">
        <v>9.4</v>
      </c>
      <c r="D146" t="s">
        <v>406</v>
      </c>
      <c r="E146">
        <f t="shared" si="2"/>
        <v>9.4</v>
      </c>
      <c r="G146" t="s">
        <v>422</v>
      </c>
    </row>
    <row r="147" spans="1:7" x14ac:dyDescent="0.2">
      <c r="A147" t="s">
        <v>425</v>
      </c>
      <c r="B147">
        <v>2018</v>
      </c>
      <c r="C147">
        <v>0</v>
      </c>
      <c r="D147" t="s">
        <v>403</v>
      </c>
      <c r="E147">
        <f t="shared" si="2"/>
        <v>0</v>
      </c>
      <c r="G147" t="s">
        <v>424</v>
      </c>
    </row>
    <row r="148" spans="1:7" x14ac:dyDescent="0.2">
      <c r="C148">
        <v>698</v>
      </c>
      <c r="E148">
        <f t="shared" si="2"/>
        <v>698</v>
      </c>
    </row>
    <row r="149" spans="1:7" x14ac:dyDescent="0.2">
      <c r="C149">
        <v>15</v>
      </c>
      <c r="E149">
        <f t="shared" si="2"/>
        <v>15</v>
      </c>
    </row>
    <row r="150" spans="1:7" x14ac:dyDescent="0.2">
      <c r="C150">
        <v>750</v>
      </c>
      <c r="E150">
        <f t="shared" si="2"/>
        <v>750</v>
      </c>
    </row>
    <row r="151" spans="1:7" x14ac:dyDescent="0.2">
      <c r="C151">
        <v>135</v>
      </c>
      <c r="E151">
        <f t="shared" si="2"/>
        <v>135</v>
      </c>
    </row>
    <row r="152" spans="1:7" x14ac:dyDescent="0.2">
      <c r="C152">
        <v>9.5</v>
      </c>
      <c r="E152">
        <f t="shared" si="2"/>
        <v>9.5</v>
      </c>
    </row>
    <row r="153" spans="1:7" x14ac:dyDescent="0.2">
      <c r="C153">
        <v>156</v>
      </c>
      <c r="E153">
        <f t="shared" si="2"/>
        <v>156</v>
      </c>
    </row>
    <row r="154" spans="1:7" x14ac:dyDescent="0.2">
      <c r="C154">
        <v>4.5999999999999996</v>
      </c>
      <c r="E154">
        <f t="shared" si="2"/>
        <v>4.5999999999999996</v>
      </c>
    </row>
    <row r="155" spans="1:7" x14ac:dyDescent="0.2">
      <c r="C155">
        <v>11.3</v>
      </c>
      <c r="E155">
        <f t="shared" si="2"/>
        <v>11.3</v>
      </c>
    </row>
    <row r="156" spans="1:7" x14ac:dyDescent="0.2">
      <c r="C156">
        <v>0</v>
      </c>
      <c r="E156">
        <f t="shared" si="2"/>
        <v>0</v>
      </c>
    </row>
    <row r="157" spans="1:7" x14ac:dyDescent="0.2">
      <c r="C157">
        <v>65</v>
      </c>
      <c r="E157">
        <f t="shared" si="2"/>
        <v>65</v>
      </c>
    </row>
    <row r="158" spans="1:7" x14ac:dyDescent="0.2">
      <c r="C158">
        <v>306</v>
      </c>
      <c r="E158">
        <f t="shared" si="2"/>
        <v>306</v>
      </c>
    </row>
    <row r="159" spans="1:7" x14ac:dyDescent="0.2">
      <c r="C159">
        <v>618</v>
      </c>
      <c r="E159">
        <f t="shared" si="2"/>
        <v>618</v>
      </c>
    </row>
    <row r="160" spans="1:7" x14ac:dyDescent="0.2">
      <c r="C160">
        <v>7.2</v>
      </c>
      <c r="E160">
        <f t="shared" si="2"/>
        <v>7.2</v>
      </c>
    </row>
    <row r="161" spans="1:7" x14ac:dyDescent="0.2">
      <c r="C161">
        <v>410</v>
      </c>
      <c r="E161">
        <f t="shared" si="2"/>
        <v>410</v>
      </c>
    </row>
    <row r="162" spans="1:7" x14ac:dyDescent="0.2">
      <c r="C162">
        <v>3.1</v>
      </c>
      <c r="E162">
        <f t="shared" si="2"/>
        <v>3.1</v>
      </c>
    </row>
    <row r="163" spans="1:7" x14ac:dyDescent="0.2">
      <c r="C163">
        <v>7305</v>
      </c>
      <c r="E163">
        <f t="shared" si="2"/>
        <v>7305</v>
      </c>
    </row>
    <row r="164" spans="1:7" x14ac:dyDescent="0.2">
      <c r="C164">
        <v>67</v>
      </c>
      <c r="E164">
        <f t="shared" si="2"/>
        <v>67</v>
      </c>
    </row>
    <row r="165" spans="1:7" x14ac:dyDescent="0.2">
      <c r="A165" t="s">
        <v>427</v>
      </c>
      <c r="B165">
        <v>2025</v>
      </c>
      <c r="C165">
        <v>4.3000000000000002E-5</v>
      </c>
      <c r="D165" t="s">
        <v>428</v>
      </c>
      <c r="E165">
        <f>C165*1000</f>
        <v>4.3000000000000003E-2</v>
      </c>
      <c r="G165" t="s">
        <v>426</v>
      </c>
    </row>
    <row r="166" spans="1:7" x14ac:dyDescent="0.2">
      <c r="C166">
        <v>5.5E-2</v>
      </c>
      <c r="E166">
        <f>C166*1000</f>
        <v>55</v>
      </c>
    </row>
    <row r="167" spans="1:7" x14ac:dyDescent="0.2">
      <c r="C167">
        <v>4.7999999999999996E-3</v>
      </c>
      <c r="E167">
        <f t="shared" ref="E167:E205" si="3">C167*1000</f>
        <v>4.8</v>
      </c>
    </row>
    <row r="168" spans="1:7" x14ac:dyDescent="0.2">
      <c r="C168">
        <v>7.3999999999999996E-2</v>
      </c>
      <c r="E168">
        <f t="shared" si="3"/>
        <v>74</v>
      </c>
    </row>
    <row r="169" spans="1:7" x14ac:dyDescent="0.2">
      <c r="C169">
        <v>2.9999999999999997E-4</v>
      </c>
      <c r="E169">
        <f t="shared" si="3"/>
        <v>0.3</v>
      </c>
    </row>
    <row r="170" spans="1:7" x14ac:dyDescent="0.2">
      <c r="C170">
        <v>1E-3</v>
      </c>
      <c r="E170">
        <f t="shared" si="3"/>
        <v>1</v>
      </c>
    </row>
    <row r="171" spans="1:7" x14ac:dyDescent="0.2">
      <c r="C171">
        <v>6.1000000000000004E-3</v>
      </c>
      <c r="E171">
        <f t="shared" si="3"/>
        <v>6.1000000000000005</v>
      </c>
    </row>
    <row r="172" spans="1:7" x14ac:dyDescent="0.2">
      <c r="C172">
        <v>8.0999999999999996E-3</v>
      </c>
      <c r="E172">
        <f t="shared" si="3"/>
        <v>8.1</v>
      </c>
    </row>
    <row r="173" spans="1:7" x14ac:dyDescent="0.2">
      <c r="C173">
        <v>4.1999999999999997E-3</v>
      </c>
      <c r="E173">
        <f t="shared" si="3"/>
        <v>4.2</v>
      </c>
    </row>
    <row r="174" spans="1:7" x14ac:dyDescent="0.2">
      <c r="C174">
        <v>1.0999999999999999E-2</v>
      </c>
      <c r="E174">
        <f t="shared" si="3"/>
        <v>11</v>
      </c>
    </row>
    <row r="175" spans="1:7" x14ac:dyDescent="0.2">
      <c r="C175">
        <v>5.9999999999999995E-4</v>
      </c>
      <c r="E175">
        <f t="shared" si="3"/>
        <v>0.6</v>
      </c>
    </row>
    <row r="176" spans="1:7" x14ac:dyDescent="0.2">
      <c r="C176">
        <v>1.1999999999999999E-3</v>
      </c>
      <c r="E176">
        <f t="shared" si="3"/>
        <v>1.2</v>
      </c>
    </row>
    <row r="177" spans="3:5" x14ac:dyDescent="0.2">
      <c r="C177">
        <v>4.0000000000000001E-3</v>
      </c>
      <c r="E177">
        <f t="shared" si="3"/>
        <v>4</v>
      </c>
    </row>
    <row r="178" spans="3:5" x14ac:dyDescent="0.2">
      <c r="C178">
        <v>1.2E-2</v>
      </c>
      <c r="E178">
        <f t="shared" si="3"/>
        <v>12</v>
      </c>
    </row>
    <row r="179" spans="3:5" x14ac:dyDescent="0.2">
      <c r="C179">
        <v>4.0000000000000002E-4</v>
      </c>
      <c r="E179">
        <f t="shared" si="3"/>
        <v>0.4</v>
      </c>
    </row>
    <row r="180" spans="3:5" x14ac:dyDescent="0.2">
      <c r="C180">
        <v>2E-3</v>
      </c>
      <c r="E180">
        <f t="shared" si="3"/>
        <v>2</v>
      </c>
    </row>
    <row r="181" spans="3:5" x14ac:dyDescent="0.2">
      <c r="C181">
        <v>3.0000000000000001E-3</v>
      </c>
      <c r="E181">
        <f t="shared" si="3"/>
        <v>3</v>
      </c>
    </row>
    <row r="182" spans="3:5" x14ac:dyDescent="0.2">
      <c r="C182">
        <v>1.4E-2</v>
      </c>
      <c r="E182">
        <f t="shared" si="3"/>
        <v>14</v>
      </c>
    </row>
    <row r="183" spans="3:5" x14ac:dyDescent="0.2">
      <c r="C183">
        <v>3.0000000000000001E-3</v>
      </c>
      <c r="E183">
        <f t="shared" si="3"/>
        <v>3</v>
      </c>
    </row>
    <row r="184" spans="3:5" x14ac:dyDescent="0.2">
      <c r="C184">
        <v>6.2E-2</v>
      </c>
      <c r="E184">
        <f t="shared" si="3"/>
        <v>62</v>
      </c>
    </row>
    <row r="185" spans="3:5" x14ac:dyDescent="0.2">
      <c r="C185">
        <v>2E-3</v>
      </c>
      <c r="E185">
        <f t="shared" si="3"/>
        <v>2</v>
      </c>
    </row>
    <row r="186" spans="3:5" x14ac:dyDescent="0.2">
      <c r="C186">
        <v>6.0000000000000001E-3</v>
      </c>
      <c r="E186">
        <f t="shared" si="3"/>
        <v>6</v>
      </c>
    </row>
    <row r="187" spans="3:5" x14ac:dyDescent="0.2">
      <c r="C187">
        <v>4.4000000000000003E-3</v>
      </c>
      <c r="E187">
        <f t="shared" si="3"/>
        <v>4.4000000000000004</v>
      </c>
    </row>
    <row r="188" spans="3:5" x14ac:dyDescent="0.2">
      <c r="C188">
        <v>5.1000000000000004E-3</v>
      </c>
      <c r="E188">
        <f t="shared" si="3"/>
        <v>5.1000000000000005</v>
      </c>
    </row>
    <row r="189" spans="3:5" x14ac:dyDescent="0.2">
      <c r="C189">
        <v>3.7000000000000002E-3</v>
      </c>
      <c r="E189">
        <f t="shared" si="3"/>
        <v>3.7</v>
      </c>
    </row>
    <row r="190" spans="3:5" x14ac:dyDescent="0.2">
      <c r="C190">
        <v>2.5999999999999999E-3</v>
      </c>
      <c r="E190">
        <f t="shared" si="3"/>
        <v>2.6</v>
      </c>
    </row>
    <row r="191" spans="3:5" x14ac:dyDescent="0.2">
      <c r="C191">
        <v>2.5999999999999999E-3</v>
      </c>
      <c r="E191">
        <f t="shared" si="3"/>
        <v>2.6</v>
      </c>
    </row>
    <row r="192" spans="3:5" x14ac:dyDescent="0.2">
      <c r="C192">
        <v>0.17</v>
      </c>
      <c r="E192">
        <f t="shared" si="3"/>
        <v>170</v>
      </c>
    </row>
    <row r="193" spans="1:7" x14ac:dyDescent="0.2">
      <c r="C193">
        <v>5.4000000000000003E-3</v>
      </c>
      <c r="E193">
        <f t="shared" si="3"/>
        <v>5.4</v>
      </c>
    </row>
    <row r="194" spans="1:7" x14ac:dyDescent="0.2">
      <c r="C194">
        <v>5.7999999999999996E-3</v>
      </c>
      <c r="E194">
        <f t="shared" si="3"/>
        <v>5.8</v>
      </c>
    </row>
    <row r="195" spans="1:7" x14ac:dyDescent="0.2">
      <c r="C195">
        <v>0.24</v>
      </c>
      <c r="E195">
        <f t="shared" si="3"/>
        <v>240</v>
      </c>
    </row>
    <row r="196" spans="1:7" x14ac:dyDescent="0.2">
      <c r="C196">
        <v>0.01</v>
      </c>
      <c r="E196">
        <f t="shared" si="3"/>
        <v>10</v>
      </c>
    </row>
    <row r="197" spans="1:7" x14ac:dyDescent="0.2">
      <c r="C197">
        <v>1.0000000000000001E-5</v>
      </c>
      <c r="E197">
        <f t="shared" si="3"/>
        <v>0.01</v>
      </c>
    </row>
    <row r="198" spans="1:7" x14ac:dyDescent="0.2">
      <c r="C198">
        <v>6.7000000000000004E-2</v>
      </c>
      <c r="E198">
        <f t="shared" si="3"/>
        <v>67</v>
      </c>
    </row>
    <row r="199" spans="1:7" x14ac:dyDescent="0.2">
      <c r="C199">
        <v>2.2000000000000001E-3</v>
      </c>
      <c r="E199">
        <f t="shared" si="3"/>
        <v>2.2000000000000002</v>
      </c>
    </row>
    <row r="200" spans="1:7" x14ac:dyDescent="0.2">
      <c r="C200">
        <v>1.9E-2</v>
      </c>
      <c r="E200">
        <f t="shared" si="3"/>
        <v>19</v>
      </c>
    </row>
    <row r="201" spans="1:7" x14ac:dyDescent="0.2">
      <c r="C201">
        <v>5.8999999999999999E-3</v>
      </c>
      <c r="E201">
        <f t="shared" si="3"/>
        <v>5.8999999999999995</v>
      </c>
    </row>
    <row r="202" spans="1:7" x14ac:dyDescent="0.2">
      <c r="C202">
        <v>1.7999999999999999E-2</v>
      </c>
      <c r="E202">
        <f t="shared" si="3"/>
        <v>18</v>
      </c>
    </row>
    <row r="203" spans="1:7" x14ac:dyDescent="0.2">
      <c r="C203">
        <v>5.7999999999999996E-3</v>
      </c>
      <c r="E203">
        <f t="shared" si="3"/>
        <v>5.8</v>
      </c>
    </row>
    <row r="204" spans="1:7" x14ac:dyDescent="0.2">
      <c r="C204">
        <v>1.9E-2</v>
      </c>
      <c r="E204">
        <f t="shared" si="3"/>
        <v>19</v>
      </c>
    </row>
    <row r="205" spans="1:7" x14ac:dyDescent="0.2">
      <c r="C205">
        <v>1.1000000000000001E-3</v>
      </c>
      <c r="E205">
        <f t="shared" si="3"/>
        <v>1.1000000000000001</v>
      </c>
    </row>
    <row r="206" spans="1:7" x14ac:dyDescent="0.2">
      <c r="A206" t="s">
        <v>430</v>
      </c>
      <c r="B206">
        <v>2021</v>
      </c>
      <c r="C206">
        <v>34</v>
      </c>
      <c r="D206" t="s">
        <v>403</v>
      </c>
      <c r="E206">
        <f>C206</f>
        <v>34</v>
      </c>
      <c r="G206" t="s">
        <v>429</v>
      </c>
    </row>
    <row r="207" spans="1:7" x14ac:dyDescent="0.2">
      <c r="C207">
        <v>36</v>
      </c>
      <c r="E207">
        <f t="shared" ref="E207:E219" si="4">C207</f>
        <v>36</v>
      </c>
    </row>
    <row r="208" spans="1:7" x14ac:dyDescent="0.2">
      <c r="C208">
        <v>27</v>
      </c>
      <c r="E208">
        <f t="shared" si="4"/>
        <v>27</v>
      </c>
    </row>
    <row r="209" spans="1:7" x14ac:dyDescent="0.2">
      <c r="C209">
        <v>14</v>
      </c>
      <c r="E209">
        <f t="shared" si="4"/>
        <v>14</v>
      </c>
    </row>
    <row r="210" spans="1:7" x14ac:dyDescent="0.2">
      <c r="A210" t="s">
        <v>432</v>
      </c>
      <c r="B210">
        <v>2021</v>
      </c>
      <c r="C210">
        <v>175.08331107136047</v>
      </c>
      <c r="D210" t="s">
        <v>403</v>
      </c>
      <c r="E210">
        <f t="shared" si="4"/>
        <v>175.08331107136047</v>
      </c>
      <c r="G210" t="s">
        <v>431</v>
      </c>
    </row>
    <row r="211" spans="1:7" x14ac:dyDescent="0.2">
      <c r="C211">
        <v>0.35224166619504799</v>
      </c>
      <c r="E211">
        <f t="shared" si="4"/>
        <v>0.35224166619504799</v>
      </c>
    </row>
    <row r="212" spans="1:7" x14ac:dyDescent="0.2">
      <c r="C212">
        <v>8.0844647883929142</v>
      </c>
      <c r="E212">
        <f t="shared" si="4"/>
        <v>8.0844647883929142</v>
      </c>
    </row>
    <row r="213" spans="1:7" x14ac:dyDescent="0.2">
      <c r="C213">
        <v>27.825448184068833</v>
      </c>
      <c r="E213">
        <f t="shared" si="4"/>
        <v>27.825448184068833</v>
      </c>
    </row>
    <row r="214" spans="1:7" x14ac:dyDescent="0.2">
      <c r="C214">
        <v>12.874624209592346</v>
      </c>
      <c r="E214">
        <f t="shared" si="4"/>
        <v>12.874624209592346</v>
      </c>
    </row>
    <row r="215" spans="1:7" x14ac:dyDescent="0.2">
      <c r="C215">
        <v>144.09319164054253</v>
      </c>
      <c r="E215">
        <f t="shared" si="4"/>
        <v>144.09319164054253</v>
      </c>
    </row>
    <row r="216" spans="1:7" x14ac:dyDescent="0.2">
      <c r="C216">
        <v>42.569118533964833</v>
      </c>
      <c r="E216">
        <f t="shared" si="4"/>
        <v>42.569118533964833</v>
      </c>
    </row>
    <row r="217" spans="1:7" x14ac:dyDescent="0.2">
      <c r="C217">
        <v>284.18212450526613</v>
      </c>
      <c r="E217">
        <f t="shared" si="4"/>
        <v>284.18212450526613</v>
      </c>
    </row>
    <row r="218" spans="1:7" x14ac:dyDescent="0.2">
      <c r="C218">
        <v>98.009898648116391</v>
      </c>
      <c r="E218">
        <f t="shared" si="4"/>
        <v>98.009898648116391</v>
      </c>
    </row>
    <row r="219" spans="1:7" x14ac:dyDescent="0.2">
      <c r="C219">
        <v>27.635007835185551</v>
      </c>
      <c r="E219">
        <f t="shared" si="4"/>
        <v>27.635007835185551</v>
      </c>
    </row>
    <row r="220" spans="1:7" x14ac:dyDescent="0.2">
      <c r="A220" t="s">
        <v>434</v>
      </c>
      <c r="B220">
        <v>2011</v>
      </c>
      <c r="C220">
        <v>0.06</v>
      </c>
      <c r="D220" t="s">
        <v>428</v>
      </c>
      <c r="E220">
        <f>C220*1000</f>
        <v>60</v>
      </c>
      <c r="G220" t="s">
        <v>433</v>
      </c>
    </row>
    <row r="221" spans="1:7" x14ac:dyDescent="0.2">
      <c r="C221">
        <v>3.12</v>
      </c>
      <c r="E221">
        <f t="shared" ref="E221:E228" si="5">C221*1000</f>
        <v>3120</v>
      </c>
    </row>
    <row r="222" spans="1:7" x14ac:dyDescent="0.2">
      <c r="C222">
        <v>8.1000000000000003E-2</v>
      </c>
      <c r="E222">
        <f t="shared" si="5"/>
        <v>81</v>
      </c>
    </row>
    <row r="223" spans="1:7" x14ac:dyDescent="0.2">
      <c r="C223">
        <v>0.16</v>
      </c>
      <c r="E223">
        <f t="shared" si="5"/>
        <v>160</v>
      </c>
    </row>
    <row r="224" spans="1:7" x14ac:dyDescent="0.2">
      <c r="C224">
        <v>6.5000000000000002E-2</v>
      </c>
      <c r="E224">
        <f t="shared" si="5"/>
        <v>65</v>
      </c>
    </row>
    <row r="225" spans="1:7" x14ac:dyDescent="0.2">
      <c r="C225">
        <v>8.0000000000000002E-3</v>
      </c>
      <c r="E225">
        <f t="shared" si="5"/>
        <v>8</v>
      </c>
    </row>
    <row r="226" spans="1:7" x14ac:dyDescent="0.2">
      <c r="C226">
        <v>0.11</v>
      </c>
      <c r="E226">
        <f t="shared" si="5"/>
        <v>110</v>
      </c>
    </row>
    <row r="227" spans="1:7" x14ac:dyDescent="0.2">
      <c r="C227">
        <v>5.0000000000000001E-3</v>
      </c>
      <c r="E227">
        <f t="shared" si="5"/>
        <v>5</v>
      </c>
    </row>
    <row r="228" spans="1:7" x14ac:dyDescent="0.2">
      <c r="C228">
        <v>7.3999999999999996E-2</v>
      </c>
      <c r="E228">
        <f t="shared" si="5"/>
        <v>74</v>
      </c>
    </row>
    <row r="229" spans="1:7" x14ac:dyDescent="0.2">
      <c r="A229" t="s">
        <v>436</v>
      </c>
      <c r="B229">
        <v>2017</v>
      </c>
      <c r="C229">
        <v>0</v>
      </c>
      <c r="D229" t="s">
        <v>406</v>
      </c>
      <c r="E229">
        <f>C229</f>
        <v>0</v>
      </c>
      <c r="G229" t="s">
        <v>435</v>
      </c>
    </row>
    <row r="230" spans="1:7" x14ac:dyDescent="0.2">
      <c r="C230">
        <v>9.1999999999999993</v>
      </c>
      <c r="E230">
        <f t="shared" ref="E230:E293" si="6">C230</f>
        <v>9.1999999999999993</v>
      </c>
    </row>
    <row r="231" spans="1:7" x14ac:dyDescent="0.2">
      <c r="C231">
        <v>2.9</v>
      </c>
      <c r="E231">
        <f t="shared" si="6"/>
        <v>2.9</v>
      </c>
    </row>
    <row r="232" spans="1:7" x14ac:dyDescent="0.2">
      <c r="C232">
        <v>0.6</v>
      </c>
      <c r="E232">
        <f t="shared" si="6"/>
        <v>0.6</v>
      </c>
    </row>
    <row r="233" spans="1:7" x14ac:dyDescent="0.2">
      <c r="C233">
        <v>0.52</v>
      </c>
      <c r="E233">
        <f t="shared" si="6"/>
        <v>0.52</v>
      </c>
    </row>
    <row r="234" spans="1:7" x14ac:dyDescent="0.2">
      <c r="C234">
        <v>23</v>
      </c>
      <c r="E234">
        <f t="shared" si="6"/>
        <v>23</v>
      </c>
    </row>
    <row r="235" spans="1:7" x14ac:dyDescent="0.2">
      <c r="C235">
        <v>3.7</v>
      </c>
      <c r="E235">
        <f t="shared" si="6"/>
        <v>3.7</v>
      </c>
    </row>
    <row r="236" spans="1:7" x14ac:dyDescent="0.2">
      <c r="C236">
        <v>1.8</v>
      </c>
      <c r="E236">
        <f t="shared" si="6"/>
        <v>1.8</v>
      </c>
    </row>
    <row r="237" spans="1:7" x14ac:dyDescent="0.2">
      <c r="C237">
        <v>9.6999999999999993</v>
      </c>
      <c r="E237">
        <f t="shared" si="6"/>
        <v>9.6999999999999993</v>
      </c>
    </row>
    <row r="238" spans="1:7" x14ac:dyDescent="0.2">
      <c r="C238">
        <v>8.6</v>
      </c>
      <c r="E238">
        <f t="shared" si="6"/>
        <v>8.6</v>
      </c>
    </row>
    <row r="239" spans="1:7" x14ac:dyDescent="0.2">
      <c r="C239">
        <v>3.1</v>
      </c>
      <c r="E239">
        <f t="shared" si="6"/>
        <v>3.1</v>
      </c>
    </row>
    <row r="240" spans="1:7" x14ac:dyDescent="0.2">
      <c r="C240">
        <v>5.6</v>
      </c>
      <c r="E240">
        <f t="shared" si="6"/>
        <v>5.6</v>
      </c>
    </row>
    <row r="241" spans="3:5" x14ac:dyDescent="0.2">
      <c r="C241">
        <v>1.4</v>
      </c>
      <c r="E241">
        <f t="shared" si="6"/>
        <v>1.4</v>
      </c>
    </row>
    <row r="242" spans="3:5" x14ac:dyDescent="0.2">
      <c r="C242">
        <v>0.79</v>
      </c>
      <c r="E242">
        <f t="shared" si="6"/>
        <v>0.79</v>
      </c>
    </row>
    <row r="243" spans="3:5" x14ac:dyDescent="0.2">
      <c r="C243">
        <v>148</v>
      </c>
      <c r="E243">
        <f t="shared" si="6"/>
        <v>148</v>
      </c>
    </row>
    <row r="244" spans="3:5" x14ac:dyDescent="0.2">
      <c r="C244">
        <v>42</v>
      </c>
      <c r="E244">
        <f t="shared" si="6"/>
        <v>42</v>
      </c>
    </row>
    <row r="245" spans="3:5" x14ac:dyDescent="0.2">
      <c r="C245">
        <v>48</v>
      </c>
      <c r="E245">
        <f t="shared" si="6"/>
        <v>48</v>
      </c>
    </row>
    <row r="246" spans="3:5" x14ac:dyDescent="0.2">
      <c r="C246">
        <v>93</v>
      </c>
      <c r="E246">
        <f t="shared" si="6"/>
        <v>93</v>
      </c>
    </row>
    <row r="247" spans="3:5" x14ac:dyDescent="0.2">
      <c r="C247">
        <v>52</v>
      </c>
      <c r="E247">
        <f t="shared" si="6"/>
        <v>52</v>
      </c>
    </row>
    <row r="248" spans="3:5" x14ac:dyDescent="0.2">
      <c r="C248">
        <v>169</v>
      </c>
      <c r="E248">
        <f t="shared" si="6"/>
        <v>169</v>
      </c>
    </row>
    <row r="249" spans="3:5" x14ac:dyDescent="0.2">
      <c r="C249">
        <v>1.8</v>
      </c>
      <c r="E249">
        <f t="shared" si="6"/>
        <v>1.8</v>
      </c>
    </row>
    <row r="250" spans="3:5" x14ac:dyDescent="0.2">
      <c r="C250">
        <v>1.5</v>
      </c>
      <c r="E250">
        <f t="shared" si="6"/>
        <v>1.5</v>
      </c>
    </row>
    <row r="251" spans="3:5" x14ac:dyDescent="0.2">
      <c r="C251">
        <v>1.9</v>
      </c>
      <c r="E251">
        <f t="shared" si="6"/>
        <v>1.9</v>
      </c>
    </row>
    <row r="252" spans="3:5" x14ac:dyDescent="0.2">
      <c r="C252">
        <v>5.3</v>
      </c>
      <c r="E252">
        <f t="shared" si="6"/>
        <v>5.3</v>
      </c>
    </row>
    <row r="253" spans="3:5" x14ac:dyDescent="0.2">
      <c r="C253">
        <v>7.6</v>
      </c>
      <c r="E253">
        <f t="shared" si="6"/>
        <v>7.6</v>
      </c>
    </row>
    <row r="254" spans="3:5" x14ac:dyDescent="0.2">
      <c r="C254">
        <v>9.4</v>
      </c>
      <c r="E254">
        <f t="shared" si="6"/>
        <v>9.4</v>
      </c>
    </row>
    <row r="255" spans="3:5" x14ac:dyDescent="0.2">
      <c r="C255">
        <v>2.5</v>
      </c>
      <c r="E255">
        <f t="shared" si="6"/>
        <v>2.5</v>
      </c>
    </row>
    <row r="256" spans="3:5" x14ac:dyDescent="0.2">
      <c r="C256">
        <v>6.7</v>
      </c>
      <c r="E256">
        <f t="shared" si="6"/>
        <v>6.7</v>
      </c>
    </row>
    <row r="257" spans="1:7" x14ac:dyDescent="0.2">
      <c r="C257">
        <v>5.5</v>
      </c>
      <c r="E257">
        <f t="shared" si="6"/>
        <v>5.5</v>
      </c>
    </row>
    <row r="258" spans="1:7" x14ac:dyDescent="0.2">
      <c r="C258">
        <v>6.7</v>
      </c>
      <c r="E258">
        <f t="shared" si="6"/>
        <v>6.7</v>
      </c>
    </row>
    <row r="259" spans="1:7" x14ac:dyDescent="0.2">
      <c r="C259">
        <v>13</v>
      </c>
      <c r="E259">
        <f t="shared" si="6"/>
        <v>13</v>
      </c>
    </row>
    <row r="260" spans="1:7" x14ac:dyDescent="0.2">
      <c r="C260">
        <v>2.8</v>
      </c>
      <c r="E260">
        <f t="shared" si="6"/>
        <v>2.8</v>
      </c>
    </row>
    <row r="261" spans="1:7" x14ac:dyDescent="0.2">
      <c r="C261">
        <v>9.1999999999999993</v>
      </c>
      <c r="E261">
        <f t="shared" si="6"/>
        <v>9.1999999999999993</v>
      </c>
    </row>
    <row r="262" spans="1:7" x14ac:dyDescent="0.2">
      <c r="C262">
        <v>7.7</v>
      </c>
      <c r="E262">
        <f t="shared" si="6"/>
        <v>7.7</v>
      </c>
    </row>
    <row r="263" spans="1:7" x14ac:dyDescent="0.2">
      <c r="C263">
        <v>1.6</v>
      </c>
      <c r="E263">
        <f t="shared" si="6"/>
        <v>1.6</v>
      </c>
    </row>
    <row r="264" spans="1:7" x14ac:dyDescent="0.2">
      <c r="C264">
        <v>1.9</v>
      </c>
      <c r="E264">
        <f t="shared" si="6"/>
        <v>1.9</v>
      </c>
    </row>
    <row r="265" spans="1:7" x14ac:dyDescent="0.2">
      <c r="C265">
        <v>21</v>
      </c>
      <c r="E265">
        <f t="shared" si="6"/>
        <v>21</v>
      </c>
    </row>
    <row r="266" spans="1:7" x14ac:dyDescent="0.2">
      <c r="C266">
        <v>5.9</v>
      </c>
      <c r="E266">
        <f t="shared" si="6"/>
        <v>5.9</v>
      </c>
    </row>
    <row r="267" spans="1:7" x14ac:dyDescent="0.2">
      <c r="C267">
        <v>1.5</v>
      </c>
      <c r="E267">
        <f t="shared" si="6"/>
        <v>1.5</v>
      </c>
    </row>
    <row r="268" spans="1:7" x14ac:dyDescent="0.2">
      <c r="C268">
        <v>6.5</v>
      </c>
      <c r="E268">
        <f t="shared" si="6"/>
        <v>6.5</v>
      </c>
    </row>
    <row r="269" spans="1:7" x14ac:dyDescent="0.2">
      <c r="C269">
        <v>9.5</v>
      </c>
      <c r="E269">
        <f t="shared" si="6"/>
        <v>9.5</v>
      </c>
    </row>
    <row r="270" spans="1:7" x14ac:dyDescent="0.2">
      <c r="C270">
        <v>3.3</v>
      </c>
      <c r="E270">
        <f t="shared" si="6"/>
        <v>3.3</v>
      </c>
    </row>
    <row r="271" spans="1:7" x14ac:dyDescent="0.2">
      <c r="C271">
        <v>5.9</v>
      </c>
      <c r="E271">
        <f t="shared" si="6"/>
        <v>5.9</v>
      </c>
    </row>
    <row r="272" spans="1:7" x14ac:dyDescent="0.2">
      <c r="A272" t="s">
        <v>438</v>
      </c>
      <c r="B272">
        <v>2005</v>
      </c>
      <c r="C272">
        <v>2610</v>
      </c>
      <c r="D272" t="s">
        <v>406</v>
      </c>
      <c r="E272">
        <f t="shared" si="6"/>
        <v>2610</v>
      </c>
      <c r="G272" t="s">
        <v>437</v>
      </c>
    </row>
    <row r="273" spans="1:7" x14ac:dyDescent="0.2">
      <c r="C273">
        <v>167</v>
      </c>
      <c r="E273">
        <f t="shared" si="6"/>
        <v>167</v>
      </c>
    </row>
    <row r="274" spans="1:7" x14ac:dyDescent="0.2">
      <c r="C274">
        <v>139</v>
      </c>
      <c r="E274">
        <f t="shared" si="6"/>
        <v>139</v>
      </c>
    </row>
    <row r="275" spans="1:7" x14ac:dyDescent="0.2">
      <c r="C275">
        <v>62.8</v>
      </c>
      <c r="E275">
        <f t="shared" si="6"/>
        <v>62.8</v>
      </c>
    </row>
    <row r="276" spans="1:7" x14ac:dyDescent="0.2">
      <c r="C276">
        <v>14.4</v>
      </c>
      <c r="E276">
        <f t="shared" si="6"/>
        <v>14.4</v>
      </c>
    </row>
    <row r="277" spans="1:7" x14ac:dyDescent="0.2">
      <c r="C277">
        <v>77.3</v>
      </c>
      <c r="E277">
        <f t="shared" si="6"/>
        <v>77.3</v>
      </c>
    </row>
    <row r="278" spans="1:7" x14ac:dyDescent="0.2">
      <c r="C278">
        <v>66.599999999999994</v>
      </c>
      <c r="E278">
        <f t="shared" si="6"/>
        <v>66.599999999999994</v>
      </c>
    </row>
    <row r="279" spans="1:7" x14ac:dyDescent="0.2">
      <c r="C279">
        <v>444</v>
      </c>
      <c r="E279">
        <f t="shared" si="6"/>
        <v>444</v>
      </c>
    </row>
    <row r="280" spans="1:7" x14ac:dyDescent="0.2">
      <c r="C280">
        <v>22.6</v>
      </c>
      <c r="E280">
        <f t="shared" si="6"/>
        <v>22.6</v>
      </c>
    </row>
    <row r="281" spans="1:7" x14ac:dyDescent="0.2">
      <c r="C281">
        <v>251</v>
      </c>
      <c r="E281">
        <f t="shared" si="6"/>
        <v>251</v>
      </c>
    </row>
    <row r="282" spans="1:7" x14ac:dyDescent="0.2">
      <c r="C282">
        <v>28.9</v>
      </c>
      <c r="E282">
        <f t="shared" si="6"/>
        <v>28.9</v>
      </c>
    </row>
    <row r="283" spans="1:7" x14ac:dyDescent="0.2">
      <c r="C283">
        <v>38.200000000000003</v>
      </c>
      <c r="E283">
        <f t="shared" si="6"/>
        <v>38.200000000000003</v>
      </c>
    </row>
    <row r="284" spans="1:7" x14ac:dyDescent="0.2">
      <c r="C284">
        <v>30.9</v>
      </c>
      <c r="E284">
        <f t="shared" si="6"/>
        <v>30.9</v>
      </c>
    </row>
    <row r="285" spans="1:7" x14ac:dyDescent="0.2">
      <c r="A285" t="s">
        <v>440</v>
      </c>
      <c r="B285">
        <v>2020</v>
      </c>
      <c r="C285">
        <v>12.6</v>
      </c>
      <c r="D285" t="s">
        <v>403</v>
      </c>
      <c r="E285">
        <f t="shared" si="6"/>
        <v>12.6</v>
      </c>
      <c r="G285" t="s">
        <v>439</v>
      </c>
    </row>
    <row r="286" spans="1:7" x14ac:dyDescent="0.2">
      <c r="C286">
        <v>11.4</v>
      </c>
      <c r="E286">
        <f t="shared" si="6"/>
        <v>11.4</v>
      </c>
    </row>
    <row r="287" spans="1:7" x14ac:dyDescent="0.2">
      <c r="C287">
        <v>13.6</v>
      </c>
      <c r="E287">
        <f t="shared" si="6"/>
        <v>13.6</v>
      </c>
    </row>
    <row r="288" spans="1:7" x14ac:dyDescent="0.2">
      <c r="C288">
        <v>13.3</v>
      </c>
      <c r="E288">
        <f t="shared" si="6"/>
        <v>13.3</v>
      </c>
    </row>
    <row r="289" spans="1:7" x14ac:dyDescent="0.2">
      <c r="C289">
        <v>12.9</v>
      </c>
      <c r="E289">
        <f t="shared" si="6"/>
        <v>12.9</v>
      </c>
    </row>
    <row r="290" spans="1:7" x14ac:dyDescent="0.2">
      <c r="A290" t="s">
        <v>442</v>
      </c>
      <c r="B290">
        <v>2022</v>
      </c>
      <c r="C290">
        <v>16.899999999999999</v>
      </c>
      <c r="D290" t="s">
        <v>406</v>
      </c>
      <c r="E290">
        <f t="shared" si="6"/>
        <v>16.899999999999999</v>
      </c>
      <c r="G290" t="s">
        <v>441</v>
      </c>
    </row>
    <row r="291" spans="1:7" x14ac:dyDescent="0.2">
      <c r="C291">
        <v>14.6</v>
      </c>
      <c r="E291">
        <f t="shared" si="6"/>
        <v>14.6</v>
      </c>
    </row>
    <row r="292" spans="1:7" x14ac:dyDescent="0.2">
      <c r="C292">
        <v>16.8</v>
      </c>
      <c r="E292">
        <f t="shared" si="6"/>
        <v>16.8</v>
      </c>
    </row>
    <row r="293" spans="1:7" x14ac:dyDescent="0.2">
      <c r="C293">
        <v>39</v>
      </c>
      <c r="E293">
        <f t="shared" si="6"/>
        <v>39</v>
      </c>
    </row>
    <row r="294" spans="1:7" x14ac:dyDescent="0.2">
      <c r="C294">
        <v>52.2</v>
      </c>
      <c r="E294">
        <f t="shared" ref="E294:E357" si="7">C294</f>
        <v>52.2</v>
      </c>
    </row>
    <row r="295" spans="1:7" x14ac:dyDescent="0.2">
      <c r="C295">
        <v>38.200000000000003</v>
      </c>
      <c r="E295">
        <f t="shared" si="7"/>
        <v>38.200000000000003</v>
      </c>
    </row>
    <row r="296" spans="1:7" x14ac:dyDescent="0.2">
      <c r="C296">
        <v>10</v>
      </c>
      <c r="E296">
        <f t="shared" si="7"/>
        <v>10</v>
      </c>
    </row>
    <row r="297" spans="1:7" x14ac:dyDescent="0.2">
      <c r="C297">
        <v>7.39</v>
      </c>
      <c r="E297">
        <f t="shared" si="7"/>
        <v>7.39</v>
      </c>
    </row>
    <row r="298" spans="1:7" x14ac:dyDescent="0.2">
      <c r="C298">
        <v>11.3</v>
      </c>
      <c r="E298">
        <f t="shared" si="7"/>
        <v>11.3</v>
      </c>
    </row>
    <row r="299" spans="1:7" x14ac:dyDescent="0.2">
      <c r="C299">
        <v>21.2</v>
      </c>
      <c r="E299">
        <f t="shared" si="7"/>
        <v>21.2</v>
      </c>
    </row>
    <row r="300" spans="1:7" x14ac:dyDescent="0.2">
      <c r="C300">
        <v>14.8</v>
      </c>
      <c r="E300">
        <f t="shared" si="7"/>
        <v>14.8</v>
      </c>
    </row>
    <row r="301" spans="1:7" x14ac:dyDescent="0.2">
      <c r="C301">
        <v>17.899999999999999</v>
      </c>
      <c r="E301">
        <f t="shared" si="7"/>
        <v>17.899999999999999</v>
      </c>
    </row>
    <row r="302" spans="1:7" x14ac:dyDescent="0.2">
      <c r="C302">
        <v>0.628</v>
      </c>
      <c r="E302">
        <f t="shared" si="7"/>
        <v>0.628</v>
      </c>
    </row>
    <row r="303" spans="1:7" x14ac:dyDescent="0.2">
      <c r="C303">
        <v>0.38600000000000001</v>
      </c>
      <c r="E303">
        <f t="shared" si="7"/>
        <v>0.38600000000000001</v>
      </c>
    </row>
    <row r="304" spans="1:7" x14ac:dyDescent="0.2">
      <c r="C304">
        <v>0.47799999999999998</v>
      </c>
      <c r="E304">
        <f t="shared" si="7"/>
        <v>0.47799999999999998</v>
      </c>
    </row>
    <row r="305" spans="1:7" x14ac:dyDescent="0.2">
      <c r="C305">
        <v>0.98599999999999999</v>
      </c>
      <c r="E305">
        <f t="shared" si="7"/>
        <v>0.98599999999999999</v>
      </c>
    </row>
    <row r="306" spans="1:7" x14ac:dyDescent="0.2">
      <c r="C306">
        <v>2.7</v>
      </c>
      <c r="E306">
        <f t="shared" si="7"/>
        <v>2.7</v>
      </c>
    </row>
    <row r="307" spans="1:7" x14ac:dyDescent="0.2">
      <c r="C307">
        <v>1.1499999999999999</v>
      </c>
      <c r="E307">
        <f t="shared" si="7"/>
        <v>1.1499999999999999</v>
      </c>
    </row>
    <row r="308" spans="1:7" x14ac:dyDescent="0.2">
      <c r="C308">
        <v>136</v>
      </c>
      <c r="E308">
        <f t="shared" si="7"/>
        <v>136</v>
      </c>
    </row>
    <row r="309" spans="1:7" x14ac:dyDescent="0.2">
      <c r="C309">
        <v>133</v>
      </c>
      <c r="E309">
        <f t="shared" si="7"/>
        <v>133</v>
      </c>
    </row>
    <row r="310" spans="1:7" x14ac:dyDescent="0.2">
      <c r="C310">
        <v>150</v>
      </c>
      <c r="E310">
        <f t="shared" si="7"/>
        <v>150</v>
      </c>
    </row>
    <row r="311" spans="1:7" x14ac:dyDescent="0.2">
      <c r="A311" t="s">
        <v>444</v>
      </c>
      <c r="B311">
        <v>2015</v>
      </c>
      <c r="C311">
        <v>3.21</v>
      </c>
      <c r="D311" t="s">
        <v>406</v>
      </c>
      <c r="E311">
        <f t="shared" si="7"/>
        <v>3.21</v>
      </c>
      <c r="G311" t="s">
        <v>443</v>
      </c>
    </row>
    <row r="312" spans="1:7" x14ac:dyDescent="0.2">
      <c r="C312">
        <v>0</v>
      </c>
      <c r="E312">
        <f t="shared" si="7"/>
        <v>0</v>
      </c>
    </row>
    <row r="313" spans="1:7" x14ac:dyDescent="0.2">
      <c r="C313">
        <v>218</v>
      </c>
      <c r="E313">
        <f t="shared" si="7"/>
        <v>218</v>
      </c>
    </row>
    <row r="314" spans="1:7" x14ac:dyDescent="0.2">
      <c r="A314" t="s">
        <v>446</v>
      </c>
      <c r="B314">
        <v>2025</v>
      </c>
      <c r="C314">
        <v>29</v>
      </c>
      <c r="D314" t="s">
        <v>406</v>
      </c>
      <c r="E314">
        <f t="shared" si="7"/>
        <v>29</v>
      </c>
      <c r="G314" t="s">
        <v>445</v>
      </c>
    </row>
    <row r="315" spans="1:7" x14ac:dyDescent="0.2">
      <c r="A315" t="s">
        <v>237</v>
      </c>
      <c r="B315">
        <v>2018</v>
      </c>
      <c r="C315">
        <v>59.1</v>
      </c>
      <c r="D315" t="s">
        <v>406</v>
      </c>
      <c r="E315">
        <f t="shared" si="7"/>
        <v>59.1</v>
      </c>
      <c r="G315" t="s">
        <v>447</v>
      </c>
    </row>
    <row r="316" spans="1:7" x14ac:dyDescent="0.2">
      <c r="A316" t="s">
        <v>449</v>
      </c>
      <c r="B316">
        <v>2012</v>
      </c>
      <c r="C316">
        <v>77.900000000000006</v>
      </c>
      <c r="D316" t="s">
        <v>406</v>
      </c>
      <c r="E316">
        <f t="shared" si="7"/>
        <v>77.900000000000006</v>
      </c>
      <c r="G316" t="s">
        <v>448</v>
      </c>
    </row>
    <row r="317" spans="1:7" x14ac:dyDescent="0.2">
      <c r="C317">
        <v>53.8</v>
      </c>
      <c r="E317">
        <f t="shared" si="7"/>
        <v>53.8</v>
      </c>
    </row>
    <row r="318" spans="1:7" x14ac:dyDescent="0.2">
      <c r="C318">
        <v>50</v>
      </c>
      <c r="E318">
        <f t="shared" si="7"/>
        <v>50</v>
      </c>
    </row>
    <row r="319" spans="1:7" x14ac:dyDescent="0.2">
      <c r="C319">
        <v>34.700000000000003</v>
      </c>
      <c r="E319">
        <f t="shared" si="7"/>
        <v>34.700000000000003</v>
      </c>
    </row>
    <row r="320" spans="1:7" x14ac:dyDescent="0.2">
      <c r="C320">
        <v>56</v>
      </c>
      <c r="E320">
        <f t="shared" si="7"/>
        <v>56</v>
      </c>
    </row>
    <row r="321" spans="3:5" x14ac:dyDescent="0.2">
      <c r="C321">
        <v>34</v>
      </c>
      <c r="E321">
        <f t="shared" si="7"/>
        <v>34</v>
      </c>
    </row>
    <row r="322" spans="3:5" x14ac:dyDescent="0.2">
      <c r="C322">
        <v>124</v>
      </c>
      <c r="E322">
        <f t="shared" si="7"/>
        <v>124</v>
      </c>
    </row>
    <row r="323" spans="3:5" x14ac:dyDescent="0.2">
      <c r="C323">
        <v>69.8</v>
      </c>
      <c r="E323">
        <f t="shared" si="7"/>
        <v>69.8</v>
      </c>
    </row>
    <row r="324" spans="3:5" x14ac:dyDescent="0.2">
      <c r="C324">
        <v>173</v>
      </c>
      <c r="E324">
        <f t="shared" si="7"/>
        <v>173</v>
      </c>
    </row>
    <row r="325" spans="3:5" x14ac:dyDescent="0.2">
      <c r="C325">
        <v>42.4</v>
      </c>
      <c r="E325">
        <f t="shared" si="7"/>
        <v>42.4</v>
      </c>
    </row>
    <row r="326" spans="3:5" x14ac:dyDescent="0.2">
      <c r="C326">
        <v>27.6</v>
      </c>
      <c r="E326">
        <f t="shared" si="7"/>
        <v>27.6</v>
      </c>
    </row>
    <row r="327" spans="3:5" x14ac:dyDescent="0.2">
      <c r="C327">
        <v>39.4</v>
      </c>
      <c r="E327">
        <f t="shared" si="7"/>
        <v>39.4</v>
      </c>
    </row>
    <row r="328" spans="3:5" x14ac:dyDescent="0.2">
      <c r="C328">
        <v>139</v>
      </c>
      <c r="E328">
        <f t="shared" si="7"/>
        <v>139</v>
      </c>
    </row>
    <row r="329" spans="3:5" x14ac:dyDescent="0.2">
      <c r="C329">
        <v>80.5</v>
      </c>
      <c r="E329">
        <f t="shared" si="7"/>
        <v>80.5</v>
      </c>
    </row>
    <row r="330" spans="3:5" x14ac:dyDescent="0.2">
      <c r="C330">
        <v>69.8</v>
      </c>
      <c r="E330">
        <f t="shared" si="7"/>
        <v>69.8</v>
      </c>
    </row>
    <row r="331" spans="3:5" x14ac:dyDescent="0.2">
      <c r="C331">
        <v>46.9</v>
      </c>
      <c r="E331">
        <f t="shared" si="7"/>
        <v>46.9</v>
      </c>
    </row>
    <row r="332" spans="3:5" x14ac:dyDescent="0.2">
      <c r="C332">
        <v>54.2</v>
      </c>
      <c r="E332">
        <f t="shared" si="7"/>
        <v>54.2</v>
      </c>
    </row>
    <row r="333" spans="3:5" x14ac:dyDescent="0.2">
      <c r="C333">
        <v>60.3</v>
      </c>
      <c r="E333">
        <f t="shared" si="7"/>
        <v>60.3</v>
      </c>
    </row>
    <row r="334" spans="3:5" x14ac:dyDescent="0.2">
      <c r="C334">
        <v>95.2</v>
      </c>
      <c r="E334">
        <f t="shared" si="7"/>
        <v>95.2</v>
      </c>
    </row>
    <row r="335" spans="3:5" x14ac:dyDescent="0.2">
      <c r="C335">
        <v>45.8</v>
      </c>
      <c r="E335">
        <f t="shared" si="7"/>
        <v>45.8</v>
      </c>
    </row>
    <row r="336" spans="3:5" x14ac:dyDescent="0.2">
      <c r="C336">
        <v>42.2</v>
      </c>
      <c r="E336">
        <f t="shared" si="7"/>
        <v>42.2</v>
      </c>
    </row>
    <row r="337" spans="1:7" x14ac:dyDescent="0.2">
      <c r="C337">
        <v>44.9</v>
      </c>
      <c r="E337">
        <f t="shared" si="7"/>
        <v>44.9</v>
      </c>
    </row>
    <row r="338" spans="1:7" x14ac:dyDescent="0.2">
      <c r="C338">
        <v>68.3</v>
      </c>
      <c r="E338">
        <f t="shared" si="7"/>
        <v>68.3</v>
      </c>
    </row>
    <row r="339" spans="1:7" x14ac:dyDescent="0.2">
      <c r="C339">
        <v>59</v>
      </c>
      <c r="E339">
        <f t="shared" si="7"/>
        <v>59</v>
      </c>
    </row>
    <row r="340" spans="1:7" x14ac:dyDescent="0.2">
      <c r="C340">
        <v>27.9</v>
      </c>
      <c r="E340">
        <f t="shared" si="7"/>
        <v>27.9</v>
      </c>
    </row>
    <row r="341" spans="1:7" x14ac:dyDescent="0.2">
      <c r="A341" t="s">
        <v>451</v>
      </c>
      <c r="B341">
        <v>2021</v>
      </c>
      <c r="C341">
        <v>10.6</v>
      </c>
      <c r="D341" t="s">
        <v>406</v>
      </c>
      <c r="E341">
        <f t="shared" si="7"/>
        <v>10.6</v>
      </c>
      <c r="G341" t="s">
        <v>450</v>
      </c>
    </row>
    <row r="342" spans="1:7" x14ac:dyDescent="0.2">
      <c r="C342">
        <v>0</v>
      </c>
      <c r="E342">
        <f t="shared" si="7"/>
        <v>0</v>
      </c>
    </row>
    <row r="343" spans="1:7" x14ac:dyDescent="0.2">
      <c r="C343">
        <v>27</v>
      </c>
      <c r="E343">
        <f t="shared" si="7"/>
        <v>27</v>
      </c>
    </row>
    <row r="344" spans="1:7" x14ac:dyDescent="0.2">
      <c r="C344">
        <v>14</v>
      </c>
      <c r="E344">
        <f t="shared" si="7"/>
        <v>14</v>
      </c>
    </row>
    <row r="345" spans="1:7" x14ac:dyDescent="0.2">
      <c r="C345">
        <v>0</v>
      </c>
      <c r="E345">
        <f t="shared" si="7"/>
        <v>0</v>
      </c>
    </row>
    <row r="346" spans="1:7" x14ac:dyDescent="0.2">
      <c r="C346">
        <v>25</v>
      </c>
      <c r="E346">
        <f t="shared" si="7"/>
        <v>25</v>
      </c>
    </row>
    <row r="347" spans="1:7" x14ac:dyDescent="0.2">
      <c r="C347">
        <v>65</v>
      </c>
      <c r="E347">
        <f t="shared" si="7"/>
        <v>65</v>
      </c>
    </row>
    <row r="348" spans="1:7" x14ac:dyDescent="0.2">
      <c r="C348">
        <v>4.8</v>
      </c>
      <c r="E348">
        <f t="shared" si="7"/>
        <v>4.8</v>
      </c>
    </row>
    <row r="349" spans="1:7" x14ac:dyDescent="0.2">
      <c r="C349">
        <v>74.099999999999994</v>
      </c>
      <c r="E349">
        <f t="shared" si="7"/>
        <v>74.099999999999994</v>
      </c>
    </row>
    <row r="350" spans="1:7" x14ac:dyDescent="0.2">
      <c r="C350">
        <v>268.8</v>
      </c>
      <c r="E350">
        <f t="shared" si="7"/>
        <v>268.8</v>
      </c>
    </row>
    <row r="351" spans="1:7" x14ac:dyDescent="0.2">
      <c r="C351">
        <v>0.6</v>
      </c>
      <c r="E351">
        <f t="shared" si="7"/>
        <v>0.6</v>
      </c>
    </row>
    <row r="352" spans="1:7" x14ac:dyDescent="0.2">
      <c r="C352">
        <v>16.7</v>
      </c>
      <c r="E352">
        <f t="shared" si="7"/>
        <v>16.7</v>
      </c>
    </row>
    <row r="353" spans="3:5" x14ac:dyDescent="0.2">
      <c r="C353">
        <v>0.28000000000000003</v>
      </c>
      <c r="E353">
        <f t="shared" si="7"/>
        <v>0.28000000000000003</v>
      </c>
    </row>
    <row r="354" spans="3:5" x14ac:dyDescent="0.2">
      <c r="C354">
        <v>0</v>
      </c>
      <c r="E354">
        <f t="shared" si="7"/>
        <v>0</v>
      </c>
    </row>
    <row r="355" spans="3:5" x14ac:dyDescent="0.2">
      <c r="C355">
        <v>0.54</v>
      </c>
      <c r="E355">
        <f t="shared" si="7"/>
        <v>0.54</v>
      </c>
    </row>
    <row r="356" spans="3:5" x14ac:dyDescent="0.2">
      <c r="C356">
        <v>0.01</v>
      </c>
      <c r="E356">
        <f t="shared" si="7"/>
        <v>0.01</v>
      </c>
    </row>
    <row r="357" spans="3:5" x14ac:dyDescent="0.2">
      <c r="C357">
        <v>1790</v>
      </c>
      <c r="E357">
        <f t="shared" si="7"/>
        <v>1790</v>
      </c>
    </row>
    <row r="358" spans="3:5" x14ac:dyDescent="0.2">
      <c r="C358">
        <v>38.5</v>
      </c>
      <c r="E358">
        <f t="shared" ref="E358:E364" si="8">C358</f>
        <v>38.5</v>
      </c>
    </row>
    <row r="359" spans="3:5" x14ac:dyDescent="0.2">
      <c r="C359">
        <v>19.3</v>
      </c>
      <c r="E359">
        <f t="shared" si="8"/>
        <v>19.3</v>
      </c>
    </row>
    <row r="360" spans="3:5" x14ac:dyDescent="0.2">
      <c r="C360">
        <v>0</v>
      </c>
      <c r="E360">
        <f t="shared" si="8"/>
        <v>0</v>
      </c>
    </row>
    <row r="361" spans="3:5" x14ac:dyDescent="0.2">
      <c r="C361">
        <v>68.099999999999994</v>
      </c>
      <c r="E361">
        <f t="shared" si="8"/>
        <v>68.099999999999994</v>
      </c>
    </row>
    <row r="362" spans="3:5" x14ac:dyDescent="0.2">
      <c r="C362">
        <v>4.7</v>
      </c>
      <c r="E362">
        <f t="shared" si="8"/>
        <v>4.7</v>
      </c>
    </row>
    <row r="363" spans="3:5" x14ac:dyDescent="0.2">
      <c r="C363">
        <v>0</v>
      </c>
      <c r="E363">
        <f t="shared" si="8"/>
        <v>0</v>
      </c>
    </row>
    <row r="364" spans="3:5" x14ac:dyDescent="0.2">
      <c r="C364">
        <v>90</v>
      </c>
      <c r="E364">
        <f t="shared" si="8"/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72A6-ABC6-6F43-B609-4C3BE8C30E8A}">
  <dimension ref="A1:B364"/>
  <sheetViews>
    <sheetView workbookViewId="0">
      <selection activeCell="H327" sqref="H327"/>
    </sheetView>
  </sheetViews>
  <sheetFormatPr baseColWidth="10" defaultRowHeight="16" x14ac:dyDescent="0.2"/>
  <sheetData>
    <row r="1" spans="1:2" x14ac:dyDescent="0.2">
      <c r="A1" t="s">
        <v>452</v>
      </c>
      <c r="B1" t="s">
        <v>453</v>
      </c>
    </row>
    <row r="2" spans="1:2" x14ac:dyDescent="0.2">
      <c r="A2">
        <v>0.7</v>
      </c>
      <c r="B2">
        <v>6.1</v>
      </c>
    </row>
    <row r="3" spans="1:2" x14ac:dyDescent="0.2">
      <c r="A3">
        <v>1.3</v>
      </c>
      <c r="B3">
        <v>14.3</v>
      </c>
    </row>
    <row r="4" spans="1:2" x14ac:dyDescent="0.2">
      <c r="A4">
        <v>33</v>
      </c>
      <c r="B4">
        <v>120</v>
      </c>
    </row>
    <row r="5" spans="1:2" x14ac:dyDescent="0.2">
      <c r="A5">
        <v>66</v>
      </c>
      <c r="B5">
        <v>176</v>
      </c>
    </row>
    <row r="6" spans="1:2" x14ac:dyDescent="0.2">
      <c r="A6">
        <v>219</v>
      </c>
      <c r="B6">
        <v>95</v>
      </c>
    </row>
    <row r="7" spans="1:2" x14ac:dyDescent="0.2">
      <c r="A7">
        <v>62</v>
      </c>
      <c r="B7">
        <v>154</v>
      </c>
    </row>
    <row r="8" spans="1:2" x14ac:dyDescent="0.2">
      <c r="A8">
        <v>62</v>
      </c>
      <c r="B8">
        <v>133</v>
      </c>
    </row>
    <row r="9" spans="1:2" x14ac:dyDescent="0.2">
      <c r="A9">
        <v>16</v>
      </c>
      <c r="B9">
        <v>110</v>
      </c>
    </row>
    <row r="10" spans="1:2" x14ac:dyDescent="0.2">
      <c r="A10">
        <v>117</v>
      </c>
      <c r="B10">
        <v>217</v>
      </c>
    </row>
    <row r="11" spans="1:2" x14ac:dyDescent="0.2">
      <c r="A11">
        <v>151</v>
      </c>
      <c r="B11">
        <v>993</v>
      </c>
    </row>
    <row r="12" spans="1:2" x14ac:dyDescent="0.2">
      <c r="A12">
        <v>39</v>
      </c>
      <c r="B12">
        <v>154</v>
      </c>
    </row>
    <row r="13" spans="1:2" x14ac:dyDescent="0.2">
      <c r="A13">
        <v>20</v>
      </c>
      <c r="B13">
        <v>43</v>
      </c>
    </row>
    <row r="14" spans="1:2" x14ac:dyDescent="0.2">
      <c r="A14">
        <v>36</v>
      </c>
      <c r="B14">
        <v>124</v>
      </c>
    </row>
    <row r="15" spans="1:2" x14ac:dyDescent="0.2">
      <c r="A15">
        <v>178</v>
      </c>
      <c r="B15">
        <v>640</v>
      </c>
    </row>
    <row r="16" spans="1:2" x14ac:dyDescent="0.2">
      <c r="A16">
        <v>8.3000000000000007</v>
      </c>
      <c r="B16">
        <v>8.1999999999999993</v>
      </c>
    </row>
    <row r="17" spans="1:2" x14ac:dyDescent="0.2">
      <c r="A17">
        <v>0</v>
      </c>
      <c r="B17">
        <v>11.6</v>
      </c>
    </row>
    <row r="18" spans="1:2" x14ac:dyDescent="0.2">
      <c r="A18">
        <v>2.5299999999999998</v>
      </c>
      <c r="B18">
        <v>2.97</v>
      </c>
    </row>
    <row r="19" spans="1:2" x14ac:dyDescent="0.2">
      <c r="A19">
        <v>601</v>
      </c>
      <c r="B19">
        <v>5.7</v>
      </c>
    </row>
    <row r="20" spans="1:2" x14ac:dyDescent="0.2">
      <c r="A20">
        <v>0</v>
      </c>
      <c r="B20">
        <v>19</v>
      </c>
    </row>
    <row r="21" spans="1:2" x14ac:dyDescent="0.2">
      <c r="A21">
        <v>4.9000000000000004</v>
      </c>
      <c r="B21">
        <v>8.9</v>
      </c>
    </row>
    <row r="22" spans="1:2" x14ac:dyDescent="0.2">
      <c r="A22">
        <v>45</v>
      </c>
      <c r="B22">
        <v>5.13</v>
      </c>
    </row>
    <row r="23" spans="1:2" x14ac:dyDescent="0.2">
      <c r="A23">
        <v>11.8</v>
      </c>
      <c r="B23">
        <v>50.4</v>
      </c>
    </row>
    <row r="24" spans="1:2" x14ac:dyDescent="0.2">
      <c r="A24">
        <v>70.3</v>
      </c>
      <c r="B24">
        <v>2.73</v>
      </c>
    </row>
    <row r="25" spans="1:2" x14ac:dyDescent="0.2">
      <c r="A25">
        <v>8</v>
      </c>
      <c r="B25">
        <v>3.4</v>
      </c>
    </row>
    <row r="26" spans="1:2" x14ac:dyDescent="0.2">
      <c r="A26">
        <v>12.3</v>
      </c>
      <c r="B26">
        <v>17.7</v>
      </c>
    </row>
    <row r="27" spans="1:2" x14ac:dyDescent="0.2">
      <c r="A27">
        <v>10.5</v>
      </c>
      <c r="B27">
        <v>14.2</v>
      </c>
    </row>
    <row r="28" spans="1:2" x14ac:dyDescent="0.2">
      <c r="A28">
        <v>17.5</v>
      </c>
      <c r="B28">
        <v>13.1</v>
      </c>
    </row>
    <row r="29" spans="1:2" x14ac:dyDescent="0.2">
      <c r="A29">
        <v>36.700000000000003</v>
      </c>
      <c r="B29">
        <v>5.61</v>
      </c>
    </row>
    <row r="30" spans="1:2" x14ac:dyDescent="0.2">
      <c r="A30">
        <v>17.899999999999999</v>
      </c>
      <c r="B30">
        <v>16.5</v>
      </c>
    </row>
    <row r="31" spans="1:2" x14ac:dyDescent="0.2">
      <c r="A31">
        <v>24.9</v>
      </c>
      <c r="B31">
        <v>17.899999999999999</v>
      </c>
    </row>
    <row r="32" spans="1:2" x14ac:dyDescent="0.2">
      <c r="A32">
        <v>28.8</v>
      </c>
      <c r="B32">
        <v>4.54</v>
      </c>
    </row>
    <row r="33" spans="1:2" x14ac:dyDescent="0.2">
      <c r="A33">
        <v>36.6</v>
      </c>
      <c r="B33">
        <v>0.49</v>
      </c>
    </row>
    <row r="34" spans="1:2" x14ac:dyDescent="0.2">
      <c r="A34">
        <v>69</v>
      </c>
      <c r="B34">
        <v>2.3199999999999998</v>
      </c>
    </row>
    <row r="35" spans="1:2" x14ac:dyDescent="0.2">
      <c r="A35">
        <v>8.3000000000000007</v>
      </c>
      <c r="B35">
        <v>2.87</v>
      </c>
    </row>
    <row r="36" spans="1:2" x14ac:dyDescent="0.2">
      <c r="A36">
        <v>6.5</v>
      </c>
      <c r="B36">
        <v>4.97</v>
      </c>
    </row>
    <row r="37" spans="1:2" x14ac:dyDescent="0.2">
      <c r="A37">
        <v>21</v>
      </c>
      <c r="B37">
        <v>0</v>
      </c>
    </row>
    <row r="38" spans="1:2" x14ac:dyDescent="0.2">
      <c r="A38">
        <v>17.399999999999999</v>
      </c>
      <c r="B38">
        <v>19.3</v>
      </c>
    </row>
    <row r="39" spans="1:2" x14ac:dyDescent="0.2">
      <c r="A39">
        <v>18.899999999999999</v>
      </c>
      <c r="B39">
        <v>68.099999999999994</v>
      </c>
    </row>
    <row r="40" spans="1:2" x14ac:dyDescent="0.2">
      <c r="A40">
        <v>25</v>
      </c>
      <c r="B40">
        <v>0.9</v>
      </c>
    </row>
    <row r="41" spans="1:2" x14ac:dyDescent="0.2">
      <c r="A41">
        <v>35</v>
      </c>
      <c r="B41">
        <v>7.4</v>
      </c>
    </row>
    <row r="42" spans="1:2" x14ac:dyDescent="0.2">
      <c r="A42">
        <v>28</v>
      </c>
      <c r="B42">
        <v>190</v>
      </c>
    </row>
    <row r="43" spans="1:2" x14ac:dyDescent="0.2">
      <c r="A43">
        <v>46.9</v>
      </c>
      <c r="B43">
        <v>308</v>
      </c>
    </row>
    <row r="44" spans="1:2" x14ac:dyDescent="0.2">
      <c r="A44">
        <v>13.7</v>
      </c>
      <c r="B44">
        <v>618</v>
      </c>
    </row>
    <row r="45" spans="1:2" x14ac:dyDescent="0.2">
      <c r="A45">
        <v>20.399999999999999</v>
      </c>
      <c r="B45">
        <v>22.5</v>
      </c>
    </row>
    <row r="46" spans="1:2" x14ac:dyDescent="0.2">
      <c r="A46">
        <v>7.6</v>
      </c>
      <c r="B46">
        <v>33.200000000000003</v>
      </c>
    </row>
    <row r="47" spans="1:2" x14ac:dyDescent="0.2">
      <c r="A47">
        <v>27.4</v>
      </c>
      <c r="B47">
        <v>28.5</v>
      </c>
    </row>
    <row r="48" spans="1:2" x14ac:dyDescent="0.2">
      <c r="A48">
        <v>45.8</v>
      </c>
      <c r="B48">
        <v>28.2</v>
      </c>
    </row>
    <row r="49" spans="1:2" x14ac:dyDescent="0.2">
      <c r="A49">
        <v>26.9</v>
      </c>
      <c r="B49">
        <v>39.200000000000003</v>
      </c>
    </row>
    <row r="50" spans="1:2" x14ac:dyDescent="0.2">
      <c r="A50">
        <v>54.4</v>
      </c>
      <c r="B50">
        <v>213.5</v>
      </c>
    </row>
    <row r="51" spans="1:2" x14ac:dyDescent="0.2">
      <c r="A51">
        <v>45</v>
      </c>
      <c r="B51">
        <v>358.8</v>
      </c>
    </row>
    <row r="52" spans="1:2" x14ac:dyDescent="0.2">
      <c r="A52">
        <v>39.9</v>
      </c>
      <c r="B52">
        <v>228.8</v>
      </c>
    </row>
    <row r="53" spans="1:2" x14ac:dyDescent="0.2">
      <c r="A53">
        <v>47.5</v>
      </c>
      <c r="B53">
        <v>310.3</v>
      </c>
    </row>
    <row r="54" spans="1:2" x14ac:dyDescent="0.2">
      <c r="A54">
        <v>13.1</v>
      </c>
      <c r="B54">
        <v>515.1</v>
      </c>
    </row>
    <row r="55" spans="1:2" x14ac:dyDescent="0.2">
      <c r="A55">
        <v>6</v>
      </c>
      <c r="B55">
        <v>13.1</v>
      </c>
    </row>
    <row r="56" spans="1:2" x14ac:dyDescent="0.2">
      <c r="A56">
        <v>9.3000000000000007</v>
      </c>
      <c r="B56">
        <v>21.5</v>
      </c>
    </row>
    <row r="57" spans="1:2" x14ac:dyDescent="0.2">
      <c r="A57">
        <v>12.1</v>
      </c>
      <c r="B57">
        <v>14</v>
      </c>
    </row>
    <row r="58" spans="1:2" x14ac:dyDescent="0.2">
      <c r="A58">
        <v>0.08</v>
      </c>
      <c r="B58">
        <v>33.299999999999997</v>
      </c>
    </row>
    <row r="59" spans="1:2" x14ac:dyDescent="0.2">
      <c r="A59">
        <v>4.3</v>
      </c>
      <c r="B59">
        <v>30.7</v>
      </c>
    </row>
    <row r="60" spans="1:2" x14ac:dyDescent="0.2">
      <c r="A60">
        <v>59</v>
      </c>
      <c r="B60">
        <v>145.1</v>
      </c>
    </row>
    <row r="61" spans="1:2" x14ac:dyDescent="0.2">
      <c r="A61">
        <v>2</v>
      </c>
      <c r="B61">
        <v>245.1</v>
      </c>
    </row>
    <row r="62" spans="1:2" x14ac:dyDescent="0.2">
      <c r="A62">
        <v>0</v>
      </c>
      <c r="B62">
        <v>162.5</v>
      </c>
    </row>
    <row r="63" spans="1:2" x14ac:dyDescent="0.2">
      <c r="A63">
        <v>0</v>
      </c>
      <c r="B63">
        <v>291.60000000000002</v>
      </c>
    </row>
    <row r="64" spans="1:2" x14ac:dyDescent="0.2">
      <c r="A64">
        <v>0</v>
      </c>
      <c r="B64">
        <v>445.2</v>
      </c>
    </row>
    <row r="65" spans="1:2" x14ac:dyDescent="0.2">
      <c r="A65">
        <v>0</v>
      </c>
      <c r="B65">
        <v>14.1</v>
      </c>
    </row>
    <row r="66" spans="1:2" x14ac:dyDescent="0.2">
      <c r="A66">
        <v>0</v>
      </c>
      <c r="B66">
        <v>29</v>
      </c>
    </row>
    <row r="67" spans="1:2" x14ac:dyDescent="0.2">
      <c r="A67">
        <v>0</v>
      </c>
      <c r="B67">
        <v>15.5</v>
      </c>
    </row>
    <row r="68" spans="1:2" x14ac:dyDescent="0.2">
      <c r="A68">
        <v>0</v>
      </c>
      <c r="B68">
        <v>35.200000000000003</v>
      </c>
    </row>
    <row r="69" spans="1:2" x14ac:dyDescent="0.2">
      <c r="A69">
        <v>0</v>
      </c>
      <c r="B69">
        <v>35.700000000000003</v>
      </c>
    </row>
    <row r="70" spans="1:2" x14ac:dyDescent="0.2">
      <c r="A70">
        <v>0</v>
      </c>
      <c r="B70">
        <v>317.89999999999998</v>
      </c>
    </row>
    <row r="71" spans="1:2" x14ac:dyDescent="0.2">
      <c r="A71">
        <v>0</v>
      </c>
      <c r="B71">
        <v>617.70000000000005</v>
      </c>
    </row>
    <row r="72" spans="1:2" x14ac:dyDescent="0.2">
      <c r="A72">
        <v>1.2</v>
      </c>
      <c r="B72">
        <v>377.1</v>
      </c>
    </row>
    <row r="73" spans="1:2" x14ac:dyDescent="0.2">
      <c r="A73">
        <v>0</v>
      </c>
      <c r="B73">
        <v>390.1</v>
      </c>
    </row>
    <row r="74" spans="1:2" x14ac:dyDescent="0.2">
      <c r="A74">
        <v>1.4</v>
      </c>
      <c r="B74">
        <v>702.2</v>
      </c>
    </row>
    <row r="75" spans="1:2" x14ac:dyDescent="0.2">
      <c r="A75">
        <v>0</v>
      </c>
      <c r="B75">
        <v>21.5</v>
      </c>
    </row>
    <row r="76" spans="1:2" x14ac:dyDescent="0.2">
      <c r="A76">
        <v>0</v>
      </c>
      <c r="B76">
        <v>9</v>
      </c>
    </row>
    <row r="77" spans="1:2" x14ac:dyDescent="0.2">
      <c r="A77">
        <v>0</v>
      </c>
      <c r="B77">
        <v>25.1</v>
      </c>
    </row>
    <row r="78" spans="1:2" x14ac:dyDescent="0.2">
      <c r="A78">
        <v>1</v>
      </c>
      <c r="B78">
        <v>22.1</v>
      </c>
    </row>
    <row r="79" spans="1:2" x14ac:dyDescent="0.2">
      <c r="A79">
        <v>0</v>
      </c>
      <c r="B79">
        <v>0.13</v>
      </c>
    </row>
    <row r="80" spans="1:2" x14ac:dyDescent="0.2">
      <c r="A80">
        <v>2.9</v>
      </c>
      <c r="B80">
        <v>14</v>
      </c>
    </row>
    <row r="81" spans="1:2" x14ac:dyDescent="0.2">
      <c r="A81">
        <v>0</v>
      </c>
      <c r="B81">
        <v>235</v>
      </c>
    </row>
    <row r="82" spans="1:2" x14ac:dyDescent="0.2">
      <c r="A82">
        <v>0</v>
      </c>
      <c r="B82">
        <v>9.6999999999999993</v>
      </c>
    </row>
    <row r="83" spans="1:2" x14ac:dyDescent="0.2">
      <c r="A83">
        <v>0</v>
      </c>
      <c r="B83">
        <v>38</v>
      </c>
    </row>
    <row r="84" spans="1:2" x14ac:dyDescent="0.2">
      <c r="A84">
        <v>0.65</v>
      </c>
      <c r="B84">
        <v>0</v>
      </c>
    </row>
    <row r="85" spans="1:2" x14ac:dyDescent="0.2">
      <c r="A85">
        <v>2</v>
      </c>
      <c r="B85">
        <v>8.1999999999999993</v>
      </c>
    </row>
    <row r="86" spans="1:2" x14ac:dyDescent="0.2">
      <c r="A86">
        <v>0</v>
      </c>
      <c r="B86">
        <v>4.8</v>
      </c>
    </row>
    <row r="87" spans="1:2" x14ac:dyDescent="0.2">
      <c r="A87">
        <v>0</v>
      </c>
      <c r="B87">
        <v>20</v>
      </c>
    </row>
    <row r="88" spans="1:2" x14ac:dyDescent="0.2">
      <c r="A88">
        <v>0</v>
      </c>
      <c r="B88">
        <v>4.9000000000000004</v>
      </c>
    </row>
    <row r="89" spans="1:2" x14ac:dyDescent="0.2">
      <c r="A89">
        <v>0</v>
      </c>
      <c r="B89">
        <v>8.6999999999999993</v>
      </c>
    </row>
    <row r="90" spans="1:2" x14ac:dyDescent="0.2">
      <c r="A90">
        <v>0</v>
      </c>
      <c r="B90">
        <v>0</v>
      </c>
    </row>
    <row r="91" spans="1:2" x14ac:dyDescent="0.2">
      <c r="A91">
        <v>0</v>
      </c>
      <c r="B91">
        <v>2.6</v>
      </c>
    </row>
    <row r="92" spans="1:2" x14ac:dyDescent="0.2">
      <c r="A92">
        <v>0.95</v>
      </c>
      <c r="B92">
        <v>4.5</v>
      </c>
    </row>
    <row r="93" spans="1:2" x14ac:dyDescent="0.2">
      <c r="A93">
        <v>0</v>
      </c>
      <c r="B93">
        <v>6.3</v>
      </c>
    </row>
    <row r="94" spans="1:2" x14ac:dyDescent="0.2">
      <c r="A94">
        <v>0</v>
      </c>
      <c r="B94">
        <v>11</v>
      </c>
    </row>
    <row r="95" spans="1:2" x14ac:dyDescent="0.2">
      <c r="A95">
        <v>0</v>
      </c>
      <c r="B95">
        <v>9.5</v>
      </c>
    </row>
    <row r="96" spans="1:2" x14ac:dyDescent="0.2">
      <c r="A96">
        <v>0</v>
      </c>
      <c r="B96">
        <v>5.9</v>
      </c>
    </row>
    <row r="97" spans="1:2" x14ac:dyDescent="0.2">
      <c r="A97">
        <v>0</v>
      </c>
      <c r="B97">
        <v>0</v>
      </c>
    </row>
    <row r="98" spans="1:2" x14ac:dyDescent="0.2">
      <c r="A98">
        <v>1.5</v>
      </c>
      <c r="B98">
        <v>0</v>
      </c>
    </row>
    <row r="99" spans="1:2" x14ac:dyDescent="0.2">
      <c r="A99">
        <v>0</v>
      </c>
      <c r="B99">
        <v>9.8000000000000007</v>
      </c>
    </row>
    <row r="100" spans="1:2" x14ac:dyDescent="0.2">
      <c r="A100">
        <v>1</v>
      </c>
      <c r="B100">
        <v>0</v>
      </c>
    </row>
    <row r="101" spans="1:2" x14ac:dyDescent="0.2">
      <c r="A101">
        <v>0</v>
      </c>
      <c r="B101">
        <v>16</v>
      </c>
    </row>
    <row r="102" spans="1:2" x14ac:dyDescent="0.2">
      <c r="A102">
        <v>0</v>
      </c>
      <c r="B102">
        <v>0</v>
      </c>
    </row>
    <row r="103" spans="1:2" x14ac:dyDescent="0.2">
      <c r="A103">
        <v>0</v>
      </c>
      <c r="B103">
        <v>8.8000000000000007</v>
      </c>
    </row>
    <row r="104" spans="1:2" x14ac:dyDescent="0.2">
      <c r="A104">
        <v>1.8</v>
      </c>
      <c r="B104">
        <v>41</v>
      </c>
    </row>
    <row r="105" spans="1:2" x14ac:dyDescent="0.2">
      <c r="A105">
        <v>0</v>
      </c>
      <c r="B105">
        <v>4.8</v>
      </c>
    </row>
    <row r="106" spans="1:2" x14ac:dyDescent="0.2">
      <c r="A106">
        <v>1.9</v>
      </c>
      <c r="B106">
        <v>5.3</v>
      </c>
    </row>
    <row r="107" spans="1:2" x14ac:dyDescent="0.2">
      <c r="A107">
        <v>0</v>
      </c>
      <c r="B107">
        <v>0</v>
      </c>
    </row>
    <row r="108" spans="1:2" x14ac:dyDescent="0.2">
      <c r="A108">
        <v>0</v>
      </c>
      <c r="B108">
        <v>0</v>
      </c>
    </row>
    <row r="109" spans="1:2" x14ac:dyDescent="0.2">
      <c r="A109">
        <v>0</v>
      </c>
      <c r="B109">
        <v>6.5</v>
      </c>
    </row>
    <row r="110" spans="1:2" x14ac:dyDescent="0.2">
      <c r="A110">
        <v>0</v>
      </c>
      <c r="B110">
        <v>7.9</v>
      </c>
    </row>
    <row r="111" spans="1:2" x14ac:dyDescent="0.2">
      <c r="A111">
        <v>0</v>
      </c>
      <c r="B111">
        <v>7.4</v>
      </c>
    </row>
    <row r="112" spans="1:2" x14ac:dyDescent="0.2">
      <c r="A112">
        <v>0</v>
      </c>
      <c r="B112">
        <v>0</v>
      </c>
    </row>
    <row r="113" spans="1:2" x14ac:dyDescent="0.2">
      <c r="A113">
        <v>0</v>
      </c>
      <c r="B113">
        <v>4</v>
      </c>
    </row>
    <row r="114" spans="1:2" x14ac:dyDescent="0.2">
      <c r="A114">
        <v>1.2</v>
      </c>
      <c r="B114">
        <v>0</v>
      </c>
    </row>
    <row r="115" spans="1:2" x14ac:dyDescent="0.2">
      <c r="A115">
        <v>12</v>
      </c>
      <c r="B115">
        <v>0</v>
      </c>
    </row>
    <row r="116" spans="1:2" x14ac:dyDescent="0.2">
      <c r="A116">
        <v>0.9</v>
      </c>
      <c r="B116">
        <v>0</v>
      </c>
    </row>
    <row r="117" spans="1:2" x14ac:dyDescent="0.2">
      <c r="A117">
        <v>1.6</v>
      </c>
      <c r="B117">
        <v>0</v>
      </c>
    </row>
    <row r="118" spans="1:2" x14ac:dyDescent="0.2">
      <c r="A118">
        <v>0.2</v>
      </c>
      <c r="B118">
        <v>0</v>
      </c>
    </row>
    <row r="119" spans="1:2" x14ac:dyDescent="0.2">
      <c r="A119">
        <v>0.3</v>
      </c>
      <c r="B119">
        <v>10</v>
      </c>
    </row>
    <row r="120" spans="1:2" x14ac:dyDescent="0.2">
      <c r="A120">
        <v>0.7</v>
      </c>
      <c r="B120">
        <v>7.7</v>
      </c>
    </row>
    <row r="121" spans="1:2" x14ac:dyDescent="0.2">
      <c r="A121">
        <v>8</v>
      </c>
      <c r="B121">
        <v>6.3</v>
      </c>
    </row>
    <row r="122" spans="1:2" x14ac:dyDescent="0.2">
      <c r="A122">
        <v>0.21099999999999999</v>
      </c>
      <c r="B122">
        <v>0</v>
      </c>
    </row>
    <row r="123" spans="1:2" x14ac:dyDescent="0.2">
      <c r="A123">
        <v>0</v>
      </c>
      <c r="B123">
        <v>0</v>
      </c>
    </row>
    <row r="124" spans="1:2" x14ac:dyDescent="0.2">
      <c r="A124">
        <v>50.6</v>
      </c>
      <c r="B124">
        <v>0</v>
      </c>
    </row>
    <row r="125" spans="1:2" x14ac:dyDescent="0.2">
      <c r="A125">
        <v>0</v>
      </c>
      <c r="B125">
        <v>13</v>
      </c>
    </row>
    <row r="126" spans="1:2" x14ac:dyDescent="0.2">
      <c r="A126">
        <v>17</v>
      </c>
      <c r="B126">
        <v>24</v>
      </c>
    </row>
    <row r="127" spans="1:2" x14ac:dyDescent="0.2">
      <c r="A127">
        <v>11.8</v>
      </c>
      <c r="B127">
        <v>13</v>
      </c>
    </row>
    <row r="128" spans="1:2" x14ac:dyDescent="0.2">
      <c r="A128">
        <v>0.7</v>
      </c>
      <c r="B128">
        <v>0</v>
      </c>
    </row>
    <row r="129" spans="1:2" x14ac:dyDescent="0.2">
      <c r="A129">
        <v>19.7</v>
      </c>
      <c r="B129">
        <v>6.9</v>
      </c>
    </row>
    <row r="130" spans="1:2" x14ac:dyDescent="0.2">
      <c r="A130">
        <v>1.3</v>
      </c>
      <c r="B130">
        <v>0</v>
      </c>
    </row>
    <row r="131" spans="1:2" x14ac:dyDescent="0.2">
      <c r="A131">
        <v>16.3</v>
      </c>
      <c r="B131">
        <v>7.9</v>
      </c>
    </row>
    <row r="132" spans="1:2" x14ac:dyDescent="0.2">
      <c r="A132">
        <v>18</v>
      </c>
      <c r="B132">
        <v>24</v>
      </c>
    </row>
    <row r="133" spans="1:2" x14ac:dyDescent="0.2">
      <c r="A133">
        <v>241</v>
      </c>
      <c r="B133">
        <v>30</v>
      </c>
    </row>
    <row r="134" spans="1:2" x14ac:dyDescent="0.2">
      <c r="A134">
        <v>11.8</v>
      </c>
      <c r="B134">
        <v>40</v>
      </c>
    </row>
    <row r="135" spans="1:2" x14ac:dyDescent="0.2">
      <c r="A135">
        <v>70.3</v>
      </c>
      <c r="B135">
        <v>49</v>
      </c>
    </row>
    <row r="136" spans="1:2" x14ac:dyDescent="0.2">
      <c r="A136">
        <v>7.4</v>
      </c>
      <c r="B136">
        <v>53</v>
      </c>
    </row>
    <row r="137" spans="1:2" x14ac:dyDescent="0.2">
      <c r="A137">
        <v>400</v>
      </c>
      <c r="B137">
        <v>15</v>
      </c>
    </row>
    <row r="138" spans="1:2" x14ac:dyDescent="0.2">
      <c r="A138">
        <v>1.3</v>
      </c>
      <c r="B138">
        <v>420</v>
      </c>
    </row>
    <row r="139" spans="1:2" x14ac:dyDescent="0.2">
      <c r="A139">
        <v>15.7</v>
      </c>
      <c r="B139">
        <v>30</v>
      </c>
    </row>
    <row r="140" spans="1:2" x14ac:dyDescent="0.2">
      <c r="A140">
        <v>11</v>
      </c>
      <c r="B140">
        <v>13</v>
      </c>
    </row>
    <row r="141" spans="1:2" x14ac:dyDescent="0.2">
      <c r="A141">
        <v>8.5000000000000006E-2</v>
      </c>
      <c r="B141">
        <v>1.5</v>
      </c>
    </row>
    <row r="142" spans="1:2" x14ac:dyDescent="0.2">
      <c r="A142">
        <v>19</v>
      </c>
      <c r="B142">
        <v>4.5999999999999996</v>
      </c>
    </row>
    <row r="143" spans="1:2" x14ac:dyDescent="0.2">
      <c r="A143">
        <v>0.7</v>
      </c>
      <c r="B143">
        <v>12</v>
      </c>
    </row>
    <row r="144" spans="1:2" x14ac:dyDescent="0.2">
      <c r="A144">
        <v>20</v>
      </c>
      <c r="B144">
        <v>10</v>
      </c>
    </row>
    <row r="145" spans="1:2" x14ac:dyDescent="0.2">
      <c r="A145">
        <v>0.3</v>
      </c>
      <c r="B145">
        <v>7.9</v>
      </c>
    </row>
    <row r="146" spans="1:2" x14ac:dyDescent="0.2">
      <c r="A146">
        <v>0.7</v>
      </c>
      <c r="B146">
        <v>9.4</v>
      </c>
    </row>
    <row r="147" spans="1:2" x14ac:dyDescent="0.2">
      <c r="A147">
        <v>1.2</v>
      </c>
      <c r="B147">
        <v>0</v>
      </c>
    </row>
    <row r="148" spans="1:2" x14ac:dyDescent="0.2">
      <c r="A148">
        <v>2.1</v>
      </c>
      <c r="B148">
        <v>698</v>
      </c>
    </row>
    <row r="149" spans="1:2" x14ac:dyDescent="0.2">
      <c r="A149">
        <v>1.3</v>
      </c>
      <c r="B149">
        <v>15</v>
      </c>
    </row>
    <row r="150" spans="1:2" x14ac:dyDescent="0.2">
      <c r="A150">
        <v>3.4</v>
      </c>
      <c r="B150">
        <v>750</v>
      </c>
    </row>
    <row r="151" spans="1:2" x14ac:dyDescent="0.2">
      <c r="A151">
        <v>2.7</v>
      </c>
      <c r="B151">
        <v>135</v>
      </c>
    </row>
    <row r="152" spans="1:2" x14ac:dyDescent="0.2">
      <c r="A152">
        <v>3.7</v>
      </c>
      <c r="B152">
        <v>9.5</v>
      </c>
    </row>
    <row r="153" spans="1:2" x14ac:dyDescent="0.2">
      <c r="A153">
        <v>2</v>
      </c>
      <c r="B153">
        <v>156</v>
      </c>
    </row>
    <row r="154" spans="1:2" x14ac:dyDescent="0.2">
      <c r="A154">
        <v>5</v>
      </c>
      <c r="B154">
        <v>4.5999999999999996</v>
      </c>
    </row>
    <row r="155" spans="1:2" x14ac:dyDescent="0.2">
      <c r="A155">
        <v>1</v>
      </c>
      <c r="B155">
        <v>11.3</v>
      </c>
    </row>
    <row r="156" spans="1:2" x14ac:dyDescent="0.2">
      <c r="A156">
        <v>6</v>
      </c>
      <c r="B156">
        <v>0</v>
      </c>
    </row>
    <row r="157" spans="1:2" x14ac:dyDescent="0.2">
      <c r="A157">
        <v>4</v>
      </c>
      <c r="B157">
        <v>65</v>
      </c>
    </row>
    <row r="158" spans="1:2" x14ac:dyDescent="0.2">
      <c r="A158">
        <v>15</v>
      </c>
      <c r="B158">
        <v>306</v>
      </c>
    </row>
    <row r="159" spans="1:2" x14ac:dyDescent="0.2">
      <c r="A159">
        <v>0.5</v>
      </c>
      <c r="B159">
        <v>618</v>
      </c>
    </row>
    <row r="160" spans="1:2" x14ac:dyDescent="0.2">
      <c r="A160">
        <v>8</v>
      </c>
      <c r="B160">
        <v>7.2</v>
      </c>
    </row>
    <row r="161" spans="1:2" x14ac:dyDescent="0.2">
      <c r="A161">
        <v>4</v>
      </c>
      <c r="B161">
        <v>410</v>
      </c>
    </row>
    <row r="162" spans="1:2" x14ac:dyDescent="0.2">
      <c r="A162">
        <v>15</v>
      </c>
      <c r="B162">
        <v>3.1</v>
      </c>
    </row>
    <row r="163" spans="1:2" x14ac:dyDescent="0.2">
      <c r="A163">
        <v>1</v>
      </c>
      <c r="B163">
        <v>7305</v>
      </c>
    </row>
    <row r="164" spans="1:2" x14ac:dyDescent="0.2">
      <c r="A164">
        <v>0.55000000000000004</v>
      </c>
      <c r="B164">
        <v>67</v>
      </c>
    </row>
    <row r="165" spans="1:2" x14ac:dyDescent="0.2">
      <c r="A165">
        <v>9.1999999999999993</v>
      </c>
      <c r="B165">
        <v>4.3000000000000003E-2</v>
      </c>
    </row>
    <row r="166" spans="1:2" x14ac:dyDescent="0.2">
      <c r="A166">
        <v>0.3</v>
      </c>
      <c r="B166">
        <v>55</v>
      </c>
    </row>
    <row r="167" spans="1:2" x14ac:dyDescent="0.2">
      <c r="A167">
        <v>2.6</v>
      </c>
      <c r="B167">
        <v>4.8</v>
      </c>
    </row>
    <row r="168" spans="1:2" x14ac:dyDescent="0.2">
      <c r="A168">
        <v>170</v>
      </c>
      <c r="B168">
        <v>74</v>
      </c>
    </row>
    <row r="169" spans="1:2" x14ac:dyDescent="0.2">
      <c r="A169">
        <v>1.7</v>
      </c>
      <c r="B169">
        <v>0.3</v>
      </c>
    </row>
    <row r="170" spans="1:2" x14ac:dyDescent="0.2">
      <c r="A170">
        <v>1.1000000000000001</v>
      </c>
      <c r="B170">
        <v>1</v>
      </c>
    </row>
    <row r="171" spans="1:2" x14ac:dyDescent="0.2">
      <c r="A171">
        <v>0.25</v>
      </c>
      <c r="B171">
        <v>6.1000000000000005</v>
      </c>
    </row>
    <row r="172" spans="1:2" x14ac:dyDescent="0.2">
      <c r="A172">
        <v>370</v>
      </c>
      <c r="B172">
        <v>8.1</v>
      </c>
    </row>
    <row r="173" spans="1:2" x14ac:dyDescent="0.2">
      <c r="A173">
        <v>0.48000000000000004</v>
      </c>
      <c r="B173">
        <v>4.2</v>
      </c>
    </row>
    <row r="174" spans="1:2" x14ac:dyDescent="0.2">
      <c r="A174">
        <v>22</v>
      </c>
      <c r="B174">
        <v>11</v>
      </c>
    </row>
    <row r="175" spans="1:2" x14ac:dyDescent="0.2">
      <c r="A175">
        <v>1.1000000000000001</v>
      </c>
      <c r="B175">
        <v>0.6</v>
      </c>
    </row>
    <row r="176" spans="1:2" x14ac:dyDescent="0.2">
      <c r="A176">
        <v>5.3</v>
      </c>
      <c r="B176">
        <v>1.2</v>
      </c>
    </row>
    <row r="177" spans="1:2" x14ac:dyDescent="0.2">
      <c r="A177">
        <v>0.67</v>
      </c>
      <c r="B177">
        <v>4</v>
      </c>
    </row>
    <row r="178" spans="1:2" x14ac:dyDescent="0.2">
      <c r="A178">
        <v>1.3</v>
      </c>
      <c r="B178">
        <v>12</v>
      </c>
    </row>
    <row r="179" spans="1:2" x14ac:dyDescent="0.2">
      <c r="A179">
        <v>0.45</v>
      </c>
      <c r="B179">
        <v>0.4</v>
      </c>
    </row>
    <row r="180" spans="1:2" x14ac:dyDescent="0.2">
      <c r="A180">
        <v>10</v>
      </c>
      <c r="B180">
        <v>2</v>
      </c>
    </row>
    <row r="181" spans="1:2" x14ac:dyDescent="0.2">
      <c r="A181">
        <v>4.3</v>
      </c>
      <c r="B181">
        <v>3</v>
      </c>
    </row>
    <row r="182" spans="1:2" x14ac:dyDescent="0.2">
      <c r="A182">
        <v>4.3</v>
      </c>
      <c r="B182">
        <v>14</v>
      </c>
    </row>
    <row r="183" spans="1:2" x14ac:dyDescent="0.2">
      <c r="A183">
        <v>0.44</v>
      </c>
      <c r="B183">
        <v>3</v>
      </c>
    </row>
    <row r="184" spans="1:2" x14ac:dyDescent="0.2">
      <c r="A184">
        <v>1.2</v>
      </c>
      <c r="B184">
        <v>62</v>
      </c>
    </row>
    <row r="185" spans="1:2" x14ac:dyDescent="0.2">
      <c r="A185">
        <v>1.5427797119468634</v>
      </c>
      <c r="B185">
        <v>2</v>
      </c>
    </row>
    <row r="186" spans="1:2" x14ac:dyDescent="0.2">
      <c r="A186">
        <v>0</v>
      </c>
      <c r="B186">
        <v>6</v>
      </c>
    </row>
    <row r="187" spans="1:2" x14ac:dyDescent="0.2">
      <c r="A187">
        <v>2.0646340865258921</v>
      </c>
      <c r="B187">
        <v>4.4000000000000004</v>
      </c>
    </row>
    <row r="188" spans="1:2" x14ac:dyDescent="0.2">
      <c r="A188">
        <v>2.6395799057218299</v>
      </c>
      <c r="B188">
        <v>5.1000000000000005</v>
      </c>
    </row>
    <row r="189" spans="1:2" x14ac:dyDescent="0.2">
      <c r="A189">
        <v>4.3685647201290534</v>
      </c>
      <c r="B189">
        <v>3.7</v>
      </c>
    </row>
    <row r="190" spans="1:2" x14ac:dyDescent="0.2">
      <c r="A190">
        <v>5.8154374681634904</v>
      </c>
      <c r="B190">
        <v>2.6</v>
      </c>
    </row>
    <row r="191" spans="1:2" x14ac:dyDescent="0.2">
      <c r="A191">
        <v>4.3018824957724373</v>
      </c>
      <c r="B191">
        <v>2.6</v>
      </c>
    </row>
    <row r="192" spans="1:2" x14ac:dyDescent="0.2">
      <c r="A192">
        <v>12.815577804254401</v>
      </c>
      <c r="B192">
        <v>170</v>
      </c>
    </row>
    <row r="193" spans="1:2" x14ac:dyDescent="0.2">
      <c r="A193">
        <v>1.6552117515128295</v>
      </c>
      <c r="B193">
        <v>5.4</v>
      </c>
    </row>
    <row r="194" spans="1:2" x14ac:dyDescent="0.2">
      <c r="A194">
        <v>1.2426448548114479</v>
      </c>
      <c r="B194">
        <v>5.8</v>
      </c>
    </row>
    <row r="195" spans="1:2" x14ac:dyDescent="0.2">
      <c r="A195">
        <v>2</v>
      </c>
      <c r="B195">
        <v>240</v>
      </c>
    </row>
    <row r="196" spans="1:2" x14ac:dyDescent="0.2">
      <c r="A196">
        <v>244</v>
      </c>
      <c r="B196">
        <v>10</v>
      </c>
    </row>
    <row r="197" spans="1:2" x14ac:dyDescent="0.2">
      <c r="A197">
        <v>18</v>
      </c>
      <c r="B197">
        <v>0.01</v>
      </c>
    </row>
    <row r="198" spans="1:2" x14ac:dyDescent="0.2">
      <c r="A198">
        <v>241</v>
      </c>
      <c r="B198">
        <v>67</v>
      </c>
    </row>
    <row r="199" spans="1:2" x14ac:dyDescent="0.2">
      <c r="A199">
        <v>8.3000000000000007</v>
      </c>
      <c r="B199">
        <v>2.2000000000000002</v>
      </c>
    </row>
    <row r="200" spans="1:2" x14ac:dyDescent="0.2">
      <c r="A200">
        <v>219</v>
      </c>
      <c r="B200">
        <v>19</v>
      </c>
    </row>
    <row r="201" spans="1:2" x14ac:dyDescent="0.2">
      <c r="A201">
        <v>1</v>
      </c>
      <c r="B201">
        <v>5.8999999999999995</v>
      </c>
    </row>
    <row r="202" spans="1:2" x14ac:dyDescent="0.2">
      <c r="A202">
        <v>20</v>
      </c>
      <c r="B202">
        <v>18</v>
      </c>
    </row>
    <row r="203" spans="1:2" x14ac:dyDescent="0.2">
      <c r="A203">
        <v>23.1</v>
      </c>
      <c r="B203">
        <v>5.8</v>
      </c>
    </row>
    <row r="204" spans="1:2" x14ac:dyDescent="0.2">
      <c r="A204">
        <v>21</v>
      </c>
      <c r="B204">
        <v>19</v>
      </c>
    </row>
    <row r="205" spans="1:2" x14ac:dyDescent="0.2">
      <c r="A205">
        <v>62.3</v>
      </c>
      <c r="B205">
        <v>1.1000000000000001</v>
      </c>
    </row>
    <row r="206" spans="1:2" x14ac:dyDescent="0.2">
      <c r="A206">
        <v>6</v>
      </c>
      <c r="B206">
        <v>34</v>
      </c>
    </row>
    <row r="207" spans="1:2" x14ac:dyDescent="0.2">
      <c r="A207">
        <v>1.8</v>
      </c>
      <c r="B207">
        <v>36</v>
      </c>
    </row>
    <row r="208" spans="1:2" x14ac:dyDescent="0.2">
      <c r="A208">
        <v>0.73</v>
      </c>
      <c r="B208">
        <v>27</v>
      </c>
    </row>
    <row r="209" spans="1:2" x14ac:dyDescent="0.2">
      <c r="A209">
        <v>5.55</v>
      </c>
      <c r="B209">
        <v>14</v>
      </c>
    </row>
    <row r="210" spans="1:2" x14ac:dyDescent="0.2">
      <c r="A210">
        <v>7.15</v>
      </c>
      <c r="B210">
        <v>175.08331107136047</v>
      </c>
    </row>
    <row r="211" spans="1:2" x14ac:dyDescent="0.2">
      <c r="A211">
        <v>0.43</v>
      </c>
      <c r="B211">
        <v>0.35224166619504799</v>
      </c>
    </row>
    <row r="212" spans="1:2" x14ac:dyDescent="0.2">
      <c r="A212">
        <v>1.86</v>
      </c>
      <c r="B212">
        <v>8.0844647883929142</v>
      </c>
    </row>
    <row r="213" spans="1:2" x14ac:dyDescent="0.2">
      <c r="A213">
        <v>1.72</v>
      </c>
      <c r="B213">
        <v>27.825448184068833</v>
      </c>
    </row>
    <row r="214" spans="1:2" x14ac:dyDescent="0.2">
      <c r="A214">
        <v>0</v>
      </c>
      <c r="B214">
        <v>12.874624209592346</v>
      </c>
    </row>
    <row r="215" spans="1:2" x14ac:dyDescent="0.2">
      <c r="A215">
        <v>14.9</v>
      </c>
      <c r="B215">
        <v>144.09319164054253</v>
      </c>
    </row>
    <row r="216" spans="1:2" x14ac:dyDescent="0.2">
      <c r="A216">
        <v>68.2</v>
      </c>
      <c r="B216">
        <v>42.569118533964833</v>
      </c>
    </row>
    <row r="217" spans="1:2" x14ac:dyDescent="0.2">
      <c r="A217">
        <v>12</v>
      </c>
      <c r="B217">
        <v>284.18212450526613</v>
      </c>
    </row>
    <row r="218" spans="1:2" x14ac:dyDescent="0.2">
      <c r="A218">
        <v>32.5</v>
      </c>
      <c r="B218">
        <v>98.009898648116391</v>
      </c>
    </row>
    <row r="219" spans="1:2" x14ac:dyDescent="0.2">
      <c r="A219">
        <v>29.7</v>
      </c>
      <c r="B219">
        <v>27.635007835185551</v>
      </c>
    </row>
    <row r="220" spans="1:2" x14ac:dyDescent="0.2">
      <c r="A220">
        <v>6.16</v>
      </c>
      <c r="B220">
        <v>60</v>
      </c>
    </row>
    <row r="221" spans="1:2" x14ac:dyDescent="0.2">
      <c r="A221">
        <v>0.9</v>
      </c>
      <c r="B221">
        <v>3120</v>
      </c>
    </row>
    <row r="222" spans="1:2" x14ac:dyDescent="0.2">
      <c r="A222">
        <v>1.5</v>
      </c>
      <c r="B222">
        <v>81</v>
      </c>
    </row>
    <row r="223" spans="1:2" x14ac:dyDescent="0.2">
      <c r="A223">
        <v>4.3</v>
      </c>
      <c r="B223">
        <v>160</v>
      </c>
    </row>
    <row r="224" spans="1:2" x14ac:dyDescent="0.2">
      <c r="A224">
        <v>0.6</v>
      </c>
      <c r="B224">
        <v>65</v>
      </c>
    </row>
    <row r="225" spans="1:2" x14ac:dyDescent="0.2">
      <c r="A225">
        <v>1.9</v>
      </c>
      <c r="B225">
        <v>8</v>
      </c>
    </row>
    <row r="226" spans="1:2" x14ac:dyDescent="0.2">
      <c r="A226">
        <v>1.25</v>
      </c>
      <c r="B226">
        <v>110</v>
      </c>
    </row>
    <row r="227" spans="1:2" x14ac:dyDescent="0.2">
      <c r="A227">
        <v>0.83</v>
      </c>
      <c r="B227">
        <v>5</v>
      </c>
    </row>
    <row r="228" spans="1:2" x14ac:dyDescent="0.2">
      <c r="A228">
        <v>2.08</v>
      </c>
      <c r="B228">
        <v>74</v>
      </c>
    </row>
    <row r="229" spans="1:2" x14ac:dyDescent="0.2">
      <c r="A229">
        <v>1.64</v>
      </c>
      <c r="B229">
        <v>0</v>
      </c>
    </row>
    <row r="230" spans="1:2" x14ac:dyDescent="0.2">
      <c r="A230">
        <v>1.2</v>
      </c>
      <c r="B230">
        <v>9.1999999999999993</v>
      </c>
    </row>
    <row r="231" spans="1:2" x14ac:dyDescent="0.2">
      <c r="A231">
        <v>1.7</v>
      </c>
      <c r="B231">
        <v>2.9</v>
      </c>
    </row>
    <row r="232" spans="1:2" x14ac:dyDescent="0.2">
      <c r="A232">
        <v>3</v>
      </c>
      <c r="B232">
        <v>0.6</v>
      </c>
    </row>
    <row r="233" spans="1:2" x14ac:dyDescent="0.2">
      <c r="A233">
        <v>1.3</v>
      </c>
      <c r="B233">
        <v>0.52</v>
      </c>
    </row>
    <row r="234" spans="1:2" x14ac:dyDescent="0.2">
      <c r="A234">
        <v>6.7</v>
      </c>
      <c r="B234">
        <v>23</v>
      </c>
    </row>
    <row r="235" spans="1:2" x14ac:dyDescent="0.2">
      <c r="A235">
        <v>0.6</v>
      </c>
      <c r="B235">
        <v>3.7</v>
      </c>
    </row>
    <row r="236" spans="1:2" x14ac:dyDescent="0.2">
      <c r="A236">
        <v>1.7</v>
      </c>
      <c r="B236">
        <v>1.8</v>
      </c>
    </row>
    <row r="237" spans="1:2" x14ac:dyDescent="0.2">
      <c r="A237">
        <v>2.2200000000000002</v>
      </c>
      <c r="B237">
        <v>9.6999999999999993</v>
      </c>
    </row>
    <row r="238" spans="1:2" x14ac:dyDescent="0.2">
      <c r="A238">
        <v>1.6</v>
      </c>
      <c r="B238">
        <v>8.6</v>
      </c>
    </row>
    <row r="239" spans="1:2" x14ac:dyDescent="0.2">
      <c r="A239">
        <v>1.2</v>
      </c>
      <c r="B239">
        <v>3.1</v>
      </c>
    </row>
    <row r="240" spans="1:2" x14ac:dyDescent="0.2">
      <c r="A240">
        <v>3.1</v>
      </c>
      <c r="B240">
        <v>5.6</v>
      </c>
    </row>
    <row r="241" spans="1:2" x14ac:dyDescent="0.2">
      <c r="A241">
        <v>3</v>
      </c>
      <c r="B241">
        <v>1.4</v>
      </c>
    </row>
    <row r="242" spans="1:2" x14ac:dyDescent="0.2">
      <c r="A242">
        <v>2.2000000000000002</v>
      </c>
      <c r="B242">
        <v>0.79</v>
      </c>
    </row>
    <row r="243" spans="1:2" x14ac:dyDescent="0.2">
      <c r="A243">
        <v>2.2000000000000002</v>
      </c>
      <c r="B243">
        <v>148</v>
      </c>
    </row>
    <row r="244" spans="1:2" x14ac:dyDescent="0.2">
      <c r="A244">
        <v>5.56</v>
      </c>
      <c r="B244">
        <v>42</v>
      </c>
    </row>
    <row r="245" spans="1:2" x14ac:dyDescent="0.2">
      <c r="A245">
        <v>29.4</v>
      </c>
      <c r="B245">
        <v>48</v>
      </c>
    </row>
    <row r="246" spans="1:2" x14ac:dyDescent="0.2">
      <c r="A246">
        <v>0</v>
      </c>
      <c r="B246">
        <v>93</v>
      </c>
    </row>
    <row r="247" spans="1:2" x14ac:dyDescent="0.2">
      <c r="A247">
        <v>8.2200000000000006</v>
      </c>
      <c r="B247">
        <v>52</v>
      </c>
    </row>
    <row r="248" spans="1:2" x14ac:dyDescent="0.2">
      <c r="A248">
        <v>13.3</v>
      </c>
      <c r="B248">
        <v>169</v>
      </c>
    </row>
    <row r="249" spans="1:2" x14ac:dyDescent="0.2">
      <c r="A249">
        <v>10.8</v>
      </c>
      <c r="B249">
        <v>1.8</v>
      </c>
    </row>
    <row r="250" spans="1:2" x14ac:dyDescent="0.2">
      <c r="A250">
        <v>5.2</v>
      </c>
      <c r="B250">
        <v>1.5</v>
      </c>
    </row>
    <row r="251" spans="1:2" x14ac:dyDescent="0.2">
      <c r="A251">
        <v>6.3</v>
      </c>
      <c r="B251">
        <v>1.9</v>
      </c>
    </row>
    <row r="252" spans="1:2" x14ac:dyDescent="0.2">
      <c r="A252">
        <v>0</v>
      </c>
      <c r="B252">
        <v>5.3</v>
      </c>
    </row>
    <row r="253" spans="1:2" x14ac:dyDescent="0.2">
      <c r="A253">
        <v>28.6</v>
      </c>
      <c r="B253">
        <v>7.6</v>
      </c>
    </row>
    <row r="254" spans="1:2" x14ac:dyDescent="0.2">
      <c r="A254">
        <v>44</v>
      </c>
      <c r="B254">
        <v>9.4</v>
      </c>
    </row>
    <row r="255" spans="1:2" x14ac:dyDescent="0.2">
      <c r="A255">
        <v>1.25</v>
      </c>
      <c r="B255">
        <v>2.5</v>
      </c>
    </row>
    <row r="256" spans="1:2" x14ac:dyDescent="0.2">
      <c r="A256">
        <v>30.5</v>
      </c>
      <c r="B256">
        <v>6.7</v>
      </c>
    </row>
    <row r="257" spans="1:2" x14ac:dyDescent="0.2">
      <c r="A257">
        <v>1.08</v>
      </c>
      <c r="B257">
        <v>5.5</v>
      </c>
    </row>
    <row r="258" spans="1:2" x14ac:dyDescent="0.2">
      <c r="A258">
        <v>2.77</v>
      </c>
      <c r="B258">
        <v>6.7</v>
      </c>
    </row>
    <row r="259" spans="1:2" x14ac:dyDescent="0.2">
      <c r="A259">
        <v>2.71</v>
      </c>
      <c r="B259">
        <v>13</v>
      </c>
    </row>
    <row r="260" spans="1:2" x14ac:dyDescent="0.2">
      <c r="A260">
        <v>2.67</v>
      </c>
      <c r="B260">
        <v>2.8</v>
      </c>
    </row>
    <row r="261" spans="1:2" x14ac:dyDescent="0.2">
      <c r="A261">
        <v>2.65</v>
      </c>
      <c r="B261">
        <v>9.1999999999999993</v>
      </c>
    </row>
    <row r="262" spans="1:2" x14ac:dyDescent="0.2">
      <c r="A262">
        <v>2.73</v>
      </c>
      <c r="B262">
        <v>7.7</v>
      </c>
    </row>
    <row r="263" spans="1:2" x14ac:dyDescent="0.2">
      <c r="A263">
        <v>2.62</v>
      </c>
      <c r="B263">
        <v>1.6</v>
      </c>
    </row>
    <row r="264" spans="1:2" x14ac:dyDescent="0.2">
      <c r="A264">
        <v>3.21</v>
      </c>
      <c r="B264">
        <v>1.9</v>
      </c>
    </row>
    <row r="265" spans="1:2" x14ac:dyDescent="0.2">
      <c r="A265">
        <v>3.09</v>
      </c>
      <c r="B265">
        <v>21</v>
      </c>
    </row>
    <row r="266" spans="1:2" x14ac:dyDescent="0.2">
      <c r="A266">
        <v>3.02</v>
      </c>
      <c r="B266">
        <v>5.9</v>
      </c>
    </row>
    <row r="267" spans="1:2" x14ac:dyDescent="0.2">
      <c r="A267">
        <v>1.87</v>
      </c>
      <c r="B267">
        <v>1.5</v>
      </c>
    </row>
    <row r="268" spans="1:2" x14ac:dyDescent="0.2">
      <c r="A268">
        <v>1.73</v>
      </c>
      <c r="B268">
        <v>6.5</v>
      </c>
    </row>
    <row r="269" spans="1:2" x14ac:dyDescent="0.2">
      <c r="A269">
        <v>1.82</v>
      </c>
      <c r="B269">
        <v>9.5</v>
      </c>
    </row>
    <row r="270" spans="1:2" x14ac:dyDescent="0.2">
      <c r="A270">
        <v>1.03</v>
      </c>
      <c r="B270">
        <v>3.3</v>
      </c>
    </row>
    <row r="271" spans="1:2" x14ac:dyDescent="0.2">
      <c r="A271">
        <v>1.08</v>
      </c>
      <c r="B271">
        <v>5.9</v>
      </c>
    </row>
    <row r="272" spans="1:2" x14ac:dyDescent="0.2">
      <c r="A272">
        <v>1.02</v>
      </c>
      <c r="B272">
        <v>2610</v>
      </c>
    </row>
    <row r="273" spans="1:2" x14ac:dyDescent="0.2">
      <c r="A273">
        <v>1.03</v>
      </c>
      <c r="B273">
        <v>167</v>
      </c>
    </row>
    <row r="274" spans="1:2" x14ac:dyDescent="0.2">
      <c r="A274">
        <v>1.07</v>
      </c>
      <c r="B274">
        <v>139</v>
      </c>
    </row>
    <row r="275" spans="1:2" x14ac:dyDescent="0.2">
      <c r="A275">
        <v>0.8</v>
      </c>
      <c r="B275">
        <v>62.8</v>
      </c>
    </row>
    <row r="276" spans="1:2" x14ac:dyDescent="0.2">
      <c r="A276">
        <v>6.94</v>
      </c>
      <c r="B276">
        <v>14.4</v>
      </c>
    </row>
    <row r="277" spans="1:2" x14ac:dyDescent="0.2">
      <c r="A277">
        <v>8.11</v>
      </c>
      <c r="B277">
        <v>77.3</v>
      </c>
    </row>
    <row r="278" spans="1:2" x14ac:dyDescent="0.2">
      <c r="A278">
        <v>8.1199999999999992</v>
      </c>
      <c r="B278">
        <v>66.599999999999994</v>
      </c>
    </row>
    <row r="279" spans="1:2" x14ac:dyDescent="0.2">
      <c r="A279">
        <v>8.8000000000000007</v>
      </c>
      <c r="B279">
        <v>444</v>
      </c>
    </row>
    <row r="280" spans="1:2" x14ac:dyDescent="0.2">
      <c r="A280">
        <v>210.5</v>
      </c>
      <c r="B280">
        <v>22.6</v>
      </c>
    </row>
    <row r="281" spans="1:2" x14ac:dyDescent="0.2">
      <c r="A281">
        <v>134</v>
      </c>
      <c r="B281">
        <v>251</v>
      </c>
    </row>
    <row r="282" spans="1:2" x14ac:dyDescent="0.2">
      <c r="A282">
        <v>29.9</v>
      </c>
      <c r="B282">
        <v>28.9</v>
      </c>
    </row>
    <row r="283" spans="1:2" x14ac:dyDescent="0.2">
      <c r="A283">
        <v>184</v>
      </c>
      <c r="B283">
        <v>38.200000000000003</v>
      </c>
    </row>
    <row r="284" spans="1:2" x14ac:dyDescent="0.2">
      <c r="A284">
        <v>30.9</v>
      </c>
      <c r="B284">
        <v>30.9</v>
      </c>
    </row>
    <row r="285" spans="1:2" x14ac:dyDescent="0.2">
      <c r="A285">
        <v>106</v>
      </c>
      <c r="B285">
        <v>12.6</v>
      </c>
    </row>
    <row r="286" spans="1:2" x14ac:dyDescent="0.2">
      <c r="A286">
        <v>232</v>
      </c>
      <c r="B286">
        <v>11.4</v>
      </c>
    </row>
    <row r="287" spans="1:2" x14ac:dyDescent="0.2">
      <c r="A287">
        <v>298</v>
      </c>
      <c r="B287">
        <v>13.6</v>
      </c>
    </row>
    <row r="288" spans="1:2" x14ac:dyDescent="0.2">
      <c r="A288">
        <v>192</v>
      </c>
      <c r="B288">
        <v>13.3</v>
      </c>
    </row>
    <row r="289" spans="1:2" x14ac:dyDescent="0.2">
      <c r="A289">
        <v>80.2</v>
      </c>
      <c r="B289">
        <v>12.9</v>
      </c>
    </row>
    <row r="290" spans="1:2" x14ac:dyDescent="0.2">
      <c r="A290">
        <v>98.3</v>
      </c>
      <c r="B290">
        <v>16.899999999999999</v>
      </c>
    </row>
    <row r="291" spans="1:2" x14ac:dyDescent="0.2">
      <c r="A291">
        <v>95.6</v>
      </c>
      <c r="B291">
        <v>14.6</v>
      </c>
    </row>
    <row r="292" spans="1:2" x14ac:dyDescent="0.2">
      <c r="A292">
        <v>23.2</v>
      </c>
      <c r="B292">
        <v>16.8</v>
      </c>
    </row>
    <row r="293" spans="1:2" x14ac:dyDescent="0.2">
      <c r="A293">
        <v>134</v>
      </c>
      <c r="B293">
        <v>39</v>
      </c>
    </row>
    <row r="294" spans="1:2" x14ac:dyDescent="0.2">
      <c r="A294">
        <v>288</v>
      </c>
      <c r="B294">
        <v>52.2</v>
      </c>
    </row>
    <row r="295" spans="1:2" x14ac:dyDescent="0.2">
      <c r="A295">
        <v>135</v>
      </c>
      <c r="B295">
        <v>38.200000000000003</v>
      </c>
    </row>
    <row r="296" spans="1:2" x14ac:dyDescent="0.2">
      <c r="A296">
        <v>230</v>
      </c>
      <c r="B296">
        <v>10</v>
      </c>
    </row>
    <row r="297" spans="1:2" x14ac:dyDescent="0.2">
      <c r="A297">
        <v>157</v>
      </c>
      <c r="B297">
        <v>7.39</v>
      </c>
    </row>
    <row r="298" spans="1:2" x14ac:dyDescent="0.2">
      <c r="A298">
        <v>173</v>
      </c>
      <c r="B298">
        <v>11.3</v>
      </c>
    </row>
    <row r="299" spans="1:2" x14ac:dyDescent="0.2">
      <c r="A299">
        <v>170</v>
      </c>
      <c r="B299">
        <v>21.2</v>
      </c>
    </row>
    <row r="300" spans="1:2" x14ac:dyDescent="0.2">
      <c r="A300">
        <v>211</v>
      </c>
      <c r="B300">
        <v>14.8</v>
      </c>
    </row>
    <row r="301" spans="1:2" x14ac:dyDescent="0.2">
      <c r="A301">
        <v>28.3</v>
      </c>
      <c r="B301">
        <v>17.899999999999999</v>
      </c>
    </row>
    <row r="302" spans="1:2" x14ac:dyDescent="0.2">
      <c r="A302">
        <v>139</v>
      </c>
      <c r="B302">
        <v>0.628</v>
      </c>
    </row>
    <row r="303" spans="1:2" x14ac:dyDescent="0.2">
      <c r="A303">
        <v>76.7</v>
      </c>
      <c r="B303">
        <v>0.38600000000000001</v>
      </c>
    </row>
    <row r="304" spans="1:2" x14ac:dyDescent="0.2">
      <c r="A304">
        <v>24</v>
      </c>
      <c r="B304">
        <v>0.47799999999999998</v>
      </c>
    </row>
    <row r="305" spans="1:2" x14ac:dyDescent="0.2">
      <c r="A305">
        <v>27.5</v>
      </c>
      <c r="B305">
        <v>0.98599999999999999</v>
      </c>
    </row>
    <row r="306" spans="1:2" x14ac:dyDescent="0.2">
      <c r="A306">
        <v>4.7</v>
      </c>
      <c r="B306">
        <v>2.7</v>
      </c>
    </row>
    <row r="307" spans="1:2" x14ac:dyDescent="0.2">
      <c r="A307">
        <v>0</v>
      </c>
      <c r="B307">
        <v>1.1499999999999999</v>
      </c>
    </row>
    <row r="308" spans="1:2" x14ac:dyDescent="0.2">
      <c r="A308">
        <v>4.8</v>
      </c>
      <c r="B308">
        <v>136</v>
      </c>
    </row>
    <row r="309" spans="1:2" x14ac:dyDescent="0.2">
      <c r="A309">
        <v>14</v>
      </c>
      <c r="B309">
        <v>133</v>
      </c>
    </row>
    <row r="310" spans="1:2" x14ac:dyDescent="0.2">
      <c r="A310">
        <v>0</v>
      </c>
      <c r="B310">
        <v>150</v>
      </c>
    </row>
    <row r="311" spans="1:2" x14ac:dyDescent="0.2">
      <c r="A311">
        <v>23</v>
      </c>
      <c r="B311">
        <v>3.21</v>
      </c>
    </row>
    <row r="312" spans="1:2" x14ac:dyDescent="0.2">
      <c r="A312">
        <v>18</v>
      </c>
      <c r="B312">
        <v>0</v>
      </c>
    </row>
    <row r="313" spans="1:2" x14ac:dyDescent="0.2">
      <c r="A313">
        <v>241</v>
      </c>
      <c r="B313">
        <v>218</v>
      </c>
    </row>
    <row r="314" spans="1:2" x14ac:dyDescent="0.2">
      <c r="A314">
        <v>0.7</v>
      </c>
      <c r="B314">
        <v>29</v>
      </c>
    </row>
    <row r="315" spans="1:2" x14ac:dyDescent="0.2">
      <c r="A315">
        <v>19.7</v>
      </c>
      <c r="B315">
        <v>59.1</v>
      </c>
    </row>
    <row r="316" spans="1:2" x14ac:dyDescent="0.2">
      <c r="A316">
        <v>7.94</v>
      </c>
      <c r="B316">
        <v>77.900000000000006</v>
      </c>
    </row>
    <row r="317" spans="1:2" x14ac:dyDescent="0.2">
      <c r="A317">
        <v>0</v>
      </c>
      <c r="B317">
        <v>53.8</v>
      </c>
    </row>
    <row r="318" spans="1:2" x14ac:dyDescent="0.2">
      <c r="A318">
        <v>19.399999999999999</v>
      </c>
      <c r="B318">
        <v>50</v>
      </c>
    </row>
    <row r="319" spans="1:2" x14ac:dyDescent="0.2">
      <c r="A319">
        <v>4.2999999999999997E-2</v>
      </c>
      <c r="B319">
        <v>34.700000000000003</v>
      </c>
    </row>
    <row r="320" spans="1:2" x14ac:dyDescent="0.2">
      <c r="A320">
        <v>1.9E-2</v>
      </c>
      <c r="B320">
        <v>56</v>
      </c>
    </row>
    <row r="321" spans="1:2" x14ac:dyDescent="0.2">
      <c r="A321">
        <v>0.42</v>
      </c>
      <c r="B321">
        <v>34</v>
      </c>
    </row>
    <row r="322" spans="1:2" x14ac:dyDescent="0.2">
      <c r="A322">
        <v>0.13</v>
      </c>
      <c r="B322">
        <v>124</v>
      </c>
    </row>
    <row r="323" spans="1:2" x14ac:dyDescent="0.2">
      <c r="A323">
        <v>103</v>
      </c>
      <c r="B323">
        <v>69.8</v>
      </c>
    </row>
    <row r="324" spans="1:2" x14ac:dyDescent="0.2">
      <c r="A324">
        <v>20.2</v>
      </c>
      <c r="B324">
        <v>173</v>
      </c>
    </row>
    <row r="325" spans="1:2" x14ac:dyDescent="0.2">
      <c r="A325">
        <v>23.5</v>
      </c>
      <c r="B325">
        <v>42.4</v>
      </c>
    </row>
    <row r="326" spans="1:2" x14ac:dyDescent="0.2">
      <c r="A326">
        <v>0</v>
      </c>
      <c r="B326">
        <v>27.6</v>
      </c>
    </row>
    <row r="327" spans="1:2" x14ac:dyDescent="0.2">
      <c r="A327">
        <v>601</v>
      </c>
      <c r="B327">
        <v>39.4</v>
      </c>
    </row>
    <row r="328" spans="1:2" x14ac:dyDescent="0.2">
      <c r="A328">
        <v>0</v>
      </c>
      <c r="B328">
        <v>139</v>
      </c>
    </row>
    <row r="329" spans="1:2" x14ac:dyDescent="0.2">
      <c r="A329">
        <v>0</v>
      </c>
      <c r="B329">
        <v>80.5</v>
      </c>
    </row>
    <row r="330" spans="1:2" x14ac:dyDescent="0.2">
      <c r="A330">
        <v>25</v>
      </c>
      <c r="B330">
        <v>69.8</v>
      </c>
    </row>
    <row r="331" spans="1:2" x14ac:dyDescent="0.2">
      <c r="B331">
        <v>46.9</v>
      </c>
    </row>
    <row r="332" spans="1:2" x14ac:dyDescent="0.2">
      <c r="B332">
        <v>54.2</v>
      </c>
    </row>
    <row r="333" spans="1:2" x14ac:dyDescent="0.2">
      <c r="B333">
        <v>60.3</v>
      </c>
    </row>
    <row r="334" spans="1:2" x14ac:dyDescent="0.2">
      <c r="B334">
        <v>95.2</v>
      </c>
    </row>
    <row r="335" spans="1:2" x14ac:dyDescent="0.2">
      <c r="B335">
        <v>45.8</v>
      </c>
    </row>
    <row r="336" spans="1:2" x14ac:dyDescent="0.2">
      <c r="B336">
        <v>42.2</v>
      </c>
    </row>
    <row r="337" spans="2:2" x14ac:dyDescent="0.2">
      <c r="B337">
        <v>44.9</v>
      </c>
    </row>
    <row r="338" spans="2:2" x14ac:dyDescent="0.2">
      <c r="B338">
        <v>68.3</v>
      </c>
    </row>
    <row r="339" spans="2:2" x14ac:dyDescent="0.2">
      <c r="B339">
        <v>59</v>
      </c>
    </row>
    <row r="340" spans="2:2" x14ac:dyDescent="0.2">
      <c r="B340">
        <v>27.9</v>
      </c>
    </row>
    <row r="341" spans="2:2" x14ac:dyDescent="0.2">
      <c r="B341">
        <v>10.6</v>
      </c>
    </row>
    <row r="342" spans="2:2" x14ac:dyDescent="0.2">
      <c r="B342">
        <v>0</v>
      </c>
    </row>
    <row r="343" spans="2:2" x14ac:dyDescent="0.2">
      <c r="B343">
        <v>27</v>
      </c>
    </row>
    <row r="344" spans="2:2" x14ac:dyDescent="0.2">
      <c r="B344">
        <v>14</v>
      </c>
    </row>
    <row r="345" spans="2:2" x14ac:dyDescent="0.2">
      <c r="B345">
        <v>0</v>
      </c>
    </row>
    <row r="346" spans="2:2" x14ac:dyDescent="0.2">
      <c r="B346">
        <v>25</v>
      </c>
    </row>
    <row r="347" spans="2:2" x14ac:dyDescent="0.2">
      <c r="B347">
        <v>65</v>
      </c>
    </row>
    <row r="348" spans="2:2" x14ac:dyDescent="0.2">
      <c r="B348">
        <v>4.8</v>
      </c>
    </row>
    <row r="349" spans="2:2" x14ac:dyDescent="0.2">
      <c r="B349">
        <v>74.099999999999994</v>
      </c>
    </row>
    <row r="350" spans="2:2" x14ac:dyDescent="0.2">
      <c r="B350">
        <v>268.8</v>
      </c>
    </row>
    <row r="351" spans="2:2" x14ac:dyDescent="0.2">
      <c r="B351">
        <v>0.6</v>
      </c>
    </row>
    <row r="352" spans="2:2" x14ac:dyDescent="0.2">
      <c r="B352">
        <v>16.7</v>
      </c>
    </row>
    <row r="353" spans="2:2" x14ac:dyDescent="0.2">
      <c r="B353">
        <v>0.28000000000000003</v>
      </c>
    </row>
    <row r="354" spans="2:2" x14ac:dyDescent="0.2">
      <c r="B354">
        <v>0</v>
      </c>
    </row>
    <row r="355" spans="2:2" x14ac:dyDescent="0.2">
      <c r="B355">
        <v>0.54</v>
      </c>
    </row>
    <row r="356" spans="2:2" x14ac:dyDescent="0.2">
      <c r="B356">
        <v>0.01</v>
      </c>
    </row>
    <row r="357" spans="2:2" x14ac:dyDescent="0.2">
      <c r="B357">
        <v>1790</v>
      </c>
    </row>
    <row r="358" spans="2:2" x14ac:dyDescent="0.2">
      <c r="B358">
        <v>38.5</v>
      </c>
    </row>
    <row r="359" spans="2:2" x14ac:dyDescent="0.2">
      <c r="B359">
        <v>19.3</v>
      </c>
    </row>
    <row r="360" spans="2:2" x14ac:dyDescent="0.2">
      <c r="B360">
        <v>0</v>
      </c>
    </row>
    <row r="361" spans="2:2" x14ac:dyDescent="0.2">
      <c r="B361">
        <v>68.099999999999994</v>
      </c>
    </row>
    <row r="362" spans="2:2" x14ac:dyDescent="0.2">
      <c r="B362">
        <v>4.7</v>
      </c>
    </row>
    <row r="363" spans="2:2" x14ac:dyDescent="0.2">
      <c r="B363">
        <v>0</v>
      </c>
    </row>
    <row r="364" spans="2:2" x14ac:dyDescent="0.2">
      <c r="B364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2C16-31B2-1346-8972-23FB263B7374}">
  <dimension ref="A1:S780"/>
  <sheetViews>
    <sheetView workbookViewId="0">
      <selection activeCell="J9" sqref="J9"/>
    </sheetView>
  </sheetViews>
  <sheetFormatPr baseColWidth="10" defaultRowHeight="16" x14ac:dyDescent="0.2"/>
  <cols>
    <col min="1" max="1" width="13" bestFit="1" customWidth="1"/>
    <col min="5" max="5" width="12.1640625" bestFit="1" customWidth="1"/>
  </cols>
  <sheetData>
    <row r="1" spans="1:7" x14ac:dyDescent="0.2">
      <c r="A1" t="s">
        <v>182</v>
      </c>
      <c r="B1" t="s">
        <v>173</v>
      </c>
      <c r="C1" t="s">
        <v>176</v>
      </c>
      <c r="D1" t="s">
        <v>177</v>
      </c>
      <c r="E1" t="s">
        <v>610</v>
      </c>
      <c r="F1" t="s">
        <v>178</v>
      </c>
      <c r="G1" t="s">
        <v>174</v>
      </c>
    </row>
    <row r="2" spans="1:7" x14ac:dyDescent="0.2">
      <c r="A2" t="s">
        <v>458</v>
      </c>
      <c r="B2">
        <v>2018</v>
      </c>
      <c r="C2">
        <v>0.16500000000000001</v>
      </c>
      <c r="D2" t="s">
        <v>459</v>
      </c>
      <c r="E2">
        <f>C2/1.225/1000</f>
        <v>1.3469387755102042E-4</v>
      </c>
      <c r="G2" t="s">
        <v>457</v>
      </c>
    </row>
    <row r="3" spans="1:7" x14ac:dyDescent="0.2">
      <c r="C3">
        <v>0</v>
      </c>
      <c r="E3">
        <f t="shared" ref="E3:E66" si="0">C3/1.225/1000</f>
        <v>0</v>
      </c>
    </row>
    <row r="4" spans="1:7" x14ac:dyDescent="0.2">
      <c r="C4">
        <v>3.2000000000000001E-2</v>
      </c>
      <c r="E4">
        <f t="shared" si="0"/>
        <v>2.6122448979591835E-5</v>
      </c>
    </row>
    <row r="5" spans="1:7" x14ac:dyDescent="0.2">
      <c r="C5">
        <v>0</v>
      </c>
      <c r="E5">
        <f t="shared" si="0"/>
        <v>0</v>
      </c>
    </row>
    <row r="6" spans="1:7" x14ac:dyDescent="0.2">
      <c r="C6">
        <v>0</v>
      </c>
      <c r="E6">
        <f t="shared" si="0"/>
        <v>0</v>
      </c>
    </row>
    <row r="7" spans="1:7" x14ac:dyDescent="0.2">
      <c r="E7">
        <f t="shared" si="0"/>
        <v>0</v>
      </c>
    </row>
    <row r="8" spans="1:7" x14ac:dyDescent="0.2">
      <c r="C8">
        <v>0.13700000000000001</v>
      </c>
      <c r="E8">
        <f t="shared" si="0"/>
        <v>1.1183673469387754E-4</v>
      </c>
    </row>
    <row r="9" spans="1:7" x14ac:dyDescent="0.2">
      <c r="C9">
        <v>6.9000000000000006E-2</v>
      </c>
      <c r="E9">
        <f t="shared" si="0"/>
        <v>5.63265306122449E-5</v>
      </c>
    </row>
    <row r="10" spans="1:7" x14ac:dyDescent="0.2">
      <c r="C10">
        <v>0.111</v>
      </c>
      <c r="E10">
        <f t="shared" si="0"/>
        <v>9.0612244897959177E-5</v>
      </c>
    </row>
    <row r="11" spans="1:7" x14ac:dyDescent="0.2">
      <c r="C11">
        <v>0</v>
      </c>
      <c r="E11">
        <f t="shared" si="0"/>
        <v>0</v>
      </c>
    </row>
    <row r="12" spans="1:7" x14ac:dyDescent="0.2">
      <c r="C12">
        <v>2.1999999999999999E-2</v>
      </c>
      <c r="E12">
        <f t="shared" si="0"/>
        <v>1.7959183673469384E-5</v>
      </c>
    </row>
    <row r="13" spans="1:7" x14ac:dyDescent="0.2">
      <c r="C13">
        <v>3.3000000000000002E-2</v>
      </c>
      <c r="E13">
        <f t="shared" si="0"/>
        <v>2.6938775510204081E-5</v>
      </c>
    </row>
    <row r="14" spans="1:7" x14ac:dyDescent="0.2">
      <c r="C14">
        <v>0.16400000000000001</v>
      </c>
      <c r="E14">
        <f t="shared" si="0"/>
        <v>1.3387755102040817E-4</v>
      </c>
    </row>
    <row r="15" spans="1:7" x14ac:dyDescent="0.2">
      <c r="C15">
        <v>0.37</v>
      </c>
      <c r="E15">
        <f t="shared" si="0"/>
        <v>3.0204081632653057E-4</v>
      </c>
    </row>
    <row r="16" spans="1:7" x14ac:dyDescent="0.2">
      <c r="C16">
        <v>0</v>
      </c>
      <c r="E16">
        <f t="shared" si="0"/>
        <v>0</v>
      </c>
    </row>
    <row r="17" spans="1:7" x14ac:dyDescent="0.2">
      <c r="C17">
        <v>0</v>
      </c>
      <c r="E17">
        <f t="shared" si="0"/>
        <v>0</v>
      </c>
    </row>
    <row r="18" spans="1:7" x14ac:dyDescent="0.2">
      <c r="C18">
        <v>0</v>
      </c>
      <c r="E18">
        <f t="shared" si="0"/>
        <v>0</v>
      </c>
    </row>
    <row r="19" spans="1:7" x14ac:dyDescent="0.2">
      <c r="C19">
        <v>0</v>
      </c>
      <c r="E19">
        <f t="shared" si="0"/>
        <v>0</v>
      </c>
    </row>
    <row r="20" spans="1:7" x14ac:dyDescent="0.2">
      <c r="C20">
        <v>1.2999999999999999E-2</v>
      </c>
      <c r="E20">
        <f t="shared" si="0"/>
        <v>1.0612244897959182E-5</v>
      </c>
    </row>
    <row r="21" spans="1:7" x14ac:dyDescent="0.2">
      <c r="C21">
        <v>0</v>
      </c>
      <c r="E21">
        <f t="shared" si="0"/>
        <v>0</v>
      </c>
    </row>
    <row r="22" spans="1:7" x14ac:dyDescent="0.2">
      <c r="A22" t="s">
        <v>461</v>
      </c>
      <c r="B22">
        <v>2009</v>
      </c>
      <c r="C22">
        <v>20</v>
      </c>
      <c r="D22" t="s">
        <v>459</v>
      </c>
      <c r="E22">
        <f t="shared" si="0"/>
        <v>1.6326530612244899E-2</v>
      </c>
      <c r="G22" t="s">
        <v>460</v>
      </c>
    </row>
    <row r="23" spans="1:7" x14ac:dyDescent="0.2">
      <c r="C23">
        <v>24</v>
      </c>
      <c r="E23">
        <f t="shared" si="0"/>
        <v>1.9591836734693873E-2</v>
      </c>
    </row>
    <row r="24" spans="1:7" x14ac:dyDescent="0.2">
      <c r="C24">
        <v>22</v>
      </c>
      <c r="E24">
        <f t="shared" si="0"/>
        <v>1.7959183673469388E-2</v>
      </c>
    </row>
    <row r="25" spans="1:7" x14ac:dyDescent="0.2">
      <c r="C25">
        <v>38</v>
      </c>
      <c r="E25">
        <f t="shared" si="0"/>
        <v>3.1020408163265303E-2</v>
      </c>
    </row>
    <row r="26" spans="1:7" x14ac:dyDescent="0.2">
      <c r="C26">
        <v>5.3</v>
      </c>
      <c r="E26">
        <f t="shared" si="0"/>
        <v>4.3265306122448974E-3</v>
      </c>
    </row>
    <row r="27" spans="1:7" x14ac:dyDescent="0.2">
      <c r="C27">
        <v>7.2</v>
      </c>
      <c r="E27">
        <f t="shared" si="0"/>
        <v>5.877551020408163E-3</v>
      </c>
    </row>
    <row r="28" spans="1:7" x14ac:dyDescent="0.2">
      <c r="C28">
        <v>0.84</v>
      </c>
      <c r="E28">
        <f t="shared" si="0"/>
        <v>6.8571428571428559E-4</v>
      </c>
    </row>
    <row r="29" spans="1:7" x14ac:dyDescent="0.2">
      <c r="C29">
        <v>13</v>
      </c>
      <c r="E29">
        <f t="shared" si="0"/>
        <v>1.0612244897959183E-2</v>
      </c>
    </row>
    <row r="30" spans="1:7" x14ac:dyDescent="0.2">
      <c r="C30">
        <v>3.2</v>
      </c>
      <c r="E30">
        <f t="shared" si="0"/>
        <v>2.6122448979591832E-3</v>
      </c>
    </row>
    <row r="31" spans="1:7" x14ac:dyDescent="0.2">
      <c r="C31">
        <v>13</v>
      </c>
      <c r="E31">
        <f t="shared" si="0"/>
        <v>1.0612244897959183E-2</v>
      </c>
    </row>
    <row r="32" spans="1:7" x14ac:dyDescent="0.2">
      <c r="C32">
        <v>3</v>
      </c>
      <c r="E32">
        <f t="shared" si="0"/>
        <v>2.4489795918367341E-3</v>
      </c>
    </row>
    <row r="33" spans="3:5" x14ac:dyDescent="0.2">
      <c r="C33">
        <v>4.4000000000000004</v>
      </c>
      <c r="E33">
        <f t="shared" si="0"/>
        <v>3.5918367346938775E-3</v>
      </c>
    </row>
    <row r="34" spans="3:5" x14ac:dyDescent="0.2">
      <c r="C34">
        <v>0.59</v>
      </c>
      <c r="E34">
        <f t="shared" si="0"/>
        <v>4.8163265306122441E-4</v>
      </c>
    </row>
    <row r="35" spans="3:5" x14ac:dyDescent="0.2">
      <c r="C35">
        <v>7.6</v>
      </c>
      <c r="E35">
        <f t="shared" si="0"/>
        <v>6.2040816326530603E-3</v>
      </c>
    </row>
    <row r="36" spans="3:5" x14ac:dyDescent="0.2">
      <c r="C36">
        <v>1.43</v>
      </c>
      <c r="E36">
        <f t="shared" si="0"/>
        <v>1.1673469387755099E-3</v>
      </c>
    </row>
    <row r="37" spans="3:5" x14ac:dyDescent="0.2">
      <c r="C37">
        <v>1.92</v>
      </c>
      <c r="E37">
        <f t="shared" si="0"/>
        <v>1.5673469387755101E-3</v>
      </c>
    </row>
    <row r="38" spans="3:5" x14ac:dyDescent="0.2">
      <c r="C38">
        <v>14</v>
      </c>
      <c r="E38">
        <f t="shared" si="0"/>
        <v>1.1428571428571427E-2</v>
      </c>
    </row>
    <row r="39" spans="3:5" x14ac:dyDescent="0.2">
      <c r="C39">
        <v>28</v>
      </c>
      <c r="E39">
        <f t="shared" si="0"/>
        <v>2.2857142857142854E-2</v>
      </c>
    </row>
    <row r="40" spans="3:5" x14ac:dyDescent="0.2">
      <c r="C40">
        <v>5.8</v>
      </c>
      <c r="E40">
        <f t="shared" si="0"/>
        <v>4.7346938775510205E-3</v>
      </c>
    </row>
    <row r="41" spans="3:5" x14ac:dyDescent="0.2">
      <c r="C41">
        <v>54</v>
      </c>
      <c r="E41">
        <f t="shared" si="0"/>
        <v>4.4081632653061219E-2</v>
      </c>
    </row>
    <row r="42" spans="3:5" x14ac:dyDescent="0.2">
      <c r="C42">
        <v>5.8</v>
      </c>
      <c r="E42">
        <f t="shared" si="0"/>
        <v>4.7346938775510205E-3</v>
      </c>
    </row>
    <row r="43" spans="3:5" x14ac:dyDescent="0.2">
      <c r="C43">
        <v>54</v>
      </c>
      <c r="E43">
        <f t="shared" si="0"/>
        <v>4.4081632653061219E-2</v>
      </c>
    </row>
    <row r="44" spans="3:5" x14ac:dyDescent="0.2">
      <c r="C44">
        <v>7.4</v>
      </c>
      <c r="E44">
        <f t="shared" si="0"/>
        <v>6.0408163265306116E-3</v>
      </c>
    </row>
    <row r="45" spans="3:5" x14ac:dyDescent="0.2">
      <c r="C45">
        <v>7.5</v>
      </c>
      <c r="E45">
        <f t="shared" si="0"/>
        <v>6.1224489795918364E-3</v>
      </c>
    </row>
    <row r="46" spans="3:5" x14ac:dyDescent="0.2">
      <c r="C46">
        <v>2.7</v>
      </c>
      <c r="E46">
        <f t="shared" si="0"/>
        <v>2.2040816326530611E-3</v>
      </c>
    </row>
    <row r="47" spans="3:5" x14ac:dyDescent="0.2">
      <c r="C47">
        <v>7.5</v>
      </c>
      <c r="E47">
        <f t="shared" si="0"/>
        <v>6.1224489795918364E-3</v>
      </c>
    </row>
    <row r="48" spans="3:5" x14ac:dyDescent="0.2">
      <c r="C48">
        <v>26</v>
      </c>
      <c r="E48">
        <f t="shared" si="0"/>
        <v>2.1224489795918365E-2</v>
      </c>
    </row>
    <row r="49" spans="3:5" x14ac:dyDescent="0.2">
      <c r="C49">
        <v>38</v>
      </c>
      <c r="E49">
        <f t="shared" si="0"/>
        <v>3.1020408163265303E-2</v>
      </c>
    </row>
    <row r="50" spans="3:5" x14ac:dyDescent="0.2">
      <c r="C50">
        <v>1.2</v>
      </c>
      <c r="E50">
        <f t="shared" si="0"/>
        <v>9.7959183673469383E-4</v>
      </c>
    </row>
    <row r="51" spans="3:5" x14ac:dyDescent="0.2">
      <c r="C51">
        <v>13.8</v>
      </c>
      <c r="E51">
        <f t="shared" si="0"/>
        <v>1.1265306122448979E-2</v>
      </c>
    </row>
    <row r="52" spans="3:5" x14ac:dyDescent="0.2">
      <c r="C52">
        <v>10.3</v>
      </c>
      <c r="E52">
        <f t="shared" si="0"/>
        <v>8.4081632653061223E-3</v>
      </c>
    </row>
    <row r="53" spans="3:5" x14ac:dyDescent="0.2">
      <c r="C53">
        <v>42</v>
      </c>
      <c r="E53">
        <f t="shared" si="0"/>
        <v>3.4285714285714287E-2</v>
      </c>
    </row>
    <row r="54" spans="3:5" x14ac:dyDescent="0.2">
      <c r="C54">
        <v>7.2</v>
      </c>
      <c r="E54">
        <f t="shared" si="0"/>
        <v>5.877551020408163E-3</v>
      </c>
    </row>
    <row r="55" spans="3:5" x14ac:dyDescent="0.2">
      <c r="C55">
        <v>38</v>
      </c>
      <c r="E55">
        <f t="shared" si="0"/>
        <v>3.1020408163265303E-2</v>
      </c>
    </row>
    <row r="56" spans="3:5" x14ac:dyDescent="0.2">
      <c r="C56">
        <v>6</v>
      </c>
      <c r="E56">
        <f t="shared" si="0"/>
        <v>4.8979591836734683E-3</v>
      </c>
    </row>
    <row r="57" spans="3:5" x14ac:dyDescent="0.2">
      <c r="C57">
        <v>10.9</v>
      </c>
      <c r="E57">
        <f t="shared" si="0"/>
        <v>8.8979591836734692E-3</v>
      </c>
    </row>
    <row r="58" spans="3:5" x14ac:dyDescent="0.2">
      <c r="C58">
        <v>3.5</v>
      </c>
      <c r="E58">
        <f t="shared" si="0"/>
        <v>2.8571428571428567E-3</v>
      </c>
    </row>
    <row r="59" spans="3:5" x14ac:dyDescent="0.2">
      <c r="C59">
        <v>21</v>
      </c>
      <c r="E59">
        <f t="shared" si="0"/>
        <v>1.7142857142857144E-2</v>
      </c>
    </row>
    <row r="60" spans="3:5" x14ac:dyDescent="0.2">
      <c r="C60">
        <v>5.7</v>
      </c>
      <c r="E60">
        <f t="shared" si="0"/>
        <v>4.6530612244897957E-3</v>
      </c>
    </row>
    <row r="61" spans="3:5" x14ac:dyDescent="0.2">
      <c r="C61">
        <v>9.9</v>
      </c>
      <c r="E61">
        <f t="shared" si="0"/>
        <v>8.0816326530612232E-3</v>
      </c>
    </row>
    <row r="62" spans="3:5" x14ac:dyDescent="0.2">
      <c r="C62">
        <v>2.9</v>
      </c>
      <c r="E62">
        <f t="shared" si="0"/>
        <v>2.3673469387755102E-3</v>
      </c>
    </row>
    <row r="63" spans="3:5" x14ac:dyDescent="0.2">
      <c r="C63">
        <v>11.4</v>
      </c>
      <c r="E63">
        <f t="shared" si="0"/>
        <v>9.3061224489795914E-3</v>
      </c>
    </row>
    <row r="64" spans="3:5" x14ac:dyDescent="0.2">
      <c r="C64">
        <v>10.3</v>
      </c>
      <c r="E64">
        <f t="shared" si="0"/>
        <v>8.4081632653061223E-3</v>
      </c>
    </row>
    <row r="65" spans="3:5" x14ac:dyDescent="0.2">
      <c r="C65">
        <v>20</v>
      </c>
      <c r="E65">
        <f t="shared" si="0"/>
        <v>1.6326530612244899E-2</v>
      </c>
    </row>
    <row r="66" spans="3:5" x14ac:dyDescent="0.2">
      <c r="C66">
        <v>6.4</v>
      </c>
      <c r="E66">
        <f t="shared" si="0"/>
        <v>5.2244897959183665E-3</v>
      </c>
    </row>
    <row r="67" spans="3:5" x14ac:dyDescent="0.2">
      <c r="C67">
        <v>12.2</v>
      </c>
      <c r="E67">
        <f t="shared" ref="E67:E130" si="1">C67/1.225/1000</f>
        <v>9.9591836734693861E-3</v>
      </c>
    </row>
    <row r="68" spans="3:5" x14ac:dyDescent="0.2">
      <c r="C68">
        <v>12.2</v>
      </c>
      <c r="E68">
        <f t="shared" si="1"/>
        <v>9.9591836734693861E-3</v>
      </c>
    </row>
    <row r="69" spans="3:5" x14ac:dyDescent="0.2">
      <c r="C69">
        <v>17.5</v>
      </c>
      <c r="E69">
        <f t="shared" si="1"/>
        <v>1.4285714285714285E-2</v>
      </c>
    </row>
    <row r="70" spans="3:5" x14ac:dyDescent="0.2">
      <c r="C70">
        <v>2.5</v>
      </c>
      <c r="E70">
        <f t="shared" si="1"/>
        <v>2.0408163265306124E-3</v>
      </c>
    </row>
    <row r="71" spans="3:5" x14ac:dyDescent="0.2">
      <c r="C71">
        <v>2.7</v>
      </c>
      <c r="E71">
        <f t="shared" si="1"/>
        <v>2.2040816326530611E-3</v>
      </c>
    </row>
    <row r="72" spans="3:5" x14ac:dyDescent="0.2">
      <c r="C72">
        <v>2.9</v>
      </c>
      <c r="E72">
        <f t="shared" si="1"/>
        <v>2.3673469387755102E-3</v>
      </c>
    </row>
    <row r="73" spans="3:5" x14ac:dyDescent="0.2">
      <c r="C73">
        <v>4.5</v>
      </c>
      <c r="E73">
        <f t="shared" si="1"/>
        <v>3.6734693877551019E-3</v>
      </c>
    </row>
    <row r="74" spans="3:5" x14ac:dyDescent="0.2">
      <c r="C74">
        <v>0.99</v>
      </c>
      <c r="E74">
        <f t="shared" si="1"/>
        <v>8.0816326530612232E-4</v>
      </c>
    </row>
    <row r="75" spans="3:5" x14ac:dyDescent="0.2">
      <c r="C75">
        <v>2.8</v>
      </c>
      <c r="E75">
        <f t="shared" si="1"/>
        <v>2.2857142857142855E-3</v>
      </c>
    </row>
    <row r="76" spans="3:5" x14ac:dyDescent="0.2">
      <c r="C76">
        <v>2.5</v>
      </c>
      <c r="E76">
        <f t="shared" si="1"/>
        <v>2.0408163265306124E-3</v>
      </c>
    </row>
    <row r="77" spans="3:5" x14ac:dyDescent="0.2">
      <c r="C77">
        <v>5.2</v>
      </c>
      <c r="E77">
        <f t="shared" si="1"/>
        <v>4.2448979591836735E-3</v>
      </c>
    </row>
    <row r="78" spans="3:5" x14ac:dyDescent="0.2">
      <c r="C78">
        <v>7.7</v>
      </c>
      <c r="E78">
        <f t="shared" si="1"/>
        <v>6.285714285714286E-3</v>
      </c>
    </row>
    <row r="79" spans="3:5" x14ac:dyDescent="0.2">
      <c r="C79">
        <v>12.6</v>
      </c>
      <c r="E79">
        <f t="shared" si="1"/>
        <v>1.0285714285714285E-2</v>
      </c>
    </row>
    <row r="80" spans="3:5" x14ac:dyDescent="0.2">
      <c r="C80">
        <v>4.4000000000000004</v>
      </c>
      <c r="E80">
        <f t="shared" si="1"/>
        <v>3.5918367346938775E-3</v>
      </c>
    </row>
    <row r="81" spans="3:5" x14ac:dyDescent="0.2">
      <c r="C81">
        <v>9.4</v>
      </c>
      <c r="E81">
        <f t="shared" si="1"/>
        <v>7.6734693877551019E-3</v>
      </c>
    </row>
    <row r="82" spans="3:5" x14ac:dyDescent="0.2">
      <c r="C82">
        <v>1.6</v>
      </c>
      <c r="E82">
        <f t="shared" si="1"/>
        <v>1.3061224489795916E-3</v>
      </c>
    </row>
    <row r="83" spans="3:5" x14ac:dyDescent="0.2">
      <c r="C83">
        <v>2</v>
      </c>
      <c r="E83">
        <f t="shared" si="1"/>
        <v>1.6326530612244896E-3</v>
      </c>
    </row>
    <row r="84" spans="3:5" x14ac:dyDescent="0.2">
      <c r="C84">
        <v>5</v>
      </c>
      <c r="E84">
        <f t="shared" si="1"/>
        <v>4.0816326530612249E-3</v>
      </c>
    </row>
    <row r="85" spans="3:5" x14ac:dyDescent="0.2">
      <c r="C85">
        <v>12.7</v>
      </c>
      <c r="E85">
        <f t="shared" si="1"/>
        <v>1.0367346938775508E-2</v>
      </c>
    </row>
    <row r="86" spans="3:5" x14ac:dyDescent="0.2">
      <c r="C86">
        <v>0.05</v>
      </c>
      <c r="E86">
        <f t="shared" si="1"/>
        <v>4.0816326530612238E-5</v>
      </c>
    </row>
    <row r="87" spans="3:5" x14ac:dyDescent="0.2">
      <c r="C87">
        <v>3.1</v>
      </c>
      <c r="E87">
        <f t="shared" si="1"/>
        <v>2.5306122448979589E-3</v>
      </c>
    </row>
    <row r="88" spans="3:5" x14ac:dyDescent="0.2">
      <c r="C88">
        <v>0.26</v>
      </c>
      <c r="E88">
        <f t="shared" si="1"/>
        <v>2.1224489795918368E-4</v>
      </c>
    </row>
    <row r="89" spans="3:5" x14ac:dyDescent="0.2">
      <c r="C89">
        <v>3</v>
      </c>
      <c r="E89">
        <f t="shared" si="1"/>
        <v>2.4489795918367341E-3</v>
      </c>
    </row>
    <row r="90" spans="3:5" x14ac:dyDescent="0.2">
      <c r="C90">
        <v>0.02</v>
      </c>
      <c r="E90">
        <f t="shared" si="1"/>
        <v>1.6326530612244897E-5</v>
      </c>
    </row>
    <row r="91" spans="3:5" x14ac:dyDescent="0.2">
      <c r="C91">
        <v>0.84</v>
      </c>
      <c r="E91">
        <f t="shared" si="1"/>
        <v>6.8571428571428559E-4</v>
      </c>
    </row>
    <row r="92" spans="3:5" x14ac:dyDescent="0.2">
      <c r="C92">
        <v>0.05</v>
      </c>
      <c r="E92">
        <f t="shared" si="1"/>
        <v>4.0816326530612238E-5</v>
      </c>
    </row>
    <row r="93" spans="3:5" x14ac:dyDescent="0.2">
      <c r="C93">
        <v>5.86</v>
      </c>
      <c r="E93">
        <f t="shared" si="1"/>
        <v>4.7836734693877548E-3</v>
      </c>
    </row>
    <row r="94" spans="3:5" x14ac:dyDescent="0.2">
      <c r="C94">
        <v>0.56999999999999995</v>
      </c>
      <c r="E94">
        <f t="shared" si="1"/>
        <v>4.6530612244897952E-4</v>
      </c>
    </row>
    <row r="95" spans="3:5" x14ac:dyDescent="0.2">
      <c r="C95">
        <v>2.6</v>
      </c>
      <c r="E95">
        <f t="shared" si="1"/>
        <v>2.1224489795918368E-3</v>
      </c>
    </row>
    <row r="96" spans="3:5" x14ac:dyDescent="0.2">
      <c r="C96">
        <v>0.1</v>
      </c>
      <c r="E96">
        <f t="shared" si="1"/>
        <v>8.1632653061224477E-5</v>
      </c>
    </row>
    <row r="97" spans="3:5" x14ac:dyDescent="0.2">
      <c r="C97">
        <v>0.14000000000000001</v>
      </c>
      <c r="E97">
        <f t="shared" si="1"/>
        <v>1.1428571428571428E-4</v>
      </c>
    </row>
    <row r="98" spans="3:5" x14ac:dyDescent="0.2">
      <c r="C98">
        <v>0.15</v>
      </c>
      <c r="E98">
        <f t="shared" si="1"/>
        <v>1.2244897959183673E-4</v>
      </c>
    </row>
    <row r="99" spans="3:5" x14ac:dyDescent="0.2">
      <c r="C99">
        <v>4.9000000000000004</v>
      </c>
      <c r="E99">
        <f t="shared" si="1"/>
        <v>4.0000000000000001E-3</v>
      </c>
    </row>
    <row r="100" spans="3:5" x14ac:dyDescent="0.2">
      <c r="C100">
        <v>7.0000000000000007E-2</v>
      </c>
      <c r="E100">
        <f t="shared" si="1"/>
        <v>5.7142857142857142E-5</v>
      </c>
    </row>
    <row r="101" spans="3:5" x14ac:dyDescent="0.2">
      <c r="C101">
        <v>0.17</v>
      </c>
      <c r="E101">
        <f t="shared" si="1"/>
        <v>1.3877551020408162E-4</v>
      </c>
    </row>
    <row r="102" spans="3:5" x14ac:dyDescent="0.2">
      <c r="C102">
        <v>0.12</v>
      </c>
      <c r="E102">
        <f t="shared" si="1"/>
        <v>9.795918367346938E-5</v>
      </c>
    </row>
    <row r="103" spans="3:5" x14ac:dyDescent="0.2">
      <c r="C103">
        <v>5.5</v>
      </c>
      <c r="E103">
        <f t="shared" si="1"/>
        <v>4.489795918367347E-3</v>
      </c>
    </row>
    <row r="104" spans="3:5" x14ac:dyDescent="0.2">
      <c r="C104">
        <v>0.04</v>
      </c>
      <c r="E104">
        <f t="shared" si="1"/>
        <v>3.2653061224489793E-5</v>
      </c>
    </row>
    <row r="105" spans="3:5" x14ac:dyDescent="0.2">
      <c r="C105">
        <v>0.05</v>
      </c>
      <c r="E105">
        <f t="shared" si="1"/>
        <v>4.0816326530612238E-5</v>
      </c>
    </row>
    <row r="106" spans="3:5" x14ac:dyDescent="0.2">
      <c r="C106">
        <v>0.06</v>
      </c>
      <c r="E106">
        <f t="shared" si="1"/>
        <v>4.897959183673469E-5</v>
      </c>
    </row>
    <row r="107" spans="3:5" x14ac:dyDescent="0.2">
      <c r="C107">
        <v>0.42</v>
      </c>
      <c r="E107">
        <f t="shared" si="1"/>
        <v>3.428571428571428E-4</v>
      </c>
    </row>
    <row r="108" spans="3:5" x14ac:dyDescent="0.2">
      <c r="C108">
        <v>7.0000000000000007E-2</v>
      </c>
      <c r="E108">
        <f t="shared" si="1"/>
        <v>5.7142857142857142E-5</v>
      </c>
    </row>
    <row r="109" spans="3:5" x14ac:dyDescent="0.2">
      <c r="C109">
        <v>0.56999999999999995</v>
      </c>
      <c r="E109">
        <f t="shared" si="1"/>
        <v>4.6530612244897952E-4</v>
      </c>
    </row>
    <row r="110" spans="3:5" x14ac:dyDescent="0.2">
      <c r="C110">
        <v>0.04</v>
      </c>
      <c r="E110">
        <f t="shared" si="1"/>
        <v>3.2653061224489793E-5</v>
      </c>
    </row>
    <row r="111" spans="3:5" x14ac:dyDescent="0.2">
      <c r="C111">
        <v>0.08</v>
      </c>
      <c r="E111">
        <f t="shared" si="1"/>
        <v>6.5306122448979587E-5</v>
      </c>
    </row>
    <row r="112" spans="3:5" x14ac:dyDescent="0.2">
      <c r="C112">
        <v>0.01</v>
      </c>
      <c r="E112">
        <f t="shared" si="1"/>
        <v>8.1632653061224483E-6</v>
      </c>
    </row>
    <row r="113" spans="3:5" x14ac:dyDescent="0.2">
      <c r="C113">
        <v>0.04</v>
      </c>
      <c r="E113">
        <f t="shared" si="1"/>
        <v>3.2653061224489793E-5</v>
      </c>
    </row>
    <row r="114" spans="3:5" x14ac:dyDescent="0.2">
      <c r="C114">
        <v>0.2</v>
      </c>
      <c r="E114">
        <f t="shared" si="1"/>
        <v>1.6326530612244895E-4</v>
      </c>
    </row>
    <row r="115" spans="3:5" x14ac:dyDescent="0.2">
      <c r="C115">
        <v>4.9000000000000004</v>
      </c>
      <c r="E115">
        <f t="shared" si="1"/>
        <v>4.0000000000000001E-3</v>
      </c>
    </row>
    <row r="116" spans="3:5" x14ac:dyDescent="0.2">
      <c r="C116">
        <v>6.2</v>
      </c>
      <c r="E116">
        <f t="shared" si="1"/>
        <v>5.0612244897959178E-3</v>
      </c>
    </row>
    <row r="117" spans="3:5" x14ac:dyDescent="0.2">
      <c r="C117">
        <v>7.1</v>
      </c>
      <c r="E117">
        <f t="shared" si="1"/>
        <v>5.7959183673469382E-3</v>
      </c>
    </row>
    <row r="118" spans="3:5" x14ac:dyDescent="0.2">
      <c r="C118">
        <v>1.3</v>
      </c>
      <c r="E118">
        <f t="shared" si="1"/>
        <v>1.0612244897959184E-3</v>
      </c>
    </row>
    <row r="119" spans="3:5" x14ac:dyDescent="0.2">
      <c r="C119">
        <v>7.7</v>
      </c>
      <c r="E119">
        <f t="shared" si="1"/>
        <v>6.285714285714286E-3</v>
      </c>
    </row>
    <row r="120" spans="3:5" x14ac:dyDescent="0.2">
      <c r="C120">
        <v>8.6</v>
      </c>
      <c r="E120">
        <f t="shared" si="1"/>
        <v>7.0204081632653046E-3</v>
      </c>
    </row>
    <row r="121" spans="3:5" x14ac:dyDescent="0.2">
      <c r="C121">
        <v>20</v>
      </c>
      <c r="E121">
        <f t="shared" si="1"/>
        <v>1.6326530612244899E-2</v>
      </c>
    </row>
    <row r="122" spans="3:5" x14ac:dyDescent="0.2">
      <c r="C122">
        <v>2.2999999999999998</v>
      </c>
      <c r="E122">
        <f t="shared" si="1"/>
        <v>1.8775510204081629E-3</v>
      </c>
    </row>
    <row r="123" spans="3:5" x14ac:dyDescent="0.2">
      <c r="C123">
        <v>9.8000000000000007</v>
      </c>
      <c r="E123">
        <f t="shared" si="1"/>
        <v>8.0000000000000002E-3</v>
      </c>
    </row>
    <row r="124" spans="3:5" x14ac:dyDescent="0.2">
      <c r="C124">
        <v>0.13</v>
      </c>
      <c r="E124">
        <f t="shared" si="1"/>
        <v>1.0612244897959184E-4</v>
      </c>
    </row>
    <row r="125" spans="3:5" x14ac:dyDescent="0.2">
      <c r="C125">
        <v>0.61</v>
      </c>
      <c r="E125">
        <f t="shared" si="1"/>
        <v>4.9795918367346941E-4</v>
      </c>
    </row>
    <row r="126" spans="3:5" x14ac:dyDescent="0.2">
      <c r="C126">
        <v>0.54</v>
      </c>
      <c r="E126">
        <f t="shared" si="1"/>
        <v>4.4081632653061224E-4</v>
      </c>
    </row>
    <row r="127" spans="3:5" x14ac:dyDescent="0.2">
      <c r="C127">
        <v>1.34</v>
      </c>
      <c r="E127">
        <f t="shared" si="1"/>
        <v>1.0938775510204082E-3</v>
      </c>
    </row>
    <row r="128" spans="3:5" x14ac:dyDescent="0.2">
      <c r="C128">
        <v>0.12</v>
      </c>
      <c r="E128">
        <f t="shared" si="1"/>
        <v>9.795918367346938E-5</v>
      </c>
    </row>
    <row r="129" spans="3:5" x14ac:dyDescent="0.2">
      <c r="C129">
        <v>0.15</v>
      </c>
      <c r="E129">
        <f t="shared" si="1"/>
        <v>1.2244897959183673E-4</v>
      </c>
    </row>
    <row r="130" spans="3:5" x14ac:dyDescent="0.2">
      <c r="C130">
        <v>1.6</v>
      </c>
      <c r="E130">
        <f t="shared" si="1"/>
        <v>1.3061224489795916E-3</v>
      </c>
    </row>
    <row r="131" spans="3:5" x14ac:dyDescent="0.2">
      <c r="C131">
        <v>9</v>
      </c>
      <c r="E131">
        <f t="shared" ref="E131:E135" si="2">C131/1.225/1000</f>
        <v>7.3469387755102037E-3</v>
      </c>
    </row>
    <row r="132" spans="3:5" x14ac:dyDescent="0.2">
      <c r="C132">
        <v>0.27</v>
      </c>
      <c r="E132">
        <f t="shared" si="2"/>
        <v>2.2040816326530612E-4</v>
      </c>
    </row>
    <row r="133" spans="3:5" x14ac:dyDescent="0.2">
      <c r="C133">
        <v>0.35</v>
      </c>
      <c r="E133">
        <f t="shared" si="2"/>
        <v>2.8571428571428568E-4</v>
      </c>
    </row>
    <row r="134" spans="3:5" x14ac:dyDescent="0.2">
      <c r="C134">
        <v>0.25</v>
      </c>
      <c r="E134">
        <f t="shared" si="2"/>
        <v>2.040816326530612E-4</v>
      </c>
    </row>
    <row r="135" spans="3:5" x14ac:dyDescent="0.2">
      <c r="C135">
        <v>0.43</v>
      </c>
      <c r="E135">
        <f t="shared" si="2"/>
        <v>3.510204081632653E-4</v>
      </c>
    </row>
    <row r="136" spans="3:5" x14ac:dyDescent="0.2">
      <c r="C136">
        <v>41</v>
      </c>
      <c r="D136" t="s">
        <v>462</v>
      </c>
      <c r="E136">
        <f>C136/1000/1.225/1000</f>
        <v>3.3469387755102042E-5</v>
      </c>
    </row>
    <row r="137" spans="3:5" x14ac:dyDescent="0.2">
      <c r="C137">
        <v>97</v>
      </c>
      <c r="E137">
        <f t="shared" ref="E137:E181" si="3">C137/1000/1.225/1000</f>
        <v>7.9183673469387751E-5</v>
      </c>
    </row>
    <row r="138" spans="3:5" x14ac:dyDescent="0.2">
      <c r="C138">
        <v>22</v>
      </c>
      <c r="E138">
        <f t="shared" si="3"/>
        <v>1.7959183673469384E-5</v>
      </c>
    </row>
    <row r="139" spans="3:5" x14ac:dyDescent="0.2">
      <c r="C139">
        <v>48</v>
      </c>
      <c r="E139">
        <f t="shared" si="3"/>
        <v>3.9183673469387755E-5</v>
      </c>
    </row>
    <row r="140" spans="3:5" x14ac:dyDescent="0.2">
      <c r="C140">
        <v>49</v>
      </c>
      <c r="E140">
        <f t="shared" si="3"/>
        <v>4.0000000000000003E-5</v>
      </c>
    </row>
    <row r="141" spans="3:5" x14ac:dyDescent="0.2">
      <c r="C141">
        <v>89</v>
      </c>
      <c r="E141">
        <f t="shared" si="3"/>
        <v>7.265306122448979E-5</v>
      </c>
    </row>
    <row r="142" spans="3:5" x14ac:dyDescent="0.2">
      <c r="C142">
        <v>18</v>
      </c>
      <c r="E142">
        <f t="shared" si="3"/>
        <v>1.4693877551020406E-5</v>
      </c>
    </row>
    <row r="143" spans="3:5" x14ac:dyDescent="0.2">
      <c r="C143">
        <v>260</v>
      </c>
      <c r="E143">
        <f t="shared" si="3"/>
        <v>2.1224489795918368E-4</v>
      </c>
    </row>
    <row r="144" spans="3:5" x14ac:dyDescent="0.2">
      <c r="C144">
        <v>25</v>
      </c>
      <c r="E144">
        <f t="shared" si="3"/>
        <v>2.0408163265306119E-5</v>
      </c>
    </row>
    <row r="145" spans="3:5" x14ac:dyDescent="0.2">
      <c r="C145">
        <v>260</v>
      </c>
      <c r="E145">
        <f t="shared" si="3"/>
        <v>2.1224489795918368E-4</v>
      </c>
    </row>
    <row r="146" spans="3:5" x14ac:dyDescent="0.2">
      <c r="C146">
        <v>18</v>
      </c>
      <c r="E146">
        <f t="shared" si="3"/>
        <v>1.4693877551020406E-5</v>
      </c>
    </row>
    <row r="147" spans="3:5" x14ac:dyDescent="0.2">
      <c r="C147">
        <v>40</v>
      </c>
      <c r="E147">
        <f t="shared" si="3"/>
        <v>3.2653061224489793E-5</v>
      </c>
    </row>
    <row r="148" spans="3:5" x14ac:dyDescent="0.2">
      <c r="C148">
        <v>7</v>
      </c>
      <c r="E148">
        <f t="shared" si="3"/>
        <v>5.7142857142857145E-6</v>
      </c>
    </row>
    <row r="149" spans="3:5" x14ac:dyDescent="0.2">
      <c r="C149">
        <v>136</v>
      </c>
      <c r="E149">
        <f t="shared" si="3"/>
        <v>1.110204081632653E-4</v>
      </c>
    </row>
    <row r="150" spans="3:5" x14ac:dyDescent="0.2">
      <c r="C150">
        <v>36</v>
      </c>
      <c r="E150">
        <f t="shared" si="3"/>
        <v>2.9387755102040813E-5</v>
      </c>
    </row>
    <row r="151" spans="3:5" x14ac:dyDescent="0.2">
      <c r="C151">
        <v>62</v>
      </c>
      <c r="E151">
        <f t="shared" si="3"/>
        <v>5.061224489795918E-5</v>
      </c>
    </row>
    <row r="152" spans="3:5" x14ac:dyDescent="0.2">
      <c r="C152">
        <v>11</v>
      </c>
      <c r="E152">
        <f t="shared" si="3"/>
        <v>8.9795918367346918E-6</v>
      </c>
    </row>
    <row r="153" spans="3:5" x14ac:dyDescent="0.2">
      <c r="C153">
        <v>15</v>
      </c>
      <c r="E153">
        <f t="shared" si="3"/>
        <v>1.2244897959183673E-5</v>
      </c>
    </row>
    <row r="154" spans="3:5" x14ac:dyDescent="0.2">
      <c r="C154">
        <v>73</v>
      </c>
      <c r="E154">
        <f t="shared" si="3"/>
        <v>5.9591836734693867E-5</v>
      </c>
    </row>
    <row r="155" spans="3:5" x14ac:dyDescent="0.2">
      <c r="C155">
        <v>97</v>
      </c>
      <c r="E155">
        <f t="shared" si="3"/>
        <v>7.9183673469387751E-5</v>
      </c>
    </row>
    <row r="156" spans="3:5" x14ac:dyDescent="0.2">
      <c r="C156">
        <v>37</v>
      </c>
      <c r="E156">
        <f t="shared" si="3"/>
        <v>3.0204081632653058E-5</v>
      </c>
    </row>
    <row r="157" spans="3:5" x14ac:dyDescent="0.2">
      <c r="C157">
        <v>304</v>
      </c>
      <c r="E157">
        <f t="shared" si="3"/>
        <v>2.4816326530612242E-4</v>
      </c>
    </row>
    <row r="158" spans="3:5" x14ac:dyDescent="0.2">
      <c r="C158">
        <v>0</v>
      </c>
      <c r="E158">
        <f t="shared" si="3"/>
        <v>0</v>
      </c>
    </row>
    <row r="159" spans="3:5" x14ac:dyDescent="0.2">
      <c r="C159">
        <v>0</v>
      </c>
      <c r="E159">
        <f t="shared" si="3"/>
        <v>0</v>
      </c>
    </row>
    <row r="160" spans="3:5" x14ac:dyDescent="0.2">
      <c r="C160">
        <v>0</v>
      </c>
      <c r="E160">
        <f t="shared" si="3"/>
        <v>0</v>
      </c>
    </row>
    <row r="161" spans="3:5" x14ac:dyDescent="0.2">
      <c r="C161">
        <v>0</v>
      </c>
      <c r="E161">
        <f t="shared" si="3"/>
        <v>0</v>
      </c>
    </row>
    <row r="162" spans="3:5" x14ac:dyDescent="0.2">
      <c r="C162">
        <v>0</v>
      </c>
      <c r="E162">
        <f t="shared" si="3"/>
        <v>0</v>
      </c>
    </row>
    <row r="163" spans="3:5" x14ac:dyDescent="0.2">
      <c r="C163">
        <v>0</v>
      </c>
      <c r="E163">
        <f t="shared" si="3"/>
        <v>0</v>
      </c>
    </row>
    <row r="164" spans="3:5" x14ac:dyDescent="0.2">
      <c r="C164">
        <v>0</v>
      </c>
      <c r="E164">
        <f t="shared" si="3"/>
        <v>0</v>
      </c>
    </row>
    <row r="165" spans="3:5" x14ac:dyDescent="0.2">
      <c r="C165">
        <v>0</v>
      </c>
      <c r="E165">
        <f t="shared" si="3"/>
        <v>0</v>
      </c>
    </row>
    <row r="166" spans="3:5" x14ac:dyDescent="0.2">
      <c r="C166">
        <v>2200</v>
      </c>
      <c r="E166">
        <f t="shared" si="3"/>
        <v>1.7959183673469388E-3</v>
      </c>
    </row>
    <row r="167" spans="3:5" x14ac:dyDescent="0.2">
      <c r="C167">
        <v>3300</v>
      </c>
      <c r="E167">
        <f t="shared" si="3"/>
        <v>2.6938775510204076E-3</v>
      </c>
    </row>
    <row r="168" spans="3:5" x14ac:dyDescent="0.2">
      <c r="C168">
        <v>290</v>
      </c>
      <c r="E168">
        <f t="shared" si="3"/>
        <v>2.3673469387755101E-4</v>
      </c>
    </row>
    <row r="169" spans="3:5" x14ac:dyDescent="0.2">
      <c r="C169">
        <v>890</v>
      </c>
      <c r="E169">
        <f t="shared" si="3"/>
        <v>7.2653061224489787E-4</v>
      </c>
    </row>
    <row r="170" spans="3:5" x14ac:dyDescent="0.2">
      <c r="C170">
        <v>200</v>
      </c>
      <c r="E170">
        <f t="shared" si="3"/>
        <v>1.6326530612244895E-4</v>
      </c>
    </row>
    <row r="171" spans="3:5" x14ac:dyDescent="0.2">
      <c r="C171">
        <v>350</v>
      </c>
      <c r="E171">
        <f t="shared" si="3"/>
        <v>2.8571428571428568E-4</v>
      </c>
    </row>
    <row r="172" spans="3:5" x14ac:dyDescent="0.2">
      <c r="C172">
        <v>72</v>
      </c>
      <c r="E172">
        <f t="shared" si="3"/>
        <v>5.8775510204081625E-5</v>
      </c>
    </row>
    <row r="173" spans="3:5" x14ac:dyDescent="0.2">
      <c r="C173">
        <v>77</v>
      </c>
      <c r="E173">
        <f t="shared" si="3"/>
        <v>6.2857142857142848E-5</v>
      </c>
    </row>
    <row r="174" spans="3:5" x14ac:dyDescent="0.2">
      <c r="C174">
        <v>69</v>
      </c>
      <c r="E174">
        <f t="shared" si="3"/>
        <v>5.63265306122449E-5</v>
      </c>
    </row>
    <row r="175" spans="3:5" x14ac:dyDescent="0.2">
      <c r="C175">
        <v>110</v>
      </c>
      <c r="E175">
        <f t="shared" si="3"/>
        <v>8.9795918367346935E-5</v>
      </c>
    </row>
    <row r="176" spans="3:5" x14ac:dyDescent="0.2">
      <c r="C176">
        <v>78</v>
      </c>
      <c r="E176">
        <f t="shared" si="3"/>
        <v>6.3673469387755103E-5</v>
      </c>
    </row>
    <row r="177" spans="1:7" x14ac:dyDescent="0.2">
      <c r="C177">
        <v>120</v>
      </c>
      <c r="E177">
        <f t="shared" si="3"/>
        <v>9.795918367346938E-5</v>
      </c>
    </row>
    <row r="178" spans="1:7" x14ac:dyDescent="0.2">
      <c r="C178">
        <v>42</v>
      </c>
      <c r="E178">
        <f t="shared" si="3"/>
        <v>3.428571428571429E-5</v>
      </c>
    </row>
    <row r="179" spans="1:7" x14ac:dyDescent="0.2">
      <c r="C179">
        <v>53</v>
      </c>
      <c r="E179">
        <f t="shared" si="3"/>
        <v>4.3265306122448977E-5</v>
      </c>
    </row>
    <row r="180" spans="1:7" x14ac:dyDescent="0.2">
      <c r="C180">
        <v>89</v>
      </c>
      <c r="E180">
        <f t="shared" si="3"/>
        <v>7.265306122448979E-5</v>
      </c>
    </row>
    <row r="181" spans="1:7" x14ac:dyDescent="0.2">
      <c r="C181">
        <v>113</v>
      </c>
      <c r="E181">
        <f t="shared" si="3"/>
        <v>9.2244897959183674E-5</v>
      </c>
    </row>
    <row r="182" spans="1:7" x14ac:dyDescent="0.2">
      <c r="A182" t="s">
        <v>461</v>
      </c>
      <c r="B182">
        <v>2010</v>
      </c>
      <c r="C182">
        <v>0.04</v>
      </c>
      <c r="D182" t="s">
        <v>459</v>
      </c>
      <c r="E182">
        <f>C182/1.225/1000</f>
        <v>3.2653061224489793E-5</v>
      </c>
      <c r="G182" t="s">
        <v>463</v>
      </c>
    </row>
    <row r="183" spans="1:7" x14ac:dyDescent="0.2">
      <c r="C183">
        <v>3.5000000000000003E-2</v>
      </c>
      <c r="E183">
        <f t="shared" ref="E183:E246" si="4">C183/1.225/1000</f>
        <v>2.8571428571428571E-5</v>
      </c>
    </row>
    <row r="184" spans="1:7" x14ac:dyDescent="0.2">
      <c r="C184">
        <v>7.0000000000000001E-3</v>
      </c>
      <c r="E184">
        <f t="shared" si="4"/>
        <v>5.7142857142857145E-6</v>
      </c>
    </row>
    <row r="185" spans="1:7" x14ac:dyDescent="0.2">
      <c r="C185">
        <v>8.9999999999999993E-3</v>
      </c>
      <c r="E185">
        <f t="shared" si="4"/>
        <v>7.3469387755102032E-6</v>
      </c>
    </row>
    <row r="186" spans="1:7" x14ac:dyDescent="0.2">
      <c r="C186">
        <v>0.01</v>
      </c>
      <c r="E186">
        <f t="shared" si="4"/>
        <v>8.1632653061224483E-6</v>
      </c>
    </row>
    <row r="187" spans="1:7" x14ac:dyDescent="0.2">
      <c r="C187">
        <v>0.18</v>
      </c>
      <c r="E187">
        <f t="shared" si="4"/>
        <v>1.4693877551020406E-4</v>
      </c>
    </row>
    <row r="188" spans="1:7" x14ac:dyDescent="0.2">
      <c r="C188">
        <v>0.129</v>
      </c>
      <c r="E188">
        <f t="shared" si="4"/>
        <v>1.053061224489796E-4</v>
      </c>
    </row>
    <row r="189" spans="1:7" x14ac:dyDescent="0.2">
      <c r="C189">
        <v>3.6999999999999998E-2</v>
      </c>
      <c r="E189">
        <f t="shared" si="4"/>
        <v>3.0204081632653058E-5</v>
      </c>
    </row>
    <row r="190" spans="1:7" x14ac:dyDescent="0.2">
      <c r="C190">
        <v>6.5000000000000002E-2</v>
      </c>
      <c r="E190">
        <f t="shared" si="4"/>
        <v>5.3061224489795919E-5</v>
      </c>
    </row>
    <row r="191" spans="1:7" x14ac:dyDescent="0.2">
      <c r="C191">
        <v>0.309</v>
      </c>
      <c r="E191">
        <f t="shared" si="4"/>
        <v>2.5224489795918362E-4</v>
      </c>
    </row>
    <row r="192" spans="1:7" x14ac:dyDescent="0.2">
      <c r="C192">
        <v>0.46200000000000002</v>
      </c>
      <c r="E192">
        <f t="shared" si="4"/>
        <v>3.7714285714285709E-4</v>
      </c>
    </row>
    <row r="193" spans="3:5" x14ac:dyDescent="0.2">
      <c r="C193">
        <v>9.0999999999999998E-2</v>
      </c>
      <c r="E193">
        <f t="shared" si="4"/>
        <v>7.4285714285714273E-5</v>
      </c>
    </row>
    <row r="194" spans="3:5" x14ac:dyDescent="0.2">
      <c r="C194">
        <v>5.0000000000000001E-3</v>
      </c>
      <c r="E194">
        <f t="shared" si="4"/>
        <v>4.0816326530612242E-6</v>
      </c>
    </row>
    <row r="195" spans="3:5" x14ac:dyDescent="0.2">
      <c r="C195">
        <v>3.0000000000000001E-3</v>
      </c>
      <c r="E195">
        <f t="shared" si="4"/>
        <v>2.4489795918367347E-6</v>
      </c>
    </row>
    <row r="196" spans="3:5" x14ac:dyDescent="0.2">
      <c r="C196">
        <v>0.111</v>
      </c>
      <c r="E196">
        <f t="shared" si="4"/>
        <v>9.0612244897959177E-5</v>
      </c>
    </row>
    <row r="197" spans="3:5" x14ac:dyDescent="0.2">
      <c r="C197">
        <v>4.7E-2</v>
      </c>
      <c r="E197">
        <f t="shared" si="4"/>
        <v>3.8367346938775506E-5</v>
      </c>
    </row>
    <row r="198" spans="3:5" x14ac:dyDescent="0.2">
      <c r="C198">
        <v>23.8</v>
      </c>
      <c r="E198">
        <f t="shared" si="4"/>
        <v>1.9428571428571427E-2</v>
      </c>
    </row>
    <row r="199" spans="3:5" x14ac:dyDescent="0.2">
      <c r="C199">
        <v>16.3</v>
      </c>
      <c r="E199">
        <f t="shared" si="4"/>
        <v>1.3306122448979591E-2</v>
      </c>
    </row>
    <row r="200" spans="3:5" x14ac:dyDescent="0.2">
      <c r="C200">
        <v>8.9</v>
      </c>
      <c r="E200">
        <f t="shared" si="4"/>
        <v>7.2653061224489798E-3</v>
      </c>
    </row>
    <row r="201" spans="3:5" x14ac:dyDescent="0.2">
      <c r="C201">
        <v>8.3000000000000007</v>
      </c>
      <c r="E201">
        <f t="shared" si="4"/>
        <v>6.7755102040816329E-3</v>
      </c>
    </row>
    <row r="202" spans="3:5" x14ac:dyDescent="0.2">
      <c r="C202">
        <v>10.9</v>
      </c>
      <c r="E202">
        <f t="shared" si="4"/>
        <v>8.8979591836734692E-3</v>
      </c>
    </row>
    <row r="203" spans="3:5" x14ac:dyDescent="0.2">
      <c r="C203">
        <v>52</v>
      </c>
      <c r="E203">
        <f t="shared" si="4"/>
        <v>4.244897959183673E-2</v>
      </c>
    </row>
    <row r="204" spans="3:5" x14ac:dyDescent="0.2">
      <c r="C204">
        <v>66</v>
      </c>
      <c r="E204">
        <f t="shared" si="4"/>
        <v>5.3877551020408164E-2</v>
      </c>
    </row>
    <row r="205" spans="3:5" x14ac:dyDescent="0.2">
      <c r="C205">
        <v>14</v>
      </c>
      <c r="E205">
        <f t="shared" si="4"/>
        <v>1.1428571428571427E-2</v>
      </c>
    </row>
    <row r="206" spans="3:5" x14ac:dyDescent="0.2">
      <c r="C206">
        <v>33</v>
      </c>
      <c r="E206">
        <f t="shared" si="4"/>
        <v>2.6938775510204082E-2</v>
      </c>
    </row>
    <row r="207" spans="3:5" x14ac:dyDescent="0.2">
      <c r="C207">
        <v>78</v>
      </c>
      <c r="E207">
        <f t="shared" si="4"/>
        <v>6.3673469387755102E-2</v>
      </c>
    </row>
    <row r="208" spans="3:5" x14ac:dyDescent="0.2">
      <c r="C208">
        <v>121</v>
      </c>
      <c r="E208">
        <f t="shared" si="4"/>
        <v>9.8775510204081624E-2</v>
      </c>
    </row>
    <row r="209" spans="3:5" x14ac:dyDescent="0.2">
      <c r="C209">
        <v>20.399999999999999</v>
      </c>
      <c r="E209">
        <f t="shared" si="4"/>
        <v>1.6653061224489792E-2</v>
      </c>
    </row>
    <row r="210" spans="3:5" x14ac:dyDescent="0.2">
      <c r="C210">
        <v>22.7</v>
      </c>
      <c r="E210">
        <f t="shared" si="4"/>
        <v>1.8530612244897954E-2</v>
      </c>
    </row>
    <row r="211" spans="3:5" x14ac:dyDescent="0.2">
      <c r="C211">
        <v>28.6</v>
      </c>
      <c r="E211">
        <f t="shared" si="4"/>
        <v>2.3346938775510202E-2</v>
      </c>
    </row>
    <row r="212" spans="3:5" x14ac:dyDescent="0.2">
      <c r="C212">
        <v>12.4</v>
      </c>
      <c r="E212">
        <f t="shared" si="4"/>
        <v>1.0122448979591836E-2</v>
      </c>
    </row>
    <row r="213" spans="3:5" x14ac:dyDescent="0.2">
      <c r="C213">
        <v>13.3</v>
      </c>
      <c r="E213">
        <f t="shared" si="4"/>
        <v>1.0857142857142857E-2</v>
      </c>
    </row>
    <row r="214" spans="3:5" x14ac:dyDescent="0.2">
      <c r="C214">
        <v>1.9</v>
      </c>
      <c r="E214">
        <f t="shared" si="4"/>
        <v>1.5510204081632651E-3</v>
      </c>
    </row>
    <row r="215" spans="3:5" x14ac:dyDescent="0.2">
      <c r="C215">
        <v>0.89</v>
      </c>
      <c r="E215">
        <f t="shared" si="4"/>
        <v>7.2653061224489787E-4</v>
      </c>
    </row>
    <row r="216" spans="3:5" x14ac:dyDescent="0.2">
      <c r="C216">
        <v>0.16</v>
      </c>
      <c r="E216">
        <f t="shared" si="4"/>
        <v>1.3061224489795917E-4</v>
      </c>
    </row>
    <row r="217" spans="3:5" x14ac:dyDescent="0.2">
      <c r="C217">
        <v>0.11</v>
      </c>
      <c r="E217">
        <f t="shared" si="4"/>
        <v>8.9795918367346935E-5</v>
      </c>
    </row>
    <row r="218" spans="3:5" x14ac:dyDescent="0.2">
      <c r="C218">
        <v>0.22</v>
      </c>
      <c r="E218">
        <f t="shared" si="4"/>
        <v>1.7959183673469387E-4</v>
      </c>
    </row>
    <row r="219" spans="3:5" x14ac:dyDescent="0.2">
      <c r="C219">
        <v>51</v>
      </c>
      <c r="E219">
        <f t="shared" si="4"/>
        <v>4.1632653061224489E-2</v>
      </c>
    </row>
    <row r="220" spans="3:5" x14ac:dyDescent="0.2">
      <c r="C220">
        <v>52</v>
      </c>
      <c r="E220">
        <f t="shared" si="4"/>
        <v>4.244897959183673E-2</v>
      </c>
    </row>
    <row r="221" spans="3:5" x14ac:dyDescent="0.2">
      <c r="C221">
        <v>2.2999999999999998</v>
      </c>
      <c r="E221">
        <f t="shared" si="4"/>
        <v>1.8775510204081629E-3</v>
      </c>
    </row>
    <row r="222" spans="3:5" x14ac:dyDescent="0.2">
      <c r="C222">
        <v>1.35</v>
      </c>
      <c r="E222">
        <f t="shared" si="4"/>
        <v>1.1020408163265306E-3</v>
      </c>
    </row>
    <row r="223" spans="3:5" x14ac:dyDescent="0.2">
      <c r="C223">
        <v>36</v>
      </c>
      <c r="E223">
        <f t="shared" si="4"/>
        <v>2.9387755102040815E-2</v>
      </c>
    </row>
    <row r="224" spans="3:5" x14ac:dyDescent="0.2">
      <c r="C224">
        <v>27</v>
      </c>
      <c r="E224">
        <f t="shared" si="4"/>
        <v>2.2040816326530609E-2</v>
      </c>
    </row>
    <row r="225" spans="3:5" x14ac:dyDescent="0.2">
      <c r="C225">
        <v>0.37</v>
      </c>
      <c r="E225">
        <f t="shared" si="4"/>
        <v>3.0204081632653057E-4</v>
      </c>
    </row>
    <row r="226" spans="3:5" x14ac:dyDescent="0.2">
      <c r="C226">
        <v>0.34</v>
      </c>
      <c r="E226">
        <f t="shared" si="4"/>
        <v>2.7755102040816324E-4</v>
      </c>
    </row>
    <row r="227" spans="3:5" x14ac:dyDescent="0.2">
      <c r="C227">
        <v>0.59</v>
      </c>
      <c r="E227">
        <f t="shared" si="4"/>
        <v>4.8163265306122441E-4</v>
      </c>
    </row>
    <row r="228" spans="3:5" x14ac:dyDescent="0.2">
      <c r="C228">
        <v>0.3</v>
      </c>
      <c r="E228">
        <f t="shared" si="4"/>
        <v>2.4489795918367346E-4</v>
      </c>
    </row>
    <row r="229" spans="3:5" x14ac:dyDescent="0.2">
      <c r="C229">
        <v>0.74</v>
      </c>
      <c r="E229">
        <f t="shared" si="4"/>
        <v>6.0408163265306114E-4</v>
      </c>
    </row>
    <row r="230" spans="3:5" x14ac:dyDescent="0.2">
      <c r="C230">
        <v>0.104</v>
      </c>
      <c r="E230">
        <f t="shared" si="4"/>
        <v>8.4897959183673457E-5</v>
      </c>
    </row>
    <row r="231" spans="3:5" x14ac:dyDescent="0.2">
      <c r="C231">
        <v>8.3000000000000004E-2</v>
      </c>
      <c r="E231">
        <f t="shared" si="4"/>
        <v>6.7755102040816326E-5</v>
      </c>
    </row>
    <row r="232" spans="3:5" x14ac:dyDescent="0.2">
      <c r="C232">
        <v>4.8000000000000001E-2</v>
      </c>
      <c r="E232">
        <f t="shared" si="4"/>
        <v>3.9183673469387755E-5</v>
      </c>
    </row>
    <row r="233" spans="3:5" x14ac:dyDescent="0.2">
      <c r="C233">
        <v>4.7E-2</v>
      </c>
      <c r="E233">
        <f t="shared" si="4"/>
        <v>3.8367346938775506E-5</v>
      </c>
    </row>
    <row r="234" spans="3:5" x14ac:dyDescent="0.2">
      <c r="C234">
        <v>6.4000000000000001E-2</v>
      </c>
      <c r="E234">
        <f t="shared" si="4"/>
        <v>5.2244897959183671E-5</v>
      </c>
    </row>
    <row r="235" spans="3:5" x14ac:dyDescent="0.2">
      <c r="C235">
        <v>7.9000000000000001E-2</v>
      </c>
      <c r="E235">
        <f t="shared" si="4"/>
        <v>6.4489795918367345E-5</v>
      </c>
    </row>
    <row r="236" spans="3:5" x14ac:dyDescent="0.2">
      <c r="C236">
        <v>3.2000000000000001E-2</v>
      </c>
      <c r="E236">
        <f t="shared" si="4"/>
        <v>2.6122448979591835E-5</v>
      </c>
    </row>
    <row r="237" spans="3:5" x14ac:dyDescent="0.2">
      <c r="C237">
        <v>2.8000000000000001E-2</v>
      </c>
      <c r="E237">
        <f t="shared" si="4"/>
        <v>2.2857142857142858E-5</v>
      </c>
    </row>
    <row r="238" spans="3:5" x14ac:dyDescent="0.2">
      <c r="C238">
        <v>3.3000000000000002E-2</v>
      </c>
      <c r="E238">
        <f t="shared" si="4"/>
        <v>2.6938775510204081E-5</v>
      </c>
    </row>
    <row r="239" spans="3:5" x14ac:dyDescent="0.2">
      <c r="C239">
        <v>0.04</v>
      </c>
      <c r="E239">
        <f t="shared" si="4"/>
        <v>3.2653061224489793E-5</v>
      </c>
    </row>
    <row r="240" spans="3:5" x14ac:dyDescent="0.2">
      <c r="C240">
        <v>2.9000000000000001E-2</v>
      </c>
      <c r="E240">
        <f t="shared" si="4"/>
        <v>2.36734693877551E-5</v>
      </c>
    </row>
    <row r="241" spans="3:5" x14ac:dyDescent="0.2">
      <c r="C241">
        <v>2.7E-2</v>
      </c>
      <c r="E241">
        <f t="shared" si="4"/>
        <v>2.2040816326530609E-5</v>
      </c>
    </row>
    <row r="242" spans="3:5" x14ac:dyDescent="0.2">
      <c r="C242">
        <v>9.7000000000000003E-2</v>
      </c>
      <c r="E242">
        <f t="shared" si="4"/>
        <v>7.9183673469387751E-5</v>
      </c>
    </row>
    <row r="243" spans="3:5" x14ac:dyDescent="0.2">
      <c r="C243">
        <v>0.14199999999999999</v>
      </c>
      <c r="E243">
        <f t="shared" si="4"/>
        <v>1.1591836734693875E-4</v>
      </c>
    </row>
    <row r="244" spans="3:5" x14ac:dyDescent="0.2">
      <c r="C244">
        <v>4.2000000000000003E-2</v>
      </c>
      <c r="E244">
        <f t="shared" si="4"/>
        <v>3.428571428571429E-5</v>
      </c>
    </row>
    <row r="245" spans="3:5" x14ac:dyDescent="0.2">
      <c r="C245">
        <v>6.7000000000000004E-2</v>
      </c>
      <c r="E245">
        <f t="shared" si="4"/>
        <v>5.4693877551020403E-5</v>
      </c>
    </row>
    <row r="246" spans="3:5" x14ac:dyDescent="0.2">
      <c r="C246">
        <v>3.3000000000000002E-2</v>
      </c>
      <c r="E246">
        <f t="shared" si="4"/>
        <v>2.6938775510204081E-5</v>
      </c>
    </row>
    <row r="247" spans="3:5" x14ac:dyDescent="0.2">
      <c r="C247">
        <v>2.1999999999999999E-2</v>
      </c>
      <c r="E247">
        <f t="shared" ref="E247:E310" si="5">C247/1.225/1000</f>
        <v>1.7959183673469384E-5</v>
      </c>
    </row>
    <row r="248" spans="3:5" x14ac:dyDescent="0.2">
      <c r="C248">
        <v>27</v>
      </c>
      <c r="E248">
        <f t="shared" si="5"/>
        <v>2.2040816326530609E-2</v>
      </c>
    </row>
    <row r="249" spans="3:5" x14ac:dyDescent="0.2">
      <c r="C249">
        <v>29</v>
      </c>
      <c r="E249">
        <f t="shared" si="5"/>
        <v>2.3673469387755101E-2</v>
      </c>
    </row>
    <row r="250" spans="3:5" x14ac:dyDescent="0.2">
      <c r="C250">
        <v>28</v>
      </c>
      <c r="E250">
        <f t="shared" si="5"/>
        <v>2.2857142857142854E-2</v>
      </c>
    </row>
    <row r="251" spans="3:5" x14ac:dyDescent="0.2">
      <c r="C251">
        <v>26</v>
      </c>
      <c r="E251">
        <f t="shared" si="5"/>
        <v>2.1224489795918365E-2</v>
      </c>
    </row>
    <row r="252" spans="3:5" x14ac:dyDescent="0.2">
      <c r="C252">
        <v>18.399999999999999</v>
      </c>
      <c r="E252">
        <f t="shared" si="5"/>
        <v>1.5020408163265303E-2</v>
      </c>
    </row>
    <row r="253" spans="3:5" x14ac:dyDescent="0.2">
      <c r="C253">
        <v>18</v>
      </c>
      <c r="E253">
        <f t="shared" si="5"/>
        <v>1.4693877551020407E-2</v>
      </c>
    </row>
    <row r="254" spans="3:5" x14ac:dyDescent="0.2">
      <c r="C254">
        <v>15.6</v>
      </c>
      <c r="E254">
        <f t="shared" si="5"/>
        <v>1.2734693877551018E-2</v>
      </c>
    </row>
    <row r="255" spans="3:5" x14ac:dyDescent="0.2">
      <c r="C255">
        <v>13.5</v>
      </c>
      <c r="E255">
        <f t="shared" si="5"/>
        <v>1.1020408163265305E-2</v>
      </c>
    </row>
    <row r="256" spans="3:5" x14ac:dyDescent="0.2">
      <c r="C256">
        <v>9.6999999999999993</v>
      </c>
      <c r="E256">
        <f t="shared" si="5"/>
        <v>7.9183673469387754E-3</v>
      </c>
    </row>
    <row r="257" spans="3:5" x14ac:dyDescent="0.2">
      <c r="C257">
        <v>6.6</v>
      </c>
      <c r="E257">
        <f t="shared" si="5"/>
        <v>5.3877551020408152E-3</v>
      </c>
    </row>
    <row r="258" spans="3:5" x14ac:dyDescent="0.2">
      <c r="C258">
        <v>5.5</v>
      </c>
      <c r="E258">
        <f t="shared" si="5"/>
        <v>4.489795918367347E-3</v>
      </c>
    </row>
    <row r="259" spans="3:5" x14ac:dyDescent="0.2">
      <c r="C259">
        <v>7</v>
      </c>
      <c r="E259">
        <f t="shared" si="5"/>
        <v>5.7142857142857134E-3</v>
      </c>
    </row>
    <row r="260" spans="3:5" x14ac:dyDescent="0.2">
      <c r="C260">
        <v>11.8</v>
      </c>
      <c r="E260">
        <f t="shared" si="5"/>
        <v>9.6326530612244905E-3</v>
      </c>
    </row>
    <row r="261" spans="3:5" x14ac:dyDescent="0.2">
      <c r="C261">
        <v>14.4</v>
      </c>
      <c r="E261">
        <f t="shared" si="5"/>
        <v>1.1755102040816326E-2</v>
      </c>
    </row>
    <row r="262" spans="3:5" x14ac:dyDescent="0.2">
      <c r="C262">
        <v>3.3</v>
      </c>
      <c r="E262">
        <f t="shared" si="5"/>
        <v>2.6938775510204076E-3</v>
      </c>
    </row>
    <row r="263" spans="3:5" x14ac:dyDescent="0.2">
      <c r="C263">
        <v>3.9</v>
      </c>
      <c r="E263">
        <f t="shared" si="5"/>
        <v>3.1836734693877545E-3</v>
      </c>
    </row>
    <row r="264" spans="3:5" x14ac:dyDescent="0.2">
      <c r="C264">
        <v>3.3</v>
      </c>
      <c r="E264">
        <f t="shared" si="5"/>
        <v>2.6938775510204076E-3</v>
      </c>
    </row>
    <row r="265" spans="3:5" x14ac:dyDescent="0.2">
      <c r="C265">
        <v>3</v>
      </c>
      <c r="E265">
        <f t="shared" si="5"/>
        <v>2.4489795918367341E-3</v>
      </c>
    </row>
    <row r="266" spans="3:5" x14ac:dyDescent="0.2">
      <c r="C266">
        <v>5</v>
      </c>
      <c r="E266">
        <f t="shared" si="5"/>
        <v>4.0816326530612249E-3</v>
      </c>
    </row>
    <row r="267" spans="3:5" x14ac:dyDescent="0.2">
      <c r="C267">
        <v>6.4</v>
      </c>
      <c r="E267">
        <f t="shared" si="5"/>
        <v>5.2244897959183665E-3</v>
      </c>
    </row>
    <row r="268" spans="3:5" x14ac:dyDescent="0.2">
      <c r="C268">
        <v>2.4</v>
      </c>
      <c r="E268">
        <f t="shared" si="5"/>
        <v>1.9591836734693877E-3</v>
      </c>
    </row>
    <row r="269" spans="3:5" x14ac:dyDescent="0.2">
      <c r="C269">
        <v>7.5</v>
      </c>
      <c r="E269">
        <f t="shared" si="5"/>
        <v>6.1224489795918364E-3</v>
      </c>
    </row>
    <row r="270" spans="3:5" x14ac:dyDescent="0.2">
      <c r="C270">
        <v>1.65</v>
      </c>
      <c r="E270">
        <f t="shared" si="5"/>
        <v>1.3469387755102038E-3</v>
      </c>
    </row>
    <row r="271" spans="3:5" x14ac:dyDescent="0.2">
      <c r="C271">
        <v>2.57</v>
      </c>
      <c r="E271">
        <f t="shared" si="5"/>
        <v>2.0979591836734692E-3</v>
      </c>
    </row>
    <row r="272" spans="3:5" x14ac:dyDescent="0.2">
      <c r="C272">
        <v>0</v>
      </c>
      <c r="E272">
        <f t="shared" si="5"/>
        <v>0</v>
      </c>
    </row>
    <row r="273" spans="3:5" x14ac:dyDescent="0.2">
      <c r="C273">
        <v>0</v>
      </c>
      <c r="E273">
        <f t="shared" si="5"/>
        <v>0</v>
      </c>
    </row>
    <row r="274" spans="3:5" x14ac:dyDescent="0.2">
      <c r="C274">
        <v>3.2</v>
      </c>
      <c r="E274">
        <f t="shared" si="5"/>
        <v>2.6122448979591832E-3</v>
      </c>
    </row>
    <row r="275" spans="3:5" x14ac:dyDescent="0.2">
      <c r="C275">
        <v>3.3</v>
      </c>
      <c r="E275">
        <f t="shared" si="5"/>
        <v>2.6938775510204076E-3</v>
      </c>
    </row>
    <row r="276" spans="3:5" x14ac:dyDescent="0.2">
      <c r="C276">
        <v>1</v>
      </c>
      <c r="E276">
        <f t="shared" si="5"/>
        <v>8.1632653061224482E-4</v>
      </c>
    </row>
    <row r="277" spans="3:5" x14ac:dyDescent="0.2">
      <c r="C277">
        <v>1</v>
      </c>
      <c r="E277">
        <f t="shared" si="5"/>
        <v>8.1632653061224482E-4</v>
      </c>
    </row>
    <row r="278" spans="3:5" x14ac:dyDescent="0.2">
      <c r="C278">
        <v>2.86</v>
      </c>
      <c r="E278">
        <f t="shared" si="5"/>
        <v>2.3346938775510198E-3</v>
      </c>
    </row>
    <row r="279" spans="3:5" x14ac:dyDescent="0.2">
      <c r="C279">
        <v>1.63</v>
      </c>
      <c r="E279">
        <f t="shared" si="5"/>
        <v>1.330612244897959E-3</v>
      </c>
    </row>
    <row r="280" spans="3:5" x14ac:dyDescent="0.2">
      <c r="C280">
        <v>0.5</v>
      </c>
      <c r="E280">
        <f t="shared" si="5"/>
        <v>4.0816326530612241E-4</v>
      </c>
    </row>
    <row r="281" spans="3:5" x14ac:dyDescent="0.2">
      <c r="C281">
        <v>0.47</v>
      </c>
      <c r="E281">
        <f t="shared" si="5"/>
        <v>3.8367346938775502E-4</v>
      </c>
    </row>
    <row r="282" spans="3:5" x14ac:dyDescent="0.2">
      <c r="C282">
        <v>1.58</v>
      </c>
      <c r="E282">
        <f t="shared" si="5"/>
        <v>1.2897959183673468E-3</v>
      </c>
    </row>
    <row r="283" spans="3:5" x14ac:dyDescent="0.2">
      <c r="C283">
        <v>0.96</v>
      </c>
      <c r="E283">
        <f t="shared" si="5"/>
        <v>7.8367346938775504E-4</v>
      </c>
    </row>
    <row r="284" spans="3:5" x14ac:dyDescent="0.2">
      <c r="C284">
        <v>3.5999999999999997E-2</v>
      </c>
      <c r="E284">
        <f t="shared" si="5"/>
        <v>2.9387755102040813E-5</v>
      </c>
    </row>
    <row r="285" spans="3:5" x14ac:dyDescent="0.2">
      <c r="C285">
        <v>1.9E-2</v>
      </c>
      <c r="E285">
        <f t="shared" si="5"/>
        <v>1.5510204081632651E-5</v>
      </c>
    </row>
    <row r="286" spans="3:5" x14ac:dyDescent="0.2">
      <c r="C286">
        <v>1.0999999999999999E-2</v>
      </c>
      <c r="E286">
        <f t="shared" si="5"/>
        <v>8.9795918367346918E-6</v>
      </c>
    </row>
    <row r="287" spans="3:5" x14ac:dyDescent="0.2">
      <c r="C287">
        <v>2.5999999999999999E-2</v>
      </c>
      <c r="E287">
        <f t="shared" si="5"/>
        <v>2.1224489795918364E-5</v>
      </c>
    </row>
    <row r="288" spans="3:5" x14ac:dyDescent="0.2">
      <c r="C288">
        <v>4.0000000000000001E-3</v>
      </c>
      <c r="E288">
        <f t="shared" si="5"/>
        <v>3.2653061224489794E-6</v>
      </c>
    </row>
    <row r="289" spans="3:5" x14ac:dyDescent="0.2">
      <c r="C289">
        <v>2E-3</v>
      </c>
      <c r="E289">
        <f t="shared" si="5"/>
        <v>1.6326530612244897E-6</v>
      </c>
    </row>
    <row r="290" spans="3:5" x14ac:dyDescent="0.2">
      <c r="C290">
        <v>0</v>
      </c>
      <c r="E290">
        <f t="shared" si="5"/>
        <v>0</v>
      </c>
    </row>
    <row r="291" spans="3:5" x14ac:dyDescent="0.2">
      <c r="C291">
        <v>2E-3</v>
      </c>
      <c r="E291">
        <f t="shared" si="5"/>
        <v>1.6326530612244897E-6</v>
      </c>
    </row>
    <row r="292" spans="3:5" x14ac:dyDescent="0.2">
      <c r="C292">
        <v>3.7999999999999999E-2</v>
      </c>
      <c r="E292">
        <f t="shared" si="5"/>
        <v>3.1020408163265303E-5</v>
      </c>
    </row>
    <row r="293" spans="3:5" x14ac:dyDescent="0.2">
      <c r="C293">
        <v>8.9999999999999993E-3</v>
      </c>
      <c r="E293">
        <f t="shared" si="5"/>
        <v>7.3469387755102032E-6</v>
      </c>
    </row>
    <row r="294" spans="3:5" x14ac:dyDescent="0.2">
      <c r="C294">
        <v>1.4999999999999999E-2</v>
      </c>
      <c r="E294">
        <f t="shared" si="5"/>
        <v>1.2244897959183673E-5</v>
      </c>
    </row>
    <row r="295" spans="3:5" x14ac:dyDescent="0.2">
      <c r="C295">
        <v>2E-3</v>
      </c>
      <c r="E295">
        <f t="shared" si="5"/>
        <v>1.6326530612244897E-6</v>
      </c>
    </row>
    <row r="296" spans="3:5" x14ac:dyDescent="0.2">
      <c r="C296">
        <v>0</v>
      </c>
      <c r="E296">
        <f t="shared" si="5"/>
        <v>0</v>
      </c>
    </row>
    <row r="297" spans="3:5" x14ac:dyDescent="0.2">
      <c r="C297">
        <v>0</v>
      </c>
      <c r="E297">
        <f t="shared" si="5"/>
        <v>0</v>
      </c>
    </row>
    <row r="298" spans="3:5" x14ac:dyDescent="0.2">
      <c r="C298">
        <v>0</v>
      </c>
      <c r="E298">
        <f t="shared" si="5"/>
        <v>0</v>
      </c>
    </row>
    <row r="299" spans="3:5" x14ac:dyDescent="0.2">
      <c r="C299">
        <v>7.0000000000000001E-3</v>
      </c>
      <c r="E299">
        <f t="shared" si="5"/>
        <v>5.7142857142857145E-6</v>
      </c>
    </row>
    <row r="300" spans="3:5" x14ac:dyDescent="0.2">
      <c r="C300">
        <v>3.0000000000000001E-3</v>
      </c>
      <c r="E300">
        <f t="shared" si="5"/>
        <v>2.4489795918367347E-6</v>
      </c>
    </row>
    <row r="301" spans="3:5" x14ac:dyDescent="0.2">
      <c r="C301">
        <v>0</v>
      </c>
      <c r="E301">
        <f t="shared" si="5"/>
        <v>0</v>
      </c>
    </row>
    <row r="302" spans="3:5" x14ac:dyDescent="0.2">
      <c r="C302">
        <v>2E-3</v>
      </c>
      <c r="E302">
        <f t="shared" si="5"/>
        <v>1.6326530612244897E-6</v>
      </c>
    </row>
    <row r="303" spans="3:5" x14ac:dyDescent="0.2">
      <c r="C303">
        <v>15</v>
      </c>
      <c r="E303">
        <f t="shared" si="5"/>
        <v>1.2244897959183673E-2</v>
      </c>
    </row>
    <row r="304" spans="3:5" x14ac:dyDescent="0.2">
      <c r="C304">
        <v>7.5</v>
      </c>
      <c r="E304">
        <f t="shared" si="5"/>
        <v>6.1224489795918364E-3</v>
      </c>
    </row>
    <row r="305" spans="3:5" x14ac:dyDescent="0.2">
      <c r="C305">
        <v>6.16</v>
      </c>
      <c r="E305">
        <f t="shared" si="5"/>
        <v>5.0285714285714283E-3</v>
      </c>
    </row>
    <row r="306" spans="3:5" x14ac:dyDescent="0.2">
      <c r="C306">
        <v>6.64</v>
      </c>
      <c r="E306">
        <f t="shared" si="5"/>
        <v>5.4204081632653056E-3</v>
      </c>
    </row>
    <row r="307" spans="3:5" x14ac:dyDescent="0.2">
      <c r="C307">
        <v>1.6</v>
      </c>
      <c r="E307">
        <f t="shared" si="5"/>
        <v>1.3061224489795916E-3</v>
      </c>
    </row>
    <row r="308" spans="3:5" x14ac:dyDescent="0.2">
      <c r="C308">
        <v>2.6</v>
      </c>
      <c r="E308">
        <f t="shared" si="5"/>
        <v>2.1224489795918368E-3</v>
      </c>
    </row>
    <row r="309" spans="3:5" x14ac:dyDescent="0.2">
      <c r="C309">
        <v>1.47</v>
      </c>
      <c r="E309">
        <f t="shared" si="5"/>
        <v>1.1999999999999999E-3</v>
      </c>
    </row>
    <row r="310" spans="3:5" x14ac:dyDescent="0.2">
      <c r="C310">
        <v>1.43</v>
      </c>
      <c r="E310">
        <f t="shared" si="5"/>
        <v>1.1673469387755099E-3</v>
      </c>
    </row>
    <row r="311" spans="3:5" x14ac:dyDescent="0.2">
      <c r="C311">
        <v>15</v>
      </c>
      <c r="E311">
        <f t="shared" ref="E311:E374" si="6">C311/1.225/1000</f>
        <v>1.2244897959183673E-2</v>
      </c>
    </row>
    <row r="312" spans="3:5" x14ac:dyDescent="0.2">
      <c r="C312">
        <v>4.5</v>
      </c>
      <c r="E312">
        <f t="shared" si="6"/>
        <v>3.6734693877551019E-3</v>
      </c>
    </row>
    <row r="313" spans="3:5" x14ac:dyDescent="0.2">
      <c r="C313">
        <v>5.2</v>
      </c>
      <c r="E313">
        <f t="shared" si="6"/>
        <v>4.2448979591836735E-3</v>
      </c>
    </row>
    <row r="314" spans="3:5" x14ac:dyDescent="0.2">
      <c r="C314">
        <v>1.34</v>
      </c>
      <c r="E314">
        <f t="shared" si="6"/>
        <v>1.0938775510204082E-3</v>
      </c>
    </row>
    <row r="315" spans="3:5" x14ac:dyDescent="0.2">
      <c r="C315">
        <v>0.96</v>
      </c>
      <c r="E315">
        <f t="shared" si="6"/>
        <v>7.8367346938775504E-4</v>
      </c>
    </row>
    <row r="316" spans="3:5" x14ac:dyDescent="0.2">
      <c r="C316">
        <v>0.62</v>
      </c>
      <c r="E316">
        <f t="shared" si="6"/>
        <v>5.061224489795918E-4</v>
      </c>
    </row>
    <row r="317" spans="3:5" x14ac:dyDescent="0.2">
      <c r="C317">
        <v>0.67</v>
      </c>
      <c r="E317">
        <f t="shared" si="6"/>
        <v>5.4693877551020408E-4</v>
      </c>
    </row>
    <row r="318" spans="3:5" x14ac:dyDescent="0.2">
      <c r="C318">
        <v>30</v>
      </c>
      <c r="E318">
        <f t="shared" si="6"/>
        <v>2.4489795918367346E-2</v>
      </c>
    </row>
    <row r="319" spans="3:5" x14ac:dyDescent="0.2">
      <c r="C319">
        <v>14.5</v>
      </c>
      <c r="E319">
        <f t="shared" si="6"/>
        <v>1.1836734693877551E-2</v>
      </c>
    </row>
    <row r="320" spans="3:5" x14ac:dyDescent="0.2">
      <c r="C320">
        <v>5.8</v>
      </c>
      <c r="E320">
        <f t="shared" si="6"/>
        <v>4.7346938775510205E-3</v>
      </c>
    </row>
    <row r="321" spans="3:5" x14ac:dyDescent="0.2">
      <c r="C321">
        <v>4.5</v>
      </c>
      <c r="E321">
        <f t="shared" si="6"/>
        <v>3.6734693877551019E-3</v>
      </c>
    </row>
    <row r="322" spans="3:5" x14ac:dyDescent="0.2">
      <c r="C322">
        <v>9.5</v>
      </c>
      <c r="E322">
        <f t="shared" si="6"/>
        <v>7.7551020408163258E-3</v>
      </c>
    </row>
    <row r="323" spans="3:5" x14ac:dyDescent="0.2">
      <c r="C323">
        <v>6.9</v>
      </c>
      <c r="E323">
        <f t="shared" si="6"/>
        <v>5.6326530612244895E-3</v>
      </c>
    </row>
    <row r="324" spans="3:5" x14ac:dyDescent="0.2">
      <c r="C324">
        <v>0.72</v>
      </c>
      <c r="E324">
        <f t="shared" si="6"/>
        <v>5.8775510204081625E-4</v>
      </c>
    </row>
    <row r="325" spans="3:5" x14ac:dyDescent="0.2">
      <c r="C325">
        <v>0.44</v>
      </c>
      <c r="E325">
        <f t="shared" si="6"/>
        <v>3.5918367346938774E-4</v>
      </c>
    </row>
    <row r="326" spans="3:5" x14ac:dyDescent="0.2">
      <c r="C326">
        <v>0.96</v>
      </c>
      <c r="E326">
        <f t="shared" si="6"/>
        <v>7.8367346938775504E-4</v>
      </c>
    </row>
    <row r="327" spans="3:5" x14ac:dyDescent="0.2">
      <c r="C327">
        <v>0.7</v>
      </c>
      <c r="E327">
        <f t="shared" si="6"/>
        <v>5.7142857142857136E-4</v>
      </c>
    </row>
    <row r="328" spans="3:5" x14ac:dyDescent="0.2">
      <c r="C328">
        <v>0.13</v>
      </c>
      <c r="E328">
        <f t="shared" si="6"/>
        <v>1.0612244897959184E-4</v>
      </c>
    </row>
    <row r="329" spans="3:5" x14ac:dyDescent="0.2">
      <c r="C329">
        <v>0.12</v>
      </c>
      <c r="E329">
        <f t="shared" si="6"/>
        <v>9.795918367346938E-5</v>
      </c>
    </row>
    <row r="330" spans="3:5" x14ac:dyDescent="0.2">
      <c r="C330">
        <v>1.55</v>
      </c>
      <c r="E330">
        <f t="shared" si="6"/>
        <v>1.2653061224489795E-3</v>
      </c>
    </row>
    <row r="331" spans="3:5" x14ac:dyDescent="0.2">
      <c r="C331">
        <v>0.04</v>
      </c>
      <c r="E331">
        <f t="shared" si="6"/>
        <v>3.2653061224489793E-5</v>
      </c>
    </row>
    <row r="332" spans="3:5" x14ac:dyDescent="0.2">
      <c r="C332">
        <v>7.0000000000000007E-2</v>
      </c>
      <c r="E332">
        <f t="shared" si="6"/>
        <v>5.7142857142857142E-5</v>
      </c>
    </row>
    <row r="333" spans="3:5" x14ac:dyDescent="0.2">
      <c r="C333">
        <v>0.08</v>
      </c>
      <c r="E333">
        <f t="shared" si="6"/>
        <v>6.5306122448979587E-5</v>
      </c>
    </row>
    <row r="334" spans="3:5" x14ac:dyDescent="0.2">
      <c r="C334">
        <v>0.12</v>
      </c>
      <c r="E334">
        <f t="shared" si="6"/>
        <v>9.795918367346938E-5</v>
      </c>
    </row>
    <row r="335" spans="3:5" x14ac:dyDescent="0.2">
      <c r="C335">
        <v>0.4</v>
      </c>
      <c r="E335">
        <f t="shared" si="6"/>
        <v>3.2653061224489791E-4</v>
      </c>
    </row>
    <row r="336" spans="3:5" x14ac:dyDescent="0.2">
      <c r="C336">
        <v>0.23</v>
      </c>
      <c r="E336">
        <f t="shared" si="6"/>
        <v>1.8775510204081634E-4</v>
      </c>
    </row>
    <row r="337" spans="3:5" x14ac:dyDescent="0.2">
      <c r="C337">
        <v>0.38</v>
      </c>
      <c r="E337">
        <f t="shared" si="6"/>
        <v>3.1020408163265307E-4</v>
      </c>
    </row>
    <row r="338" spans="3:5" x14ac:dyDescent="0.2">
      <c r="C338">
        <v>0.15</v>
      </c>
      <c r="E338">
        <f t="shared" si="6"/>
        <v>1.2244897959183673E-4</v>
      </c>
    </row>
    <row r="339" spans="3:5" x14ac:dyDescent="0.2">
      <c r="C339">
        <v>0.3</v>
      </c>
      <c r="E339">
        <f t="shared" si="6"/>
        <v>2.4489795918367346E-4</v>
      </c>
    </row>
    <row r="340" spans="3:5" x14ac:dyDescent="0.2">
      <c r="C340">
        <v>0.4</v>
      </c>
      <c r="E340">
        <f t="shared" si="6"/>
        <v>3.2653061224489791E-4</v>
      </c>
    </row>
    <row r="341" spans="3:5" x14ac:dyDescent="0.2">
      <c r="C341">
        <v>4.5999999999999999E-2</v>
      </c>
      <c r="E341">
        <f t="shared" si="6"/>
        <v>3.7551020408163264E-5</v>
      </c>
    </row>
    <row r="342" spans="3:5" x14ac:dyDescent="0.2">
      <c r="C342">
        <v>2.1000000000000001E-2</v>
      </c>
      <c r="E342">
        <f t="shared" si="6"/>
        <v>1.7142857142857145E-5</v>
      </c>
    </row>
    <row r="343" spans="3:5" x14ac:dyDescent="0.2">
      <c r="C343">
        <v>3.1E-2</v>
      </c>
      <c r="E343">
        <f t="shared" si="6"/>
        <v>2.530612244897959E-5</v>
      </c>
    </row>
    <row r="344" spans="3:5" x14ac:dyDescent="0.2">
      <c r="C344">
        <v>2.1000000000000001E-2</v>
      </c>
      <c r="E344">
        <f t="shared" si="6"/>
        <v>1.7142857142857145E-5</v>
      </c>
    </row>
    <row r="345" spans="3:5" x14ac:dyDescent="0.2">
      <c r="C345">
        <v>2.1000000000000001E-2</v>
      </c>
      <c r="E345">
        <f t="shared" si="6"/>
        <v>1.7142857142857145E-5</v>
      </c>
    </row>
    <row r="346" spans="3:5" x14ac:dyDescent="0.2">
      <c r="C346">
        <v>8.9999999999999993E-3</v>
      </c>
      <c r="E346">
        <f t="shared" si="6"/>
        <v>7.3469387755102032E-6</v>
      </c>
    </row>
    <row r="347" spans="3:5" x14ac:dyDescent="0.2">
      <c r="C347">
        <v>8.9999999999999993E-3</v>
      </c>
      <c r="E347">
        <f t="shared" si="6"/>
        <v>7.3469387755102032E-6</v>
      </c>
    </row>
    <row r="348" spans="3:5" x14ac:dyDescent="0.2">
      <c r="C348">
        <v>6.0000000000000001E-3</v>
      </c>
      <c r="E348">
        <f t="shared" si="6"/>
        <v>4.8979591836734693E-6</v>
      </c>
    </row>
    <row r="349" spans="3:5" x14ac:dyDescent="0.2">
      <c r="C349">
        <v>3.0000000000000001E-3</v>
      </c>
      <c r="E349">
        <f t="shared" si="6"/>
        <v>2.4489795918367347E-6</v>
      </c>
    </row>
    <row r="350" spans="3:5" x14ac:dyDescent="0.2">
      <c r="C350">
        <v>2E-3</v>
      </c>
      <c r="E350">
        <f t="shared" si="6"/>
        <v>1.6326530612244897E-6</v>
      </c>
    </row>
    <row r="351" spans="3:5" x14ac:dyDescent="0.2">
      <c r="C351">
        <v>0</v>
      </c>
      <c r="E351">
        <f t="shared" si="6"/>
        <v>0</v>
      </c>
    </row>
    <row r="352" spans="3:5" x14ac:dyDescent="0.2">
      <c r="C352">
        <v>3.0000000000000001E-3</v>
      </c>
      <c r="E352">
        <f t="shared" si="6"/>
        <v>2.4489795918367347E-6</v>
      </c>
    </row>
    <row r="353" spans="3:5" x14ac:dyDescent="0.2">
      <c r="C353">
        <v>0</v>
      </c>
      <c r="E353">
        <f t="shared" si="6"/>
        <v>0</v>
      </c>
    </row>
    <row r="354" spans="3:5" x14ac:dyDescent="0.2">
      <c r="C354">
        <v>0</v>
      </c>
      <c r="E354">
        <f t="shared" si="6"/>
        <v>0</v>
      </c>
    </row>
    <row r="355" spans="3:5" x14ac:dyDescent="0.2">
      <c r="C355">
        <v>2E-3</v>
      </c>
      <c r="E355">
        <f t="shared" si="6"/>
        <v>1.6326530612244897E-6</v>
      </c>
    </row>
    <row r="356" spans="3:5" x14ac:dyDescent="0.2">
      <c r="C356">
        <v>1.2E-2</v>
      </c>
      <c r="E356">
        <f t="shared" si="6"/>
        <v>9.7959183673469387E-6</v>
      </c>
    </row>
    <row r="357" spans="3:5" x14ac:dyDescent="0.2">
      <c r="C357">
        <v>8.9999999999999993E-3</v>
      </c>
      <c r="E357">
        <f t="shared" si="6"/>
        <v>7.3469387755102032E-6</v>
      </c>
    </row>
    <row r="358" spans="3:5" x14ac:dyDescent="0.2">
      <c r="C358">
        <v>2.1000000000000001E-2</v>
      </c>
      <c r="E358">
        <f t="shared" si="6"/>
        <v>1.7142857142857145E-5</v>
      </c>
    </row>
    <row r="359" spans="3:5" x14ac:dyDescent="0.2">
      <c r="C359">
        <v>3.4000000000000002E-2</v>
      </c>
      <c r="E359">
        <f t="shared" si="6"/>
        <v>2.7755102040816326E-5</v>
      </c>
    </row>
    <row r="360" spans="3:5" x14ac:dyDescent="0.2">
      <c r="C360">
        <v>17.5</v>
      </c>
      <c r="E360">
        <f t="shared" si="6"/>
        <v>1.4285714285714285E-2</v>
      </c>
    </row>
    <row r="361" spans="3:5" x14ac:dyDescent="0.2">
      <c r="C361">
        <v>12.5</v>
      </c>
      <c r="E361">
        <f t="shared" si="6"/>
        <v>1.020408163265306E-2</v>
      </c>
    </row>
    <row r="362" spans="3:5" x14ac:dyDescent="0.2">
      <c r="C362">
        <v>20.9</v>
      </c>
      <c r="E362">
        <f t="shared" si="6"/>
        <v>1.7061224489795915E-2</v>
      </c>
    </row>
    <row r="363" spans="3:5" x14ac:dyDescent="0.2">
      <c r="C363">
        <v>15.9</v>
      </c>
      <c r="E363">
        <f t="shared" si="6"/>
        <v>1.2979591836734692E-2</v>
      </c>
    </row>
    <row r="364" spans="3:5" x14ac:dyDescent="0.2">
      <c r="C364">
        <v>22.9</v>
      </c>
      <c r="E364">
        <f t="shared" si="6"/>
        <v>1.8693877551020407E-2</v>
      </c>
    </row>
    <row r="365" spans="3:5" x14ac:dyDescent="0.2">
      <c r="C365">
        <v>9.3000000000000007</v>
      </c>
      <c r="E365">
        <f t="shared" si="6"/>
        <v>7.591836734693878E-3</v>
      </c>
    </row>
    <row r="366" spans="3:5" x14ac:dyDescent="0.2">
      <c r="C366">
        <v>14.1</v>
      </c>
      <c r="E366">
        <f t="shared" si="6"/>
        <v>1.1510204081632653E-2</v>
      </c>
    </row>
    <row r="367" spans="3:5" x14ac:dyDescent="0.2">
      <c r="C367">
        <v>9.1</v>
      </c>
      <c r="E367">
        <f t="shared" si="6"/>
        <v>7.4285714285714276E-3</v>
      </c>
    </row>
    <row r="368" spans="3:5" x14ac:dyDescent="0.2">
      <c r="C368">
        <v>3.6</v>
      </c>
      <c r="E368">
        <f t="shared" si="6"/>
        <v>2.9387755102040815E-3</v>
      </c>
    </row>
    <row r="369" spans="3:5" x14ac:dyDescent="0.2">
      <c r="C369">
        <v>2.56</v>
      </c>
      <c r="E369">
        <f t="shared" si="6"/>
        <v>2.0897959183673468E-3</v>
      </c>
    </row>
    <row r="370" spans="3:5" x14ac:dyDescent="0.2">
      <c r="C370">
        <v>2.37</v>
      </c>
      <c r="E370">
        <f t="shared" si="6"/>
        <v>1.9346938775510203E-3</v>
      </c>
    </row>
    <row r="371" spans="3:5" x14ac:dyDescent="0.2">
      <c r="C371">
        <v>2.5</v>
      </c>
      <c r="E371">
        <f t="shared" si="6"/>
        <v>2.0408163265306124E-3</v>
      </c>
    </row>
    <row r="372" spans="3:5" x14ac:dyDescent="0.2">
      <c r="C372">
        <v>1</v>
      </c>
      <c r="E372">
        <f t="shared" si="6"/>
        <v>8.1632653061224482E-4</v>
      </c>
    </row>
    <row r="373" spans="3:5" x14ac:dyDescent="0.2">
      <c r="C373">
        <v>0.48</v>
      </c>
      <c r="E373">
        <f t="shared" si="6"/>
        <v>3.9183673469387752E-4</v>
      </c>
    </row>
    <row r="374" spans="3:5" x14ac:dyDescent="0.2">
      <c r="C374">
        <v>0.43</v>
      </c>
      <c r="E374">
        <f t="shared" si="6"/>
        <v>3.510204081632653E-4</v>
      </c>
    </row>
    <row r="375" spans="3:5" x14ac:dyDescent="0.2">
      <c r="C375">
        <v>4.5</v>
      </c>
      <c r="E375">
        <f t="shared" ref="E375:E438" si="7">C375/1.225/1000</f>
        <v>3.6734693877551019E-3</v>
      </c>
    </row>
    <row r="376" spans="3:5" x14ac:dyDescent="0.2">
      <c r="C376">
        <v>9.6999999999999993</v>
      </c>
      <c r="E376">
        <f t="shared" si="7"/>
        <v>7.9183673469387754E-3</v>
      </c>
    </row>
    <row r="377" spans="3:5" x14ac:dyDescent="0.2">
      <c r="C377">
        <v>24</v>
      </c>
      <c r="E377">
        <f t="shared" si="7"/>
        <v>1.9591836734693873E-2</v>
      </c>
    </row>
    <row r="378" spans="3:5" x14ac:dyDescent="0.2">
      <c r="C378">
        <v>19.100000000000001</v>
      </c>
      <c r="E378">
        <f t="shared" si="7"/>
        <v>1.5591836734693878E-2</v>
      </c>
    </row>
    <row r="379" spans="3:5" x14ac:dyDescent="0.2">
      <c r="C379">
        <v>2.38</v>
      </c>
      <c r="E379">
        <f t="shared" si="7"/>
        <v>1.9428571428571427E-3</v>
      </c>
    </row>
    <row r="380" spans="3:5" x14ac:dyDescent="0.2">
      <c r="C380">
        <v>0.33</v>
      </c>
      <c r="E380">
        <f t="shared" si="7"/>
        <v>2.6938775510204085E-4</v>
      </c>
    </row>
    <row r="381" spans="3:5" x14ac:dyDescent="0.2">
      <c r="C381">
        <v>3.95</v>
      </c>
      <c r="E381">
        <f t="shared" si="7"/>
        <v>3.2244897959183673E-3</v>
      </c>
    </row>
    <row r="382" spans="3:5" x14ac:dyDescent="0.2">
      <c r="C382">
        <v>2.5</v>
      </c>
      <c r="E382">
        <f t="shared" si="7"/>
        <v>2.0408163265306124E-3</v>
      </c>
    </row>
    <row r="383" spans="3:5" x14ac:dyDescent="0.2">
      <c r="C383">
        <v>10</v>
      </c>
      <c r="E383">
        <f t="shared" si="7"/>
        <v>8.1632653061224497E-3</v>
      </c>
    </row>
    <row r="384" spans="3:5" x14ac:dyDescent="0.2">
      <c r="C384">
        <v>3.32</v>
      </c>
      <c r="E384">
        <f t="shared" si="7"/>
        <v>2.7102040816326528E-3</v>
      </c>
    </row>
    <row r="385" spans="3:5" x14ac:dyDescent="0.2">
      <c r="C385">
        <v>0.28000000000000003</v>
      </c>
      <c r="E385">
        <f t="shared" si="7"/>
        <v>2.2857142857142857E-4</v>
      </c>
    </row>
    <row r="386" spans="3:5" x14ac:dyDescent="0.2">
      <c r="C386">
        <v>7.87</v>
      </c>
      <c r="E386">
        <f t="shared" si="7"/>
        <v>6.424489795918367E-3</v>
      </c>
    </row>
    <row r="387" spans="3:5" x14ac:dyDescent="0.2">
      <c r="C387">
        <v>1.28</v>
      </c>
      <c r="E387">
        <f t="shared" si="7"/>
        <v>1.0448979591836734E-3</v>
      </c>
    </row>
    <row r="388" spans="3:5" x14ac:dyDescent="0.2">
      <c r="C388">
        <v>0.15</v>
      </c>
      <c r="E388">
        <f t="shared" si="7"/>
        <v>1.2244897959183673E-4</v>
      </c>
    </row>
    <row r="389" spans="3:5" x14ac:dyDescent="0.2">
      <c r="C389">
        <v>0.18</v>
      </c>
      <c r="E389">
        <f t="shared" si="7"/>
        <v>1.4693877551020406E-4</v>
      </c>
    </row>
    <row r="390" spans="3:5" x14ac:dyDescent="0.2">
      <c r="C390">
        <v>0.23</v>
      </c>
      <c r="E390">
        <f t="shared" si="7"/>
        <v>1.8775510204081634E-4</v>
      </c>
    </row>
    <row r="391" spans="3:5" x14ac:dyDescent="0.2">
      <c r="C391">
        <v>7.0000000000000007E-2</v>
      </c>
      <c r="E391">
        <f t="shared" si="7"/>
        <v>5.7142857142857142E-5</v>
      </c>
    </row>
    <row r="392" spans="3:5" x14ac:dyDescent="0.2">
      <c r="C392">
        <v>0.16</v>
      </c>
      <c r="E392">
        <f t="shared" si="7"/>
        <v>1.3061224489795917E-4</v>
      </c>
    </row>
    <row r="393" spans="3:5" x14ac:dyDescent="0.2">
      <c r="C393">
        <v>0.28999999999999998</v>
      </c>
      <c r="E393">
        <f t="shared" si="7"/>
        <v>2.3673469387755101E-4</v>
      </c>
    </row>
    <row r="394" spans="3:5" x14ac:dyDescent="0.2">
      <c r="C394">
        <v>7.0000000000000007E-2</v>
      </c>
      <c r="E394">
        <f t="shared" si="7"/>
        <v>5.7142857142857142E-5</v>
      </c>
    </row>
    <row r="395" spans="3:5" x14ac:dyDescent="0.2">
      <c r="C395">
        <v>0.08</v>
      </c>
      <c r="E395">
        <f t="shared" si="7"/>
        <v>6.5306122448979587E-5</v>
      </c>
    </row>
    <row r="396" spans="3:5" x14ac:dyDescent="0.2">
      <c r="C396">
        <v>0.05</v>
      </c>
      <c r="E396">
        <f t="shared" si="7"/>
        <v>4.0816326530612238E-5</v>
      </c>
    </row>
    <row r="397" spans="3:5" x14ac:dyDescent="0.2">
      <c r="C397">
        <v>0.25</v>
      </c>
      <c r="E397">
        <f t="shared" si="7"/>
        <v>2.040816326530612E-4</v>
      </c>
    </row>
    <row r="398" spans="3:5" x14ac:dyDescent="0.2">
      <c r="C398">
        <v>1.4E-2</v>
      </c>
      <c r="E398">
        <f t="shared" si="7"/>
        <v>1.1428571428571429E-5</v>
      </c>
    </row>
    <row r="399" spans="3:5" x14ac:dyDescent="0.2">
      <c r="C399">
        <v>0.04</v>
      </c>
      <c r="E399">
        <f t="shared" si="7"/>
        <v>3.2653061224489793E-5</v>
      </c>
    </row>
    <row r="400" spans="3:5" x14ac:dyDescent="0.2">
      <c r="C400">
        <v>1.4999999999999999E-2</v>
      </c>
      <c r="E400">
        <f t="shared" si="7"/>
        <v>1.2244897959183673E-5</v>
      </c>
    </row>
    <row r="401" spans="3:5" x14ac:dyDescent="0.2">
      <c r="C401">
        <v>2.4E-2</v>
      </c>
      <c r="E401">
        <f t="shared" si="7"/>
        <v>1.9591836734693877E-5</v>
      </c>
    </row>
    <row r="402" spans="3:5" x14ac:dyDescent="0.2">
      <c r="C402">
        <v>4.0000000000000001E-3</v>
      </c>
      <c r="E402">
        <f t="shared" si="7"/>
        <v>3.2653061224489794E-6</v>
      </c>
    </row>
    <row r="403" spans="3:5" x14ac:dyDescent="0.2">
      <c r="C403">
        <v>2.3E-2</v>
      </c>
      <c r="E403">
        <f t="shared" si="7"/>
        <v>1.8775510204081632E-5</v>
      </c>
    </row>
    <row r="404" spans="3:5" x14ac:dyDescent="0.2">
      <c r="C404">
        <v>0</v>
      </c>
      <c r="E404">
        <f t="shared" si="7"/>
        <v>0</v>
      </c>
    </row>
    <row r="405" spans="3:5" x14ac:dyDescent="0.2">
      <c r="C405">
        <v>0</v>
      </c>
      <c r="E405">
        <f t="shared" si="7"/>
        <v>0</v>
      </c>
    </row>
    <row r="406" spans="3:5" x14ac:dyDescent="0.2">
      <c r="C406">
        <v>0</v>
      </c>
      <c r="E406">
        <f t="shared" si="7"/>
        <v>0</v>
      </c>
    </row>
    <row r="407" spans="3:5" x14ac:dyDescent="0.2">
      <c r="C407">
        <v>0</v>
      </c>
      <c r="E407">
        <f t="shared" si="7"/>
        <v>0</v>
      </c>
    </row>
    <row r="408" spans="3:5" x14ac:dyDescent="0.2">
      <c r="C408">
        <v>1.0999999999999999E-2</v>
      </c>
      <c r="E408">
        <f t="shared" si="7"/>
        <v>8.9795918367346918E-6</v>
      </c>
    </row>
    <row r="409" spans="3:5" x14ac:dyDescent="0.2">
      <c r="C409">
        <v>2.1000000000000001E-2</v>
      </c>
      <c r="E409">
        <f t="shared" si="7"/>
        <v>1.7142857142857145E-5</v>
      </c>
    </row>
    <row r="410" spans="3:5" x14ac:dyDescent="0.2">
      <c r="C410">
        <v>9.1</v>
      </c>
      <c r="E410">
        <f t="shared" si="7"/>
        <v>7.4285714285714276E-3</v>
      </c>
    </row>
    <row r="411" spans="3:5" x14ac:dyDescent="0.2">
      <c r="C411">
        <v>5.5</v>
      </c>
      <c r="E411">
        <f t="shared" si="7"/>
        <v>4.489795918367347E-3</v>
      </c>
    </row>
    <row r="412" spans="3:5" x14ac:dyDescent="0.2">
      <c r="C412">
        <v>10.3</v>
      </c>
      <c r="E412">
        <f t="shared" si="7"/>
        <v>8.4081632653061223E-3</v>
      </c>
    </row>
    <row r="413" spans="3:5" x14ac:dyDescent="0.2">
      <c r="C413">
        <v>17.899999999999999</v>
      </c>
      <c r="E413">
        <f t="shared" si="7"/>
        <v>1.4612244897959181E-2</v>
      </c>
    </row>
    <row r="414" spans="3:5" x14ac:dyDescent="0.2">
      <c r="C414">
        <v>18.899999999999999</v>
      </c>
      <c r="E414">
        <f t="shared" si="7"/>
        <v>1.5428571428571427E-2</v>
      </c>
    </row>
    <row r="415" spans="3:5" x14ac:dyDescent="0.2">
      <c r="C415">
        <v>17.3</v>
      </c>
      <c r="E415">
        <f t="shared" si="7"/>
        <v>1.4122448979591836E-2</v>
      </c>
    </row>
    <row r="416" spans="3:5" x14ac:dyDescent="0.2">
      <c r="C416">
        <v>1.4</v>
      </c>
      <c r="E416">
        <f t="shared" si="7"/>
        <v>1.1428571428571427E-3</v>
      </c>
    </row>
    <row r="417" spans="3:5" x14ac:dyDescent="0.2">
      <c r="C417">
        <v>1.1000000000000001</v>
      </c>
      <c r="E417">
        <f t="shared" si="7"/>
        <v>8.9795918367346938E-4</v>
      </c>
    </row>
    <row r="418" spans="3:5" x14ac:dyDescent="0.2">
      <c r="C418">
        <v>0.4</v>
      </c>
      <c r="E418">
        <f t="shared" si="7"/>
        <v>3.2653061224489791E-4</v>
      </c>
    </row>
    <row r="419" spans="3:5" x14ac:dyDescent="0.2">
      <c r="C419">
        <v>0.8</v>
      </c>
      <c r="E419">
        <f t="shared" si="7"/>
        <v>6.5306122448979581E-4</v>
      </c>
    </row>
    <row r="420" spans="3:5" x14ac:dyDescent="0.2">
      <c r="C420">
        <v>7.1</v>
      </c>
      <c r="E420">
        <f t="shared" si="7"/>
        <v>5.7959183673469382E-3</v>
      </c>
    </row>
    <row r="421" spans="3:5" x14ac:dyDescent="0.2">
      <c r="C421">
        <v>14.9</v>
      </c>
      <c r="E421">
        <f t="shared" si="7"/>
        <v>1.216326530612245E-2</v>
      </c>
    </row>
    <row r="422" spans="3:5" x14ac:dyDescent="0.2">
      <c r="C422">
        <v>0.2</v>
      </c>
      <c r="E422">
        <f t="shared" si="7"/>
        <v>1.6326530612244895E-4</v>
      </c>
    </row>
    <row r="423" spans="3:5" x14ac:dyDescent="0.2">
      <c r="C423">
        <v>0.23</v>
      </c>
      <c r="E423">
        <f t="shared" si="7"/>
        <v>1.8775510204081634E-4</v>
      </c>
    </row>
    <row r="424" spans="3:5" x14ac:dyDescent="0.2">
      <c r="C424">
        <v>1.28</v>
      </c>
      <c r="E424">
        <f t="shared" si="7"/>
        <v>1.0448979591836734E-3</v>
      </c>
    </row>
    <row r="425" spans="3:5" x14ac:dyDescent="0.2">
      <c r="C425">
        <v>3.88</v>
      </c>
      <c r="E425">
        <f t="shared" si="7"/>
        <v>3.1673469387755102E-3</v>
      </c>
    </row>
    <row r="426" spans="3:5" x14ac:dyDescent="0.2">
      <c r="C426">
        <v>0.37</v>
      </c>
      <c r="E426">
        <f t="shared" si="7"/>
        <v>3.0204081632653057E-4</v>
      </c>
    </row>
    <row r="427" spans="3:5" x14ac:dyDescent="0.2">
      <c r="C427">
        <v>2.0299999999999998</v>
      </c>
      <c r="E427">
        <f t="shared" si="7"/>
        <v>1.6571428571428568E-3</v>
      </c>
    </row>
    <row r="428" spans="3:5" x14ac:dyDescent="0.2">
      <c r="C428">
        <v>0.1</v>
      </c>
      <c r="E428">
        <f t="shared" si="7"/>
        <v>8.1632653061224477E-5</v>
      </c>
    </row>
    <row r="429" spans="3:5" x14ac:dyDescent="0.2">
      <c r="C429">
        <v>0.12</v>
      </c>
      <c r="E429">
        <f t="shared" si="7"/>
        <v>9.795918367346938E-5</v>
      </c>
    </row>
    <row r="430" spans="3:5" x14ac:dyDescent="0.2">
      <c r="C430">
        <v>0.05</v>
      </c>
      <c r="E430">
        <f t="shared" si="7"/>
        <v>4.0816326530612238E-5</v>
      </c>
    </row>
    <row r="431" spans="3:5" x14ac:dyDescent="0.2">
      <c r="C431">
        <v>0.06</v>
      </c>
      <c r="E431">
        <f t="shared" si="7"/>
        <v>4.897959183673469E-5</v>
      </c>
    </row>
    <row r="432" spans="3:5" x14ac:dyDescent="0.2">
      <c r="C432">
        <v>0.34</v>
      </c>
      <c r="E432">
        <f t="shared" si="7"/>
        <v>2.7755102040816324E-4</v>
      </c>
    </row>
    <row r="433" spans="3:5" x14ac:dyDescent="0.2">
      <c r="C433">
        <v>0.9</v>
      </c>
      <c r="E433">
        <f t="shared" si="7"/>
        <v>7.3469387755102037E-4</v>
      </c>
    </row>
    <row r="434" spans="3:5" x14ac:dyDescent="0.2">
      <c r="C434">
        <v>3.3000000000000002E-2</v>
      </c>
      <c r="E434">
        <f t="shared" si="7"/>
        <v>2.6938775510204081E-5</v>
      </c>
    </row>
    <row r="435" spans="3:5" x14ac:dyDescent="0.2">
      <c r="C435">
        <v>2.4E-2</v>
      </c>
      <c r="E435">
        <f t="shared" si="7"/>
        <v>1.9591836734693877E-5</v>
      </c>
    </row>
    <row r="436" spans="3:5" x14ac:dyDescent="0.2">
      <c r="C436">
        <v>1.9E-2</v>
      </c>
      <c r="E436">
        <f t="shared" si="7"/>
        <v>1.5510204081632651E-5</v>
      </c>
    </row>
    <row r="437" spans="3:5" x14ac:dyDescent="0.2">
      <c r="C437">
        <v>0.01</v>
      </c>
      <c r="E437">
        <f t="shared" si="7"/>
        <v>8.1632653061224483E-6</v>
      </c>
    </row>
    <row r="438" spans="3:5" x14ac:dyDescent="0.2">
      <c r="C438">
        <v>0.02</v>
      </c>
      <c r="E438">
        <f t="shared" si="7"/>
        <v>1.6326530612244897E-5</v>
      </c>
    </row>
    <row r="439" spans="3:5" x14ac:dyDescent="0.2">
      <c r="C439">
        <v>8.9999999999999993E-3</v>
      </c>
      <c r="E439">
        <f t="shared" ref="E439:E502" si="8">C439/1.225/1000</f>
        <v>7.3469387755102032E-6</v>
      </c>
    </row>
    <row r="440" spans="3:5" x14ac:dyDescent="0.2">
      <c r="C440">
        <v>7.0000000000000001E-3</v>
      </c>
      <c r="E440">
        <f t="shared" si="8"/>
        <v>5.7142857142857145E-6</v>
      </c>
    </row>
    <row r="441" spans="3:5" x14ac:dyDescent="0.2">
      <c r="C441">
        <v>16.5</v>
      </c>
      <c r="E441">
        <f t="shared" si="8"/>
        <v>1.3469387755102041E-2</v>
      </c>
    </row>
    <row r="442" spans="3:5" x14ac:dyDescent="0.2">
      <c r="C442">
        <v>14.8</v>
      </c>
      <c r="E442">
        <f t="shared" si="8"/>
        <v>1.2081632653061223E-2</v>
      </c>
    </row>
    <row r="443" spans="3:5" x14ac:dyDescent="0.2">
      <c r="C443">
        <v>13</v>
      </c>
      <c r="E443">
        <f t="shared" si="8"/>
        <v>1.0612244897959183E-2</v>
      </c>
    </row>
    <row r="444" spans="3:5" x14ac:dyDescent="0.2">
      <c r="C444">
        <v>9.8000000000000007</v>
      </c>
      <c r="E444">
        <f t="shared" si="8"/>
        <v>8.0000000000000002E-3</v>
      </c>
    </row>
    <row r="445" spans="3:5" x14ac:dyDescent="0.2">
      <c r="C445">
        <v>10.6</v>
      </c>
      <c r="E445">
        <f t="shared" si="8"/>
        <v>8.6530612244897949E-3</v>
      </c>
    </row>
    <row r="446" spans="3:5" x14ac:dyDescent="0.2">
      <c r="C446">
        <v>9.3000000000000007</v>
      </c>
      <c r="E446">
        <f t="shared" si="8"/>
        <v>7.591836734693878E-3</v>
      </c>
    </row>
    <row r="447" spans="3:5" x14ac:dyDescent="0.2">
      <c r="C447">
        <v>4.4000000000000004</v>
      </c>
      <c r="E447">
        <f t="shared" si="8"/>
        <v>3.5918367346938775E-3</v>
      </c>
    </row>
    <row r="448" spans="3:5" x14ac:dyDescent="0.2">
      <c r="C448">
        <v>40</v>
      </c>
      <c r="E448">
        <f t="shared" si="8"/>
        <v>3.2653061224489799E-2</v>
      </c>
    </row>
    <row r="449" spans="3:5" x14ac:dyDescent="0.2">
      <c r="C449">
        <v>5.2</v>
      </c>
      <c r="E449">
        <f t="shared" si="8"/>
        <v>4.2448979591836735E-3</v>
      </c>
    </row>
    <row r="450" spans="3:5" x14ac:dyDescent="0.2">
      <c r="C450">
        <v>7.5</v>
      </c>
      <c r="E450">
        <f t="shared" si="8"/>
        <v>6.1224489795918364E-3</v>
      </c>
    </row>
    <row r="451" spans="3:5" x14ac:dyDescent="0.2">
      <c r="C451">
        <v>2.8</v>
      </c>
      <c r="E451">
        <f t="shared" si="8"/>
        <v>2.2857142857142855E-3</v>
      </c>
    </row>
    <row r="452" spans="3:5" x14ac:dyDescent="0.2">
      <c r="C452">
        <v>0.18</v>
      </c>
      <c r="E452">
        <f t="shared" si="8"/>
        <v>1.4693877551020406E-4</v>
      </c>
    </row>
    <row r="453" spans="3:5" x14ac:dyDescent="0.2">
      <c r="C453">
        <v>0.12</v>
      </c>
      <c r="E453">
        <f t="shared" si="8"/>
        <v>9.795918367346938E-5</v>
      </c>
    </row>
    <row r="454" spans="3:5" x14ac:dyDescent="0.2">
      <c r="C454">
        <v>0.16</v>
      </c>
      <c r="E454">
        <f t="shared" si="8"/>
        <v>1.3061224489795917E-4</v>
      </c>
    </row>
    <row r="455" spans="3:5" x14ac:dyDescent="0.2">
      <c r="C455">
        <v>0.13800000000000001</v>
      </c>
      <c r="E455">
        <f t="shared" si="8"/>
        <v>1.126530612244898E-4</v>
      </c>
    </row>
    <row r="456" spans="3:5" x14ac:dyDescent="0.2">
      <c r="C456">
        <v>0.14000000000000001</v>
      </c>
      <c r="E456">
        <f t="shared" si="8"/>
        <v>1.1428571428571428E-4</v>
      </c>
    </row>
    <row r="457" spans="3:5" x14ac:dyDescent="0.2">
      <c r="C457">
        <v>9.0999999999999998E-2</v>
      </c>
      <c r="E457">
        <f t="shared" si="8"/>
        <v>7.4285714285714273E-5</v>
      </c>
    </row>
    <row r="458" spans="3:5" x14ac:dyDescent="0.2">
      <c r="C458">
        <v>6.7000000000000004E-2</v>
      </c>
      <c r="E458">
        <f t="shared" si="8"/>
        <v>5.4693877551020403E-5</v>
      </c>
    </row>
    <row r="459" spans="3:5" x14ac:dyDescent="0.2">
      <c r="C459">
        <v>9.2999999999999999E-2</v>
      </c>
      <c r="E459">
        <f t="shared" si="8"/>
        <v>7.5918367346938771E-5</v>
      </c>
    </row>
    <row r="460" spans="3:5" x14ac:dyDescent="0.2">
      <c r="C460">
        <v>7.0000000000000007E-2</v>
      </c>
      <c r="E460">
        <f t="shared" si="8"/>
        <v>5.7142857142857142E-5</v>
      </c>
    </row>
    <row r="461" spans="3:5" x14ac:dyDescent="0.2">
      <c r="C461">
        <v>4.5999999999999999E-2</v>
      </c>
      <c r="E461">
        <f t="shared" si="8"/>
        <v>3.7551020408163264E-5</v>
      </c>
    </row>
    <row r="462" spans="3:5" x14ac:dyDescent="0.2">
      <c r="C462">
        <v>5.2999999999999999E-2</v>
      </c>
      <c r="E462">
        <f t="shared" si="8"/>
        <v>4.3265306122448977E-5</v>
      </c>
    </row>
    <row r="463" spans="3:5" x14ac:dyDescent="0.2">
      <c r="C463">
        <v>7.0000000000000007E-2</v>
      </c>
      <c r="E463">
        <f t="shared" si="8"/>
        <v>5.7142857142857142E-5</v>
      </c>
    </row>
    <row r="464" spans="3:5" x14ac:dyDescent="0.2">
      <c r="C464">
        <v>6.4000000000000001E-2</v>
      </c>
      <c r="E464">
        <f t="shared" si="8"/>
        <v>5.2244897959183671E-5</v>
      </c>
    </row>
    <row r="465" spans="3:5" x14ac:dyDescent="0.2">
      <c r="C465">
        <v>6.3E-2</v>
      </c>
      <c r="E465">
        <f t="shared" si="8"/>
        <v>5.1428571428571429E-5</v>
      </c>
    </row>
    <row r="466" spans="3:5" x14ac:dyDescent="0.2">
      <c r="C466">
        <v>4.2999999999999997E-2</v>
      </c>
      <c r="E466">
        <f t="shared" si="8"/>
        <v>3.5102040816326525E-5</v>
      </c>
    </row>
    <row r="467" spans="3:5" x14ac:dyDescent="0.2">
      <c r="C467">
        <v>3.4000000000000002E-2</v>
      </c>
      <c r="E467">
        <f t="shared" si="8"/>
        <v>2.7755102040816326E-5</v>
      </c>
    </row>
    <row r="468" spans="3:5" x14ac:dyDescent="0.2">
      <c r="C468">
        <v>0.03</v>
      </c>
      <c r="E468">
        <f t="shared" si="8"/>
        <v>2.4489795918367345E-5</v>
      </c>
    </row>
    <row r="469" spans="3:5" x14ac:dyDescent="0.2">
      <c r="C469">
        <v>2.7E-2</v>
      </c>
      <c r="E469">
        <f t="shared" si="8"/>
        <v>2.2040816326530609E-5</v>
      </c>
    </row>
    <row r="470" spans="3:5" x14ac:dyDescent="0.2">
      <c r="C470">
        <v>3.6999999999999998E-2</v>
      </c>
      <c r="E470">
        <f t="shared" si="8"/>
        <v>3.0204081632653058E-5</v>
      </c>
    </row>
    <row r="471" spans="3:5" x14ac:dyDescent="0.2">
      <c r="C471">
        <v>25</v>
      </c>
      <c r="E471">
        <f t="shared" si="8"/>
        <v>2.0408163265306121E-2</v>
      </c>
    </row>
    <row r="472" spans="3:5" x14ac:dyDescent="0.2">
      <c r="C472">
        <v>36</v>
      </c>
      <c r="E472">
        <f t="shared" si="8"/>
        <v>2.9387755102040815E-2</v>
      </c>
    </row>
    <row r="473" spans="3:5" x14ac:dyDescent="0.2">
      <c r="C473">
        <v>15</v>
      </c>
      <c r="E473">
        <f t="shared" si="8"/>
        <v>1.2244897959183673E-2</v>
      </c>
    </row>
    <row r="474" spans="3:5" x14ac:dyDescent="0.2">
      <c r="C474">
        <v>13</v>
      </c>
      <c r="E474">
        <f t="shared" si="8"/>
        <v>1.0612244897959183E-2</v>
      </c>
    </row>
    <row r="475" spans="3:5" x14ac:dyDescent="0.2">
      <c r="C475">
        <v>23.4</v>
      </c>
      <c r="E475">
        <f t="shared" si="8"/>
        <v>1.9102040816326528E-2</v>
      </c>
    </row>
    <row r="476" spans="3:5" x14ac:dyDescent="0.2">
      <c r="C476">
        <v>32</v>
      </c>
      <c r="E476">
        <f t="shared" si="8"/>
        <v>2.6122448979591834E-2</v>
      </c>
    </row>
    <row r="477" spans="3:5" x14ac:dyDescent="0.2">
      <c r="C477">
        <v>13.4</v>
      </c>
      <c r="E477">
        <f t="shared" si="8"/>
        <v>1.0938775510204082E-2</v>
      </c>
    </row>
    <row r="478" spans="3:5" x14ac:dyDescent="0.2">
      <c r="C478">
        <v>10.4</v>
      </c>
      <c r="E478">
        <f t="shared" si="8"/>
        <v>8.4897959183673471E-3</v>
      </c>
    </row>
    <row r="479" spans="3:5" x14ac:dyDescent="0.2">
      <c r="C479">
        <v>32</v>
      </c>
      <c r="E479">
        <f t="shared" si="8"/>
        <v>2.6122448979591834E-2</v>
      </c>
    </row>
    <row r="480" spans="3:5" x14ac:dyDescent="0.2">
      <c r="C480">
        <v>28</v>
      </c>
      <c r="E480">
        <f t="shared" si="8"/>
        <v>2.2857142857142854E-2</v>
      </c>
    </row>
    <row r="481" spans="3:5" x14ac:dyDescent="0.2">
      <c r="C481">
        <v>21.3</v>
      </c>
      <c r="E481">
        <f t="shared" si="8"/>
        <v>1.7387755102040818E-2</v>
      </c>
    </row>
    <row r="482" spans="3:5" x14ac:dyDescent="0.2">
      <c r="C482">
        <v>9.1999999999999993</v>
      </c>
      <c r="E482">
        <f t="shared" si="8"/>
        <v>7.5102040816326515E-3</v>
      </c>
    </row>
    <row r="483" spans="3:5" x14ac:dyDescent="0.2">
      <c r="C483">
        <v>8.09</v>
      </c>
      <c r="E483">
        <f t="shared" si="8"/>
        <v>6.6040816326530605E-3</v>
      </c>
    </row>
    <row r="484" spans="3:5" x14ac:dyDescent="0.2">
      <c r="C484">
        <v>7.23</v>
      </c>
      <c r="E484">
        <f t="shared" si="8"/>
        <v>5.9020408163265306E-3</v>
      </c>
    </row>
    <row r="485" spans="3:5" x14ac:dyDescent="0.2">
      <c r="C485">
        <v>19.5</v>
      </c>
      <c r="E485">
        <f t="shared" si="8"/>
        <v>1.5918367346938776E-2</v>
      </c>
    </row>
    <row r="486" spans="3:5" x14ac:dyDescent="0.2">
      <c r="C486">
        <v>34</v>
      </c>
      <c r="E486">
        <f t="shared" si="8"/>
        <v>2.7755102040816326E-2</v>
      </c>
    </row>
    <row r="487" spans="3:5" x14ac:dyDescent="0.2">
      <c r="C487">
        <v>2.2999999999999998</v>
      </c>
      <c r="E487">
        <f t="shared" si="8"/>
        <v>1.8775510204081629E-3</v>
      </c>
    </row>
    <row r="488" spans="3:5" x14ac:dyDescent="0.2">
      <c r="C488">
        <v>3.4</v>
      </c>
      <c r="E488">
        <f t="shared" si="8"/>
        <v>2.7755102040816324E-3</v>
      </c>
    </row>
    <row r="489" spans="3:5" x14ac:dyDescent="0.2">
      <c r="C489">
        <v>0.39</v>
      </c>
      <c r="E489">
        <f t="shared" si="8"/>
        <v>3.1836734693877552E-4</v>
      </c>
    </row>
    <row r="490" spans="3:5" x14ac:dyDescent="0.2">
      <c r="C490">
        <v>0.23</v>
      </c>
      <c r="E490">
        <f t="shared" si="8"/>
        <v>1.8775510204081634E-4</v>
      </c>
    </row>
    <row r="491" spans="3:5" x14ac:dyDescent="0.2">
      <c r="C491">
        <v>0.48</v>
      </c>
      <c r="E491">
        <f t="shared" si="8"/>
        <v>3.9183673469387752E-4</v>
      </c>
    </row>
    <row r="492" spans="3:5" x14ac:dyDescent="0.2">
      <c r="C492">
        <v>0.39</v>
      </c>
      <c r="E492">
        <f t="shared" si="8"/>
        <v>3.1836734693877552E-4</v>
      </c>
    </row>
    <row r="493" spans="3:5" x14ac:dyDescent="0.2">
      <c r="C493">
        <v>0.17</v>
      </c>
      <c r="E493">
        <f t="shared" si="8"/>
        <v>1.3877551020408162E-4</v>
      </c>
    </row>
    <row r="494" spans="3:5" x14ac:dyDescent="0.2">
      <c r="C494">
        <v>0.18</v>
      </c>
      <c r="E494">
        <f t="shared" si="8"/>
        <v>1.4693877551020406E-4</v>
      </c>
    </row>
    <row r="495" spans="3:5" x14ac:dyDescent="0.2">
      <c r="C495">
        <v>0.68</v>
      </c>
      <c r="E495">
        <f t="shared" si="8"/>
        <v>5.5510204081632647E-4</v>
      </c>
    </row>
    <row r="496" spans="3:5" x14ac:dyDescent="0.2">
      <c r="C496">
        <v>1.89</v>
      </c>
      <c r="E496">
        <f t="shared" si="8"/>
        <v>1.5428571428571427E-3</v>
      </c>
    </row>
    <row r="497" spans="3:5" x14ac:dyDescent="0.2">
      <c r="C497">
        <v>0.27</v>
      </c>
      <c r="E497">
        <f t="shared" si="8"/>
        <v>2.2040816326530612E-4</v>
      </c>
    </row>
    <row r="498" spans="3:5" x14ac:dyDescent="0.2">
      <c r="C498">
        <v>0.47</v>
      </c>
      <c r="E498">
        <f t="shared" si="8"/>
        <v>3.8367346938775502E-4</v>
      </c>
    </row>
    <row r="499" spans="3:5" x14ac:dyDescent="0.2">
      <c r="C499">
        <v>0.04</v>
      </c>
      <c r="E499">
        <f t="shared" si="8"/>
        <v>3.2653061224489793E-5</v>
      </c>
    </row>
    <row r="500" spans="3:5" x14ac:dyDescent="0.2">
      <c r="C500">
        <v>0.27</v>
      </c>
      <c r="E500">
        <f t="shared" si="8"/>
        <v>2.2040816326530612E-4</v>
      </c>
    </row>
    <row r="501" spans="3:5" x14ac:dyDescent="0.2">
      <c r="C501">
        <v>2.58</v>
      </c>
      <c r="E501">
        <f t="shared" si="8"/>
        <v>2.106122448979592E-3</v>
      </c>
    </row>
    <row r="502" spans="3:5" x14ac:dyDescent="0.2">
      <c r="C502">
        <v>3.19</v>
      </c>
      <c r="E502">
        <f t="shared" si="8"/>
        <v>2.6040816326530609E-3</v>
      </c>
    </row>
    <row r="503" spans="3:5" x14ac:dyDescent="0.2">
      <c r="C503">
        <v>6.4000000000000001E-2</v>
      </c>
      <c r="E503">
        <f t="shared" ref="E503:E556" si="9">C503/1.225/1000</f>
        <v>5.2244897959183671E-5</v>
      </c>
    </row>
    <row r="504" spans="3:5" x14ac:dyDescent="0.2">
      <c r="C504">
        <v>5.1999999999999998E-2</v>
      </c>
      <c r="E504">
        <f t="shared" si="9"/>
        <v>4.2448979591836729E-5</v>
      </c>
    </row>
    <row r="505" spans="3:5" x14ac:dyDescent="0.2">
      <c r="C505">
        <v>1.7000000000000001E-2</v>
      </c>
      <c r="E505">
        <f t="shared" si="9"/>
        <v>1.3877551020408163E-5</v>
      </c>
    </row>
    <row r="506" spans="3:5" x14ac:dyDescent="0.2">
      <c r="C506">
        <v>1.7000000000000001E-2</v>
      </c>
      <c r="E506">
        <f t="shared" si="9"/>
        <v>1.3877551020408163E-5</v>
      </c>
    </row>
    <row r="507" spans="3:5" x14ac:dyDescent="0.2">
      <c r="C507">
        <v>1.7999999999999999E-2</v>
      </c>
      <c r="E507">
        <f t="shared" si="9"/>
        <v>1.4693877551020406E-5</v>
      </c>
    </row>
    <row r="508" spans="3:5" x14ac:dyDescent="0.2">
      <c r="C508">
        <v>1.7999999999999999E-2</v>
      </c>
      <c r="E508">
        <f t="shared" si="9"/>
        <v>1.4693877551020406E-5</v>
      </c>
    </row>
    <row r="509" spans="3:5" x14ac:dyDescent="0.2">
      <c r="C509">
        <v>1.9E-2</v>
      </c>
      <c r="E509">
        <f t="shared" si="9"/>
        <v>1.5510204081632651E-5</v>
      </c>
    </row>
    <row r="510" spans="3:5" x14ac:dyDescent="0.2">
      <c r="C510">
        <v>0.01</v>
      </c>
      <c r="E510">
        <f t="shared" si="9"/>
        <v>8.1632653061224483E-6</v>
      </c>
    </row>
    <row r="511" spans="3:5" x14ac:dyDescent="0.2">
      <c r="C511">
        <v>1.9E-2</v>
      </c>
      <c r="E511">
        <f t="shared" si="9"/>
        <v>1.5510204081632651E-5</v>
      </c>
    </row>
    <row r="512" spans="3:5" x14ac:dyDescent="0.2">
      <c r="C512">
        <v>5.1999999999999998E-2</v>
      </c>
      <c r="E512">
        <f t="shared" si="9"/>
        <v>4.2448979591836729E-5</v>
      </c>
    </row>
    <row r="513" spans="3:5" x14ac:dyDescent="0.2">
      <c r="C513">
        <v>4.4999999999999998E-2</v>
      </c>
      <c r="E513">
        <f t="shared" si="9"/>
        <v>3.6734693877551016E-5</v>
      </c>
    </row>
    <row r="514" spans="3:5" x14ac:dyDescent="0.2">
      <c r="C514">
        <v>2.9000000000000001E-2</v>
      </c>
      <c r="E514">
        <f t="shared" si="9"/>
        <v>2.36734693877551E-5</v>
      </c>
    </row>
    <row r="515" spans="3:5" x14ac:dyDescent="0.2">
      <c r="C515">
        <v>0.02</v>
      </c>
      <c r="E515">
        <f t="shared" si="9"/>
        <v>1.6326530612244897E-5</v>
      </c>
    </row>
    <row r="516" spans="3:5" x14ac:dyDescent="0.2">
      <c r="C516">
        <v>4.1000000000000002E-2</v>
      </c>
      <c r="E516">
        <f t="shared" si="9"/>
        <v>3.3469387755102042E-5</v>
      </c>
    </row>
    <row r="517" spans="3:5" x14ac:dyDescent="0.2">
      <c r="C517">
        <v>1.2999999999999999E-2</v>
      </c>
      <c r="E517">
        <f t="shared" si="9"/>
        <v>1.0612244897959182E-5</v>
      </c>
    </row>
    <row r="518" spans="3:5" x14ac:dyDescent="0.2">
      <c r="C518">
        <v>8.0000000000000002E-3</v>
      </c>
      <c r="E518">
        <f t="shared" si="9"/>
        <v>6.5306122448979588E-6</v>
      </c>
    </row>
    <row r="519" spans="3:5" x14ac:dyDescent="0.2">
      <c r="C519">
        <v>5.0000000000000001E-3</v>
      </c>
      <c r="E519">
        <f t="shared" si="9"/>
        <v>4.0816326530612242E-6</v>
      </c>
    </row>
    <row r="520" spans="3:5" x14ac:dyDescent="0.2">
      <c r="C520">
        <v>3.0000000000000001E-3</v>
      </c>
      <c r="E520">
        <f t="shared" si="9"/>
        <v>2.4489795918367347E-6</v>
      </c>
    </row>
    <row r="521" spans="3:5" x14ac:dyDescent="0.2">
      <c r="C521">
        <v>23.2</v>
      </c>
      <c r="E521">
        <f t="shared" si="9"/>
        <v>1.8938775510204082E-2</v>
      </c>
    </row>
    <row r="522" spans="3:5" x14ac:dyDescent="0.2">
      <c r="C522">
        <v>31</v>
      </c>
      <c r="E522">
        <f t="shared" si="9"/>
        <v>2.530612244897959E-2</v>
      </c>
    </row>
    <row r="523" spans="3:5" x14ac:dyDescent="0.2">
      <c r="C523">
        <v>10</v>
      </c>
      <c r="E523">
        <f t="shared" si="9"/>
        <v>8.1632653061224497E-3</v>
      </c>
    </row>
    <row r="524" spans="3:5" x14ac:dyDescent="0.2">
      <c r="C524">
        <v>7.8</v>
      </c>
      <c r="E524">
        <f t="shared" si="9"/>
        <v>6.367346938775509E-3</v>
      </c>
    </row>
    <row r="525" spans="3:5" x14ac:dyDescent="0.2">
      <c r="C525">
        <v>9.1</v>
      </c>
      <c r="E525">
        <f t="shared" si="9"/>
        <v>7.4285714285714276E-3</v>
      </c>
    </row>
    <row r="526" spans="3:5" x14ac:dyDescent="0.2">
      <c r="C526">
        <v>14</v>
      </c>
      <c r="E526">
        <f t="shared" si="9"/>
        <v>1.1428571428571427E-2</v>
      </c>
    </row>
    <row r="527" spans="3:5" x14ac:dyDescent="0.2">
      <c r="C527">
        <v>6.6</v>
      </c>
      <c r="E527">
        <f t="shared" si="9"/>
        <v>5.3877551020408152E-3</v>
      </c>
    </row>
    <row r="528" spans="3:5" x14ac:dyDescent="0.2">
      <c r="C528">
        <v>5.2</v>
      </c>
      <c r="E528">
        <f t="shared" si="9"/>
        <v>4.2448979591836735E-3</v>
      </c>
    </row>
    <row r="529" spans="3:5" x14ac:dyDescent="0.2">
      <c r="C529">
        <v>20.8</v>
      </c>
      <c r="E529">
        <f t="shared" si="9"/>
        <v>1.6979591836734694E-2</v>
      </c>
    </row>
    <row r="530" spans="3:5" x14ac:dyDescent="0.2">
      <c r="C530">
        <v>40</v>
      </c>
      <c r="E530">
        <f t="shared" si="9"/>
        <v>3.2653061224489799E-2</v>
      </c>
    </row>
    <row r="531" spans="3:5" x14ac:dyDescent="0.2">
      <c r="C531">
        <v>20.9</v>
      </c>
      <c r="E531">
        <f t="shared" si="9"/>
        <v>1.7061224489795915E-2</v>
      </c>
    </row>
    <row r="532" spans="3:5" x14ac:dyDescent="0.2">
      <c r="C532">
        <v>15.4</v>
      </c>
      <c r="E532">
        <f t="shared" si="9"/>
        <v>1.2571428571428572E-2</v>
      </c>
    </row>
    <row r="533" spans="3:5" x14ac:dyDescent="0.2">
      <c r="C533">
        <v>24</v>
      </c>
      <c r="E533">
        <f t="shared" si="9"/>
        <v>1.9591836734693873E-2</v>
      </c>
    </row>
    <row r="534" spans="3:5" x14ac:dyDescent="0.2">
      <c r="C534">
        <v>53</v>
      </c>
      <c r="E534">
        <f t="shared" si="9"/>
        <v>4.3265306122448978E-2</v>
      </c>
    </row>
    <row r="535" spans="3:5" x14ac:dyDescent="0.2">
      <c r="C535">
        <v>11.9</v>
      </c>
      <c r="E535">
        <f t="shared" si="9"/>
        <v>9.7142857142857135E-3</v>
      </c>
    </row>
    <row r="536" spans="3:5" x14ac:dyDescent="0.2">
      <c r="C536">
        <v>9.4</v>
      </c>
      <c r="E536">
        <f t="shared" si="9"/>
        <v>7.6734693877551019E-3</v>
      </c>
    </row>
    <row r="537" spans="3:5" x14ac:dyDescent="0.2">
      <c r="C537">
        <v>3.61</v>
      </c>
      <c r="E537">
        <f t="shared" si="9"/>
        <v>2.9469387755102039E-3</v>
      </c>
    </row>
    <row r="538" spans="3:5" x14ac:dyDescent="0.2">
      <c r="C538">
        <v>2.31</v>
      </c>
      <c r="E538">
        <f t="shared" si="9"/>
        <v>1.8857142857142857E-3</v>
      </c>
    </row>
    <row r="539" spans="3:5" x14ac:dyDescent="0.2">
      <c r="C539">
        <v>0.51</v>
      </c>
      <c r="E539">
        <f t="shared" si="9"/>
        <v>4.1632653061224491E-4</v>
      </c>
    </row>
    <row r="540" spans="3:5" x14ac:dyDescent="0.2">
      <c r="C540">
        <v>1</v>
      </c>
      <c r="E540">
        <f t="shared" si="9"/>
        <v>8.1632653061224482E-4</v>
      </c>
    </row>
    <row r="541" spans="3:5" x14ac:dyDescent="0.2">
      <c r="C541">
        <v>0.22</v>
      </c>
      <c r="E541">
        <f t="shared" si="9"/>
        <v>1.7959183673469387E-4</v>
      </c>
    </row>
    <row r="542" spans="3:5" x14ac:dyDescent="0.2">
      <c r="C542">
        <v>0.31</v>
      </c>
      <c r="E542">
        <f t="shared" si="9"/>
        <v>2.530612244897959E-4</v>
      </c>
    </row>
    <row r="543" spans="3:5" x14ac:dyDescent="0.2">
      <c r="C543">
        <v>0.04</v>
      </c>
      <c r="E543">
        <f t="shared" si="9"/>
        <v>3.2653061224489793E-5</v>
      </c>
    </row>
    <row r="544" spans="3:5" x14ac:dyDescent="0.2">
      <c r="C544">
        <v>7.0000000000000007E-2</v>
      </c>
      <c r="E544">
        <f t="shared" si="9"/>
        <v>5.7142857142857142E-5</v>
      </c>
    </row>
    <row r="545" spans="1:7" x14ac:dyDescent="0.2">
      <c r="C545">
        <v>0.04</v>
      </c>
      <c r="E545">
        <f t="shared" si="9"/>
        <v>3.2653061224489793E-5</v>
      </c>
    </row>
    <row r="546" spans="1:7" x14ac:dyDescent="0.2">
      <c r="C546">
        <v>0.04</v>
      </c>
      <c r="E546">
        <f t="shared" si="9"/>
        <v>3.2653061224489793E-5</v>
      </c>
    </row>
    <row r="547" spans="1:7" x14ac:dyDescent="0.2">
      <c r="C547">
        <v>3.13</v>
      </c>
      <c r="E547">
        <f t="shared" si="9"/>
        <v>2.5551020408163261E-3</v>
      </c>
    </row>
    <row r="548" spans="1:7" x14ac:dyDescent="0.2">
      <c r="C548">
        <v>6.46</v>
      </c>
      <c r="E548">
        <f t="shared" si="9"/>
        <v>5.2734693877551017E-3</v>
      </c>
    </row>
    <row r="549" spans="1:7" x14ac:dyDescent="0.2">
      <c r="C549">
        <v>0.15</v>
      </c>
      <c r="E549">
        <f t="shared" si="9"/>
        <v>1.2244897959183673E-4</v>
      </c>
    </row>
    <row r="550" spans="1:7" x14ac:dyDescent="0.2">
      <c r="C550">
        <v>0.28999999999999998</v>
      </c>
      <c r="E550">
        <f t="shared" si="9"/>
        <v>2.3673469387755101E-4</v>
      </c>
    </row>
    <row r="551" spans="1:7" x14ac:dyDescent="0.2">
      <c r="C551">
        <v>0.18</v>
      </c>
      <c r="E551">
        <f t="shared" si="9"/>
        <v>1.4693877551020406E-4</v>
      </c>
    </row>
    <row r="552" spans="1:7" x14ac:dyDescent="0.2">
      <c r="C552">
        <v>0.2</v>
      </c>
      <c r="E552">
        <f t="shared" si="9"/>
        <v>1.6326530612244895E-4</v>
      </c>
    </row>
    <row r="553" spans="1:7" x14ac:dyDescent="0.2">
      <c r="C553">
        <v>0.21</v>
      </c>
      <c r="E553">
        <f t="shared" si="9"/>
        <v>1.714285714285714E-4</v>
      </c>
    </row>
    <row r="554" spans="1:7" x14ac:dyDescent="0.2">
      <c r="C554">
        <v>0.08</v>
      </c>
      <c r="E554">
        <f t="shared" si="9"/>
        <v>6.5306122448979587E-5</v>
      </c>
    </row>
    <row r="555" spans="1:7" x14ac:dyDescent="0.2">
      <c r="C555">
        <v>0.05</v>
      </c>
      <c r="E555">
        <f t="shared" si="9"/>
        <v>4.0816326530612238E-5</v>
      </c>
    </row>
    <row r="556" spans="1:7" x14ac:dyDescent="0.2">
      <c r="C556">
        <v>2.5999999999999999E-2</v>
      </c>
      <c r="E556">
        <f t="shared" si="9"/>
        <v>2.1224489795918364E-5</v>
      </c>
    </row>
    <row r="557" spans="1:7" x14ac:dyDescent="0.2">
      <c r="A557" t="s">
        <v>465</v>
      </c>
      <c r="B557">
        <v>2010</v>
      </c>
      <c r="C557">
        <v>65</v>
      </c>
      <c r="D557" t="s">
        <v>462</v>
      </c>
      <c r="E557">
        <f>C557/1000/1.225/1000</f>
        <v>5.3061224489795919E-5</v>
      </c>
      <c r="G557" t="s">
        <v>464</v>
      </c>
    </row>
    <row r="558" spans="1:7" x14ac:dyDescent="0.2">
      <c r="C558">
        <v>851</v>
      </c>
      <c r="E558">
        <f t="shared" ref="E558:E621" si="10">C558/1000/1.225/1000</f>
        <v>6.9469387755102027E-4</v>
      </c>
    </row>
    <row r="559" spans="1:7" x14ac:dyDescent="0.2">
      <c r="C559">
        <v>29</v>
      </c>
      <c r="E559">
        <f t="shared" si="10"/>
        <v>2.36734693877551E-5</v>
      </c>
    </row>
    <row r="560" spans="1:7" x14ac:dyDescent="0.2">
      <c r="C560">
        <v>568</v>
      </c>
      <c r="E560">
        <f t="shared" si="10"/>
        <v>4.6367346938775501E-4</v>
      </c>
    </row>
    <row r="561" spans="3:5" x14ac:dyDescent="0.2">
      <c r="C561">
        <v>0.5</v>
      </c>
      <c r="E561">
        <f t="shared" si="10"/>
        <v>4.0816326530612243E-7</v>
      </c>
    </row>
    <row r="562" spans="3:5" x14ac:dyDescent="0.2">
      <c r="C562">
        <v>2.5</v>
      </c>
      <c r="E562">
        <f t="shared" si="10"/>
        <v>2.0408163265306121E-6</v>
      </c>
    </row>
    <row r="563" spans="3:5" x14ac:dyDescent="0.2">
      <c r="C563">
        <f>1.4*3-0.5-2.5</f>
        <v>1.1999999999999993</v>
      </c>
      <c r="E563">
        <f t="shared" si="10"/>
        <v>9.7959183673469323E-7</v>
      </c>
    </row>
    <row r="564" spans="3:5" x14ac:dyDescent="0.2">
      <c r="C564">
        <v>0</v>
      </c>
      <c r="E564">
        <f t="shared" si="10"/>
        <v>0</v>
      </c>
    </row>
    <row r="565" spans="3:5" x14ac:dyDescent="0.2">
      <c r="C565">
        <v>0</v>
      </c>
      <c r="E565">
        <f t="shared" si="10"/>
        <v>0</v>
      </c>
    </row>
    <row r="566" spans="3:5" x14ac:dyDescent="0.2">
      <c r="C566">
        <v>0</v>
      </c>
      <c r="E566">
        <f t="shared" si="10"/>
        <v>0</v>
      </c>
    </row>
    <row r="567" spans="3:5" x14ac:dyDescent="0.2">
      <c r="C567">
        <v>1.1000000000000001</v>
      </c>
      <c r="E567">
        <f t="shared" si="10"/>
        <v>8.9795918367346941E-7</v>
      </c>
    </row>
    <row r="568" spans="3:5" x14ac:dyDescent="0.2">
      <c r="C568">
        <v>5.2</v>
      </c>
      <c r="E568">
        <f t="shared" si="10"/>
        <v>4.2448979591836729E-6</v>
      </c>
    </row>
    <row r="569" spans="3:5" x14ac:dyDescent="0.2">
      <c r="C569">
        <f>(2.3*9-1.1-5.2)/7</f>
        <v>2.0571428571428569</v>
      </c>
      <c r="E569">
        <f t="shared" si="10"/>
        <v>1.6793002915451892E-6</v>
      </c>
    </row>
    <row r="570" spans="3:5" x14ac:dyDescent="0.2">
      <c r="C570">
        <f t="shared" ref="C570:C575" si="11">(2.3*9-1.1-5.2)/7</f>
        <v>2.0571428571428569</v>
      </c>
      <c r="E570">
        <f t="shared" si="10"/>
        <v>1.6793002915451892E-6</v>
      </c>
    </row>
    <row r="571" spans="3:5" x14ac:dyDescent="0.2">
      <c r="C571">
        <f t="shared" si="11"/>
        <v>2.0571428571428569</v>
      </c>
      <c r="E571">
        <f t="shared" si="10"/>
        <v>1.6793002915451892E-6</v>
      </c>
    </row>
    <row r="572" spans="3:5" x14ac:dyDescent="0.2">
      <c r="C572">
        <f t="shared" si="11"/>
        <v>2.0571428571428569</v>
      </c>
      <c r="E572">
        <f t="shared" si="10"/>
        <v>1.6793002915451892E-6</v>
      </c>
    </row>
    <row r="573" spans="3:5" x14ac:dyDescent="0.2">
      <c r="C573">
        <f t="shared" si="11"/>
        <v>2.0571428571428569</v>
      </c>
      <c r="E573">
        <f t="shared" si="10"/>
        <v>1.6793002915451892E-6</v>
      </c>
    </row>
    <row r="574" spans="3:5" x14ac:dyDescent="0.2">
      <c r="C574">
        <f t="shared" si="11"/>
        <v>2.0571428571428569</v>
      </c>
      <c r="E574">
        <f t="shared" si="10"/>
        <v>1.6793002915451892E-6</v>
      </c>
    </row>
    <row r="575" spans="3:5" x14ac:dyDescent="0.2">
      <c r="C575">
        <f t="shared" si="11"/>
        <v>2.0571428571428569</v>
      </c>
      <c r="E575">
        <f t="shared" si="10"/>
        <v>1.6793002915451892E-6</v>
      </c>
    </row>
    <row r="576" spans="3:5" x14ac:dyDescent="0.2">
      <c r="C576">
        <v>0</v>
      </c>
      <c r="E576">
        <f t="shared" si="10"/>
        <v>0</v>
      </c>
    </row>
    <row r="577" spans="3:5" x14ac:dyDescent="0.2">
      <c r="C577">
        <v>0</v>
      </c>
      <c r="E577">
        <f t="shared" si="10"/>
        <v>0</v>
      </c>
    </row>
    <row r="578" spans="3:5" x14ac:dyDescent="0.2">
      <c r="C578">
        <v>0</v>
      </c>
      <c r="E578">
        <f t="shared" si="10"/>
        <v>0</v>
      </c>
    </row>
    <row r="579" spans="3:5" x14ac:dyDescent="0.2">
      <c r="C579">
        <v>3.5</v>
      </c>
      <c r="E579">
        <f t="shared" si="10"/>
        <v>2.8571428571428573E-6</v>
      </c>
    </row>
    <row r="580" spans="3:5" x14ac:dyDescent="0.2">
      <c r="C580">
        <v>0</v>
      </c>
      <c r="E580">
        <f t="shared" si="10"/>
        <v>0</v>
      </c>
    </row>
    <row r="581" spans="3:5" x14ac:dyDescent="0.2">
      <c r="C581">
        <v>0</v>
      </c>
      <c r="E581">
        <f t="shared" si="10"/>
        <v>0</v>
      </c>
    </row>
    <row r="582" spans="3:5" x14ac:dyDescent="0.2">
      <c r="C582">
        <v>0</v>
      </c>
      <c r="E582">
        <f t="shared" si="10"/>
        <v>0</v>
      </c>
    </row>
    <row r="583" spans="3:5" x14ac:dyDescent="0.2">
      <c r="C583">
        <v>0</v>
      </c>
      <c r="E583">
        <f t="shared" si="10"/>
        <v>0</v>
      </c>
    </row>
    <row r="584" spans="3:5" x14ac:dyDescent="0.2">
      <c r="C584">
        <v>0</v>
      </c>
      <c r="E584">
        <f t="shared" si="10"/>
        <v>0</v>
      </c>
    </row>
    <row r="585" spans="3:5" x14ac:dyDescent="0.2">
      <c r="C585">
        <v>0</v>
      </c>
      <c r="E585">
        <f t="shared" si="10"/>
        <v>0</v>
      </c>
    </row>
    <row r="586" spans="3:5" x14ac:dyDescent="0.2">
      <c r="C586">
        <v>0.9</v>
      </c>
      <c r="E586">
        <f t="shared" si="10"/>
        <v>7.346938775510204E-7</v>
      </c>
    </row>
    <row r="587" spans="3:5" x14ac:dyDescent="0.2">
      <c r="C587">
        <v>0</v>
      </c>
      <c r="E587">
        <f t="shared" si="10"/>
        <v>0</v>
      </c>
    </row>
    <row r="588" spans="3:5" x14ac:dyDescent="0.2">
      <c r="C588">
        <v>0</v>
      </c>
      <c r="E588">
        <f t="shared" si="10"/>
        <v>0</v>
      </c>
    </row>
    <row r="589" spans="3:5" x14ac:dyDescent="0.2">
      <c r="C589">
        <v>0</v>
      </c>
      <c r="E589">
        <f t="shared" si="10"/>
        <v>0</v>
      </c>
    </row>
    <row r="590" spans="3:5" x14ac:dyDescent="0.2">
      <c r="C590">
        <v>0</v>
      </c>
      <c r="E590">
        <f t="shared" si="10"/>
        <v>0</v>
      </c>
    </row>
    <row r="591" spans="3:5" x14ac:dyDescent="0.2">
      <c r="C591">
        <v>0</v>
      </c>
      <c r="E591">
        <f t="shared" si="10"/>
        <v>0</v>
      </c>
    </row>
    <row r="592" spans="3:5" x14ac:dyDescent="0.2">
      <c r="C592">
        <v>0</v>
      </c>
      <c r="E592">
        <f t="shared" si="10"/>
        <v>0</v>
      </c>
    </row>
    <row r="593" spans="1:18" x14ac:dyDescent="0.2">
      <c r="C593">
        <v>0</v>
      </c>
      <c r="E593">
        <f t="shared" si="10"/>
        <v>0</v>
      </c>
    </row>
    <row r="594" spans="1:18" x14ac:dyDescent="0.2">
      <c r="C594">
        <v>0</v>
      </c>
      <c r="E594">
        <f t="shared" si="10"/>
        <v>0</v>
      </c>
    </row>
    <row r="595" spans="1:18" x14ac:dyDescent="0.2">
      <c r="C595">
        <v>0</v>
      </c>
      <c r="E595">
        <f t="shared" si="10"/>
        <v>0</v>
      </c>
    </row>
    <row r="596" spans="1:18" x14ac:dyDescent="0.2">
      <c r="C596">
        <v>0</v>
      </c>
      <c r="E596">
        <f t="shared" si="10"/>
        <v>0</v>
      </c>
    </row>
    <row r="597" spans="1:18" x14ac:dyDescent="0.2">
      <c r="C597">
        <v>0</v>
      </c>
      <c r="E597">
        <f t="shared" si="10"/>
        <v>0</v>
      </c>
    </row>
    <row r="598" spans="1:18" x14ac:dyDescent="0.2">
      <c r="A598" t="s">
        <v>467</v>
      </c>
      <c r="B598">
        <v>2022</v>
      </c>
      <c r="C598">
        <v>23.5</v>
      </c>
      <c r="D598" t="s">
        <v>462</v>
      </c>
      <c r="E598">
        <f t="shared" si="10"/>
        <v>1.9183673469387753E-5</v>
      </c>
      <c r="G598" t="s">
        <v>466</v>
      </c>
    </row>
    <row r="599" spans="1:18" x14ac:dyDescent="0.2">
      <c r="C599">
        <v>60.4</v>
      </c>
      <c r="E599">
        <f t="shared" si="10"/>
        <v>4.9306122448979584E-5</v>
      </c>
    </row>
    <row r="600" spans="1:18" x14ac:dyDescent="0.2">
      <c r="C600">
        <v>47.4</v>
      </c>
      <c r="E600">
        <f t="shared" si="10"/>
        <v>3.8693877551020407E-5</v>
      </c>
    </row>
    <row r="601" spans="1:18" x14ac:dyDescent="0.2">
      <c r="C601">
        <v>15.4</v>
      </c>
      <c r="E601">
        <f t="shared" si="10"/>
        <v>1.257142857142857E-5</v>
      </c>
    </row>
    <row r="602" spans="1:18" x14ac:dyDescent="0.2">
      <c r="C602">
        <v>64.8</v>
      </c>
      <c r="E602">
        <f t="shared" si="10"/>
        <v>5.2897959183673459E-5</v>
      </c>
    </row>
    <row r="603" spans="1:18" x14ac:dyDescent="0.2">
      <c r="C603">
        <v>35.9</v>
      </c>
      <c r="E603">
        <f t="shared" si="10"/>
        <v>2.9306122448979589E-5</v>
      </c>
    </row>
    <row r="604" spans="1:18" x14ac:dyDescent="0.2">
      <c r="C604">
        <v>23.4</v>
      </c>
      <c r="E604">
        <f t="shared" si="10"/>
        <v>1.910204081632653E-5</v>
      </c>
    </row>
    <row r="605" spans="1:18" x14ac:dyDescent="0.2">
      <c r="C605">
        <v>53</v>
      </c>
      <c r="E605">
        <f t="shared" si="10"/>
        <v>4.3265306122448977E-5</v>
      </c>
    </row>
    <row r="606" spans="1:18" x14ac:dyDescent="0.2">
      <c r="C606">
        <v>31.6</v>
      </c>
      <c r="E606">
        <f t="shared" si="10"/>
        <v>2.5795918367346938E-5</v>
      </c>
    </row>
    <row r="607" spans="1:18" x14ac:dyDescent="0.2">
      <c r="C607">
        <v>21.1</v>
      </c>
      <c r="E607">
        <f t="shared" si="10"/>
        <v>1.7224489795918365E-5</v>
      </c>
    </row>
    <row r="608" spans="1:18" x14ac:dyDescent="0.2">
      <c r="C608">
        <v>82.8</v>
      </c>
      <c r="E608">
        <f t="shared" si="10"/>
        <v>6.7591836734693872E-5</v>
      </c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3:19" x14ac:dyDescent="0.2">
      <c r="C609">
        <v>60.1</v>
      </c>
      <c r="E609">
        <f t="shared" si="10"/>
        <v>4.906122448979591E-5</v>
      </c>
      <c r="F609" s="10"/>
      <c r="G609" s="10"/>
      <c r="H609" s="10"/>
      <c r="I609" s="10"/>
      <c r="J609" s="10"/>
      <c r="K609" s="10"/>
      <c r="L609" s="10"/>
      <c r="M609" s="10"/>
    </row>
    <row r="610" spans="3:19" x14ac:dyDescent="0.2">
      <c r="C610">
        <v>10</v>
      </c>
      <c r="E610">
        <f t="shared" si="10"/>
        <v>8.1632653061224483E-6</v>
      </c>
      <c r="F610" s="10"/>
      <c r="G610" s="10"/>
      <c r="H610" s="10"/>
      <c r="I610" s="10"/>
      <c r="J610" s="10"/>
      <c r="K610" s="10"/>
      <c r="L610" s="10"/>
      <c r="M610" s="10"/>
    </row>
    <row r="611" spans="3:19" x14ac:dyDescent="0.2">
      <c r="C611">
        <v>34.6</v>
      </c>
      <c r="E611">
        <f t="shared" si="10"/>
        <v>2.824489795918367E-5</v>
      </c>
      <c r="F611" s="10"/>
      <c r="G611" s="10"/>
      <c r="H611" s="10"/>
      <c r="I611" s="10"/>
      <c r="J611" s="10"/>
      <c r="K611" s="10"/>
      <c r="L611" s="10"/>
      <c r="M611" s="10"/>
    </row>
    <row r="612" spans="3:19" x14ac:dyDescent="0.2">
      <c r="C612">
        <v>31.6</v>
      </c>
      <c r="E612">
        <f t="shared" si="10"/>
        <v>2.5795918367346938E-5</v>
      </c>
      <c r="F612" s="10"/>
      <c r="G612" s="10"/>
      <c r="H612" s="10"/>
      <c r="I612" s="10"/>
      <c r="J612" s="10"/>
      <c r="K612" s="10"/>
      <c r="L612" s="10"/>
      <c r="M612" s="10"/>
    </row>
    <row r="613" spans="3:19" x14ac:dyDescent="0.2">
      <c r="C613">
        <v>21.9</v>
      </c>
      <c r="E613">
        <f t="shared" si="10"/>
        <v>1.787755102040816E-5</v>
      </c>
      <c r="F613" s="10"/>
      <c r="G613" s="10"/>
      <c r="H613" s="10"/>
      <c r="I613" s="10"/>
      <c r="J613" s="10"/>
      <c r="K613" s="10"/>
      <c r="L613" s="10"/>
      <c r="M613" s="10"/>
    </row>
    <row r="614" spans="3:19" x14ac:dyDescent="0.2">
      <c r="C614">
        <v>99.4</v>
      </c>
      <c r="E614">
        <f t="shared" si="10"/>
        <v>8.1142857142857142E-5</v>
      </c>
      <c r="F614" s="10"/>
      <c r="G614" s="10"/>
      <c r="H614" s="10"/>
      <c r="I614" s="10"/>
      <c r="J614" s="10"/>
      <c r="K614" s="10"/>
      <c r="L614" s="10"/>
      <c r="M614" s="10"/>
    </row>
    <row r="615" spans="3:19" x14ac:dyDescent="0.2">
      <c r="C615">
        <v>30.1</v>
      </c>
      <c r="E615">
        <f t="shared" si="10"/>
        <v>2.4571428571428572E-5</v>
      </c>
      <c r="H615" s="10"/>
      <c r="J615" s="10"/>
      <c r="K615" s="10"/>
    </row>
    <row r="616" spans="3:19" x14ac:dyDescent="0.2">
      <c r="C616">
        <v>12.3</v>
      </c>
      <c r="E616">
        <f t="shared" si="10"/>
        <v>1.0040816326530611E-5</v>
      </c>
      <c r="H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3:19" x14ac:dyDescent="0.2">
      <c r="C617">
        <v>51.1</v>
      </c>
      <c r="E617">
        <f t="shared" si="10"/>
        <v>4.1714285714285714E-5</v>
      </c>
      <c r="N617" s="10"/>
      <c r="O617" s="10"/>
      <c r="P617" s="10"/>
      <c r="Q617" s="10"/>
      <c r="R617" s="10"/>
      <c r="S617" s="10"/>
    </row>
    <row r="618" spans="3:19" x14ac:dyDescent="0.2">
      <c r="C618">
        <v>25.9</v>
      </c>
      <c r="E618">
        <f t="shared" si="10"/>
        <v>2.1142857142857141E-5</v>
      </c>
      <c r="N618" s="10"/>
      <c r="O618" s="10"/>
      <c r="P618" s="10"/>
      <c r="Q618" s="10"/>
      <c r="R618" s="10"/>
      <c r="S618" s="10"/>
    </row>
    <row r="619" spans="3:19" x14ac:dyDescent="0.2">
      <c r="C619">
        <v>51.7</v>
      </c>
      <c r="E619">
        <f t="shared" si="10"/>
        <v>4.2204081632653062E-5</v>
      </c>
    </row>
    <row r="620" spans="3:19" x14ac:dyDescent="0.2">
      <c r="C620">
        <v>124</v>
      </c>
      <c r="E620">
        <f t="shared" si="10"/>
        <v>1.0122448979591836E-4</v>
      </c>
    </row>
    <row r="621" spans="3:19" x14ac:dyDescent="0.2">
      <c r="C621">
        <v>84.2</v>
      </c>
      <c r="E621">
        <f t="shared" si="10"/>
        <v>6.8734693877551021E-5</v>
      </c>
    </row>
    <row r="622" spans="3:19" x14ac:dyDescent="0.2">
      <c r="C622" s="10">
        <v>0</v>
      </c>
      <c r="E622">
        <f t="shared" ref="E622:E685" si="12">C622/1000/1.225/1000</f>
        <v>0</v>
      </c>
    </row>
    <row r="623" spans="3:19" x14ac:dyDescent="0.2">
      <c r="C623" s="10">
        <v>44.8</v>
      </c>
      <c r="E623">
        <f t="shared" si="12"/>
        <v>3.6571428571428569E-5</v>
      </c>
    </row>
    <row r="624" spans="3:19" x14ac:dyDescent="0.2">
      <c r="C624">
        <v>0</v>
      </c>
      <c r="E624">
        <f t="shared" si="12"/>
        <v>0</v>
      </c>
    </row>
    <row r="625" spans="3:5" x14ac:dyDescent="0.2">
      <c r="C625">
        <v>0</v>
      </c>
      <c r="E625">
        <f t="shared" si="12"/>
        <v>0</v>
      </c>
    </row>
    <row r="626" spans="3:5" x14ac:dyDescent="0.2">
      <c r="C626">
        <v>32.5</v>
      </c>
      <c r="E626">
        <f t="shared" si="12"/>
        <v>2.653061224489796E-5</v>
      </c>
    </row>
    <row r="627" spans="3:5" x14ac:dyDescent="0.2">
      <c r="C627">
        <v>0</v>
      </c>
      <c r="E627">
        <f t="shared" si="12"/>
        <v>0</v>
      </c>
    </row>
    <row r="628" spans="3:5" x14ac:dyDescent="0.2">
      <c r="C628">
        <v>0</v>
      </c>
      <c r="E628">
        <f t="shared" si="12"/>
        <v>0</v>
      </c>
    </row>
    <row r="629" spans="3:5" x14ac:dyDescent="0.2">
      <c r="C629">
        <v>0</v>
      </c>
      <c r="E629">
        <f t="shared" si="12"/>
        <v>0</v>
      </c>
    </row>
    <row r="630" spans="3:5" x14ac:dyDescent="0.2">
      <c r="C630">
        <v>0</v>
      </c>
      <c r="E630">
        <f t="shared" si="12"/>
        <v>0</v>
      </c>
    </row>
    <row r="631" spans="3:5" x14ac:dyDescent="0.2">
      <c r="C631">
        <v>0</v>
      </c>
      <c r="E631">
        <f t="shared" si="12"/>
        <v>0</v>
      </c>
    </row>
    <row r="632" spans="3:5" x14ac:dyDescent="0.2">
      <c r="C632">
        <v>0</v>
      </c>
      <c r="E632">
        <f t="shared" si="12"/>
        <v>0</v>
      </c>
    </row>
    <row r="633" spans="3:5" x14ac:dyDescent="0.2">
      <c r="C633">
        <v>0</v>
      </c>
      <c r="E633">
        <f t="shared" si="12"/>
        <v>0</v>
      </c>
    </row>
    <row r="634" spans="3:5" x14ac:dyDescent="0.2">
      <c r="C634">
        <v>0</v>
      </c>
      <c r="E634">
        <f t="shared" si="12"/>
        <v>0</v>
      </c>
    </row>
    <row r="635" spans="3:5" x14ac:dyDescent="0.2">
      <c r="C635">
        <v>43.7</v>
      </c>
      <c r="E635">
        <f t="shared" si="12"/>
        <v>3.5673469387755107E-5</v>
      </c>
    </row>
    <row r="636" spans="3:5" x14ac:dyDescent="0.2">
      <c r="C636">
        <v>0</v>
      </c>
      <c r="E636">
        <f t="shared" si="12"/>
        <v>0</v>
      </c>
    </row>
    <row r="637" spans="3:5" x14ac:dyDescent="0.2">
      <c r="C637">
        <v>0</v>
      </c>
      <c r="E637">
        <f t="shared" si="12"/>
        <v>0</v>
      </c>
    </row>
    <row r="638" spans="3:5" x14ac:dyDescent="0.2">
      <c r="C638">
        <v>0</v>
      </c>
      <c r="E638">
        <f t="shared" si="12"/>
        <v>0</v>
      </c>
    </row>
    <row r="639" spans="3:5" x14ac:dyDescent="0.2">
      <c r="C639">
        <v>16</v>
      </c>
      <c r="E639">
        <f t="shared" si="12"/>
        <v>1.3061224489795918E-5</v>
      </c>
    </row>
    <row r="640" spans="3:5" x14ac:dyDescent="0.2">
      <c r="C640">
        <v>0</v>
      </c>
      <c r="E640">
        <f t="shared" si="12"/>
        <v>0</v>
      </c>
    </row>
    <row r="641" spans="3:5" x14ac:dyDescent="0.2">
      <c r="C641">
        <v>0</v>
      </c>
      <c r="E641">
        <f t="shared" si="12"/>
        <v>0</v>
      </c>
    </row>
    <row r="642" spans="3:5" x14ac:dyDescent="0.2">
      <c r="C642">
        <v>0</v>
      </c>
      <c r="E642">
        <f t="shared" si="12"/>
        <v>0</v>
      </c>
    </row>
    <row r="643" spans="3:5" x14ac:dyDescent="0.2">
      <c r="C643">
        <v>0</v>
      </c>
      <c r="E643">
        <f t="shared" si="12"/>
        <v>0</v>
      </c>
    </row>
    <row r="644" spans="3:5" x14ac:dyDescent="0.2">
      <c r="C644">
        <v>0</v>
      </c>
      <c r="E644">
        <f t="shared" si="12"/>
        <v>0</v>
      </c>
    </row>
    <row r="645" spans="3:5" x14ac:dyDescent="0.2">
      <c r="C645">
        <v>24.2</v>
      </c>
      <c r="E645">
        <f t="shared" si="12"/>
        <v>1.9755102040816328E-5</v>
      </c>
    </row>
    <row r="646" spans="3:5" x14ac:dyDescent="0.2">
      <c r="C646">
        <v>0</v>
      </c>
      <c r="E646">
        <f t="shared" si="12"/>
        <v>0</v>
      </c>
    </row>
    <row r="647" spans="3:5" x14ac:dyDescent="0.2">
      <c r="C647">
        <v>0</v>
      </c>
      <c r="E647">
        <f t="shared" si="12"/>
        <v>0</v>
      </c>
    </row>
    <row r="648" spans="3:5" x14ac:dyDescent="0.2">
      <c r="C648">
        <v>77</v>
      </c>
      <c r="E648">
        <f t="shared" si="12"/>
        <v>6.2857142857142848E-5</v>
      </c>
    </row>
    <row r="649" spans="3:5" x14ac:dyDescent="0.2">
      <c r="C649" s="10">
        <v>0</v>
      </c>
      <c r="E649">
        <f t="shared" si="12"/>
        <v>0</v>
      </c>
    </row>
    <row r="650" spans="3:5" x14ac:dyDescent="0.2">
      <c r="C650" s="10">
        <v>0</v>
      </c>
      <c r="E650">
        <f t="shared" si="12"/>
        <v>0</v>
      </c>
    </row>
    <row r="651" spans="3:5" x14ac:dyDescent="0.2">
      <c r="C651">
        <v>1.39</v>
      </c>
      <c r="E651">
        <f t="shared" si="12"/>
        <v>1.1346938775510204E-6</v>
      </c>
    </row>
    <row r="652" spans="3:5" x14ac:dyDescent="0.2">
      <c r="C652" s="10">
        <v>0</v>
      </c>
      <c r="E652">
        <f t="shared" si="12"/>
        <v>0</v>
      </c>
    </row>
    <row r="653" spans="3:5" x14ac:dyDescent="0.2">
      <c r="C653" s="10">
        <v>0</v>
      </c>
      <c r="E653">
        <f t="shared" si="12"/>
        <v>0</v>
      </c>
    </row>
    <row r="654" spans="3:5" x14ac:dyDescent="0.2">
      <c r="C654" s="10">
        <v>0</v>
      </c>
      <c r="E654">
        <f t="shared" si="12"/>
        <v>0</v>
      </c>
    </row>
    <row r="655" spans="3:5" x14ac:dyDescent="0.2">
      <c r="C655" s="10">
        <v>0</v>
      </c>
      <c r="E655">
        <f t="shared" si="12"/>
        <v>0</v>
      </c>
    </row>
    <row r="656" spans="3:5" x14ac:dyDescent="0.2">
      <c r="C656" s="10">
        <v>0</v>
      </c>
      <c r="E656">
        <f t="shared" si="12"/>
        <v>0</v>
      </c>
    </row>
    <row r="657" spans="3:5" x14ac:dyDescent="0.2">
      <c r="C657" s="10">
        <v>0</v>
      </c>
      <c r="E657">
        <f t="shared" si="12"/>
        <v>0</v>
      </c>
    </row>
    <row r="658" spans="3:5" x14ac:dyDescent="0.2">
      <c r="C658" s="10">
        <v>0</v>
      </c>
      <c r="E658">
        <f t="shared" si="12"/>
        <v>0</v>
      </c>
    </row>
    <row r="659" spans="3:5" x14ac:dyDescent="0.2">
      <c r="C659" s="10">
        <v>8.1</v>
      </c>
      <c r="E659">
        <f t="shared" si="12"/>
        <v>6.6122448979591823E-6</v>
      </c>
    </row>
    <row r="660" spans="3:5" x14ac:dyDescent="0.2">
      <c r="C660" s="10">
        <v>0</v>
      </c>
      <c r="E660">
        <f t="shared" si="12"/>
        <v>0</v>
      </c>
    </row>
    <row r="661" spans="3:5" x14ac:dyDescent="0.2">
      <c r="C661" s="10">
        <v>0</v>
      </c>
      <c r="E661">
        <f t="shared" si="12"/>
        <v>0</v>
      </c>
    </row>
    <row r="662" spans="3:5" x14ac:dyDescent="0.2">
      <c r="C662" s="10">
        <v>0</v>
      </c>
      <c r="E662">
        <f t="shared" si="12"/>
        <v>0</v>
      </c>
    </row>
    <row r="663" spans="3:5" x14ac:dyDescent="0.2">
      <c r="C663">
        <v>0</v>
      </c>
      <c r="E663">
        <f t="shared" si="12"/>
        <v>0</v>
      </c>
    </row>
    <row r="664" spans="3:5" x14ac:dyDescent="0.2">
      <c r="C664" s="10">
        <v>0</v>
      </c>
      <c r="E664">
        <f t="shared" si="12"/>
        <v>0</v>
      </c>
    </row>
    <row r="665" spans="3:5" x14ac:dyDescent="0.2">
      <c r="C665" s="10">
        <v>114</v>
      </c>
      <c r="E665">
        <f t="shared" si="12"/>
        <v>9.3061224489795916E-5</v>
      </c>
    </row>
    <row r="666" spans="3:5" x14ac:dyDescent="0.2">
      <c r="C666" s="10">
        <v>0</v>
      </c>
      <c r="E666">
        <f t="shared" si="12"/>
        <v>0</v>
      </c>
    </row>
    <row r="667" spans="3:5" x14ac:dyDescent="0.2">
      <c r="C667" s="10">
        <v>0</v>
      </c>
      <c r="E667">
        <f t="shared" si="12"/>
        <v>0</v>
      </c>
    </row>
    <row r="668" spans="3:5" x14ac:dyDescent="0.2">
      <c r="C668" s="10">
        <v>0</v>
      </c>
      <c r="E668">
        <f t="shared" si="12"/>
        <v>0</v>
      </c>
    </row>
    <row r="669" spans="3:5" x14ac:dyDescent="0.2">
      <c r="C669" s="10">
        <v>0</v>
      </c>
      <c r="E669">
        <f t="shared" si="12"/>
        <v>0</v>
      </c>
    </row>
    <row r="670" spans="3:5" x14ac:dyDescent="0.2">
      <c r="C670" s="10">
        <v>0</v>
      </c>
      <c r="E670">
        <f t="shared" si="12"/>
        <v>0</v>
      </c>
    </row>
    <row r="671" spans="3:5" x14ac:dyDescent="0.2">
      <c r="C671" s="10">
        <v>0</v>
      </c>
      <c r="E671">
        <f t="shared" si="12"/>
        <v>0</v>
      </c>
    </row>
    <row r="672" spans="3:5" x14ac:dyDescent="0.2">
      <c r="C672" s="10">
        <v>0</v>
      </c>
      <c r="E672">
        <f t="shared" si="12"/>
        <v>0</v>
      </c>
    </row>
    <row r="673" spans="3:5" x14ac:dyDescent="0.2">
      <c r="C673">
        <v>103</v>
      </c>
      <c r="E673">
        <f t="shared" si="12"/>
        <v>8.4081632653061215E-5</v>
      </c>
    </row>
    <row r="674" spans="3:5" x14ac:dyDescent="0.2">
      <c r="C674" s="10">
        <v>0</v>
      </c>
      <c r="E674">
        <f t="shared" si="12"/>
        <v>0</v>
      </c>
    </row>
    <row r="675" spans="3:5" x14ac:dyDescent="0.2">
      <c r="C675" s="10">
        <v>0</v>
      </c>
      <c r="E675">
        <f t="shared" si="12"/>
        <v>0</v>
      </c>
    </row>
    <row r="676" spans="3:5" x14ac:dyDescent="0.2">
      <c r="C676" s="10">
        <v>18.600000000000001</v>
      </c>
      <c r="E676">
        <f t="shared" si="12"/>
        <v>1.5183673469387756E-5</v>
      </c>
    </row>
    <row r="677" spans="3:5" x14ac:dyDescent="0.2">
      <c r="C677" s="10">
        <v>0</v>
      </c>
      <c r="E677">
        <f t="shared" si="12"/>
        <v>0</v>
      </c>
    </row>
    <row r="678" spans="3:5" x14ac:dyDescent="0.2">
      <c r="C678" s="10">
        <v>0</v>
      </c>
      <c r="E678">
        <f t="shared" si="12"/>
        <v>0</v>
      </c>
    </row>
    <row r="679" spans="3:5" x14ac:dyDescent="0.2">
      <c r="C679" s="10">
        <v>39.799999999999997</v>
      </c>
      <c r="E679">
        <f t="shared" si="12"/>
        <v>3.248979591836734E-5</v>
      </c>
    </row>
    <row r="680" spans="3:5" x14ac:dyDescent="0.2">
      <c r="C680" s="10">
        <v>0</v>
      </c>
      <c r="E680">
        <f t="shared" si="12"/>
        <v>0</v>
      </c>
    </row>
    <row r="681" spans="3:5" x14ac:dyDescent="0.2">
      <c r="C681" s="10">
        <v>0</v>
      </c>
      <c r="E681">
        <f t="shared" si="12"/>
        <v>0</v>
      </c>
    </row>
    <row r="682" spans="3:5" x14ac:dyDescent="0.2">
      <c r="C682" s="10">
        <v>0</v>
      </c>
      <c r="E682">
        <f t="shared" si="12"/>
        <v>0</v>
      </c>
    </row>
    <row r="683" spans="3:5" x14ac:dyDescent="0.2">
      <c r="C683" s="10">
        <v>0</v>
      </c>
      <c r="E683">
        <f t="shared" si="12"/>
        <v>0</v>
      </c>
    </row>
    <row r="684" spans="3:5" x14ac:dyDescent="0.2">
      <c r="C684" s="10">
        <v>0</v>
      </c>
      <c r="E684">
        <f t="shared" si="12"/>
        <v>0</v>
      </c>
    </row>
    <row r="685" spans="3:5" x14ac:dyDescent="0.2">
      <c r="C685" s="10">
        <v>35</v>
      </c>
      <c r="E685">
        <f t="shared" si="12"/>
        <v>2.8571428571428571E-5</v>
      </c>
    </row>
    <row r="686" spans="3:5" x14ac:dyDescent="0.2">
      <c r="C686" s="10">
        <v>0</v>
      </c>
      <c r="E686">
        <f t="shared" ref="E686:E700" si="13">C686/1000/1.225/1000</f>
        <v>0</v>
      </c>
    </row>
    <row r="687" spans="3:5" x14ac:dyDescent="0.2">
      <c r="C687" s="10">
        <v>0</v>
      </c>
      <c r="E687">
        <f t="shared" si="13"/>
        <v>0</v>
      </c>
    </row>
    <row r="688" spans="3:5" x14ac:dyDescent="0.2">
      <c r="C688" s="10">
        <v>10</v>
      </c>
      <c r="E688">
        <f t="shared" si="13"/>
        <v>8.1632653061224483E-6</v>
      </c>
    </row>
    <row r="689" spans="1:7" x14ac:dyDescent="0.2">
      <c r="C689">
        <v>0</v>
      </c>
      <c r="E689">
        <f t="shared" si="13"/>
        <v>0</v>
      </c>
    </row>
    <row r="690" spans="1:7" x14ac:dyDescent="0.2">
      <c r="C690" s="10">
        <v>0</v>
      </c>
      <c r="E690">
        <f t="shared" si="13"/>
        <v>0</v>
      </c>
    </row>
    <row r="691" spans="1:7" x14ac:dyDescent="0.2">
      <c r="C691" s="10">
        <v>14.4</v>
      </c>
      <c r="E691">
        <f t="shared" si="13"/>
        <v>1.1755102040816326E-5</v>
      </c>
    </row>
    <row r="692" spans="1:7" x14ac:dyDescent="0.2">
      <c r="C692" s="10">
        <v>0</v>
      </c>
      <c r="E692">
        <f t="shared" si="13"/>
        <v>0</v>
      </c>
    </row>
    <row r="693" spans="1:7" x14ac:dyDescent="0.2">
      <c r="C693" s="10">
        <v>0</v>
      </c>
      <c r="E693">
        <f t="shared" si="13"/>
        <v>0</v>
      </c>
    </row>
    <row r="694" spans="1:7" x14ac:dyDescent="0.2">
      <c r="C694" s="10">
        <v>5.74</v>
      </c>
      <c r="E694">
        <f t="shared" si="13"/>
        <v>4.685714285714285E-6</v>
      </c>
    </row>
    <row r="695" spans="1:7" x14ac:dyDescent="0.2">
      <c r="C695" s="10">
        <v>0</v>
      </c>
      <c r="E695">
        <f t="shared" si="13"/>
        <v>0</v>
      </c>
    </row>
    <row r="696" spans="1:7" x14ac:dyDescent="0.2">
      <c r="C696" s="10">
        <v>0</v>
      </c>
      <c r="E696">
        <f t="shared" si="13"/>
        <v>0</v>
      </c>
    </row>
    <row r="697" spans="1:7" x14ac:dyDescent="0.2">
      <c r="C697" s="10">
        <v>0</v>
      </c>
      <c r="E697">
        <f t="shared" si="13"/>
        <v>0</v>
      </c>
    </row>
    <row r="698" spans="1:7" x14ac:dyDescent="0.2">
      <c r="C698" s="10">
        <v>0</v>
      </c>
      <c r="E698">
        <f t="shared" si="13"/>
        <v>0</v>
      </c>
    </row>
    <row r="699" spans="1:7" x14ac:dyDescent="0.2">
      <c r="C699" s="10">
        <v>0</v>
      </c>
      <c r="E699">
        <f t="shared" si="13"/>
        <v>0</v>
      </c>
    </row>
    <row r="700" spans="1:7" x14ac:dyDescent="0.2">
      <c r="C700" s="10">
        <v>0</v>
      </c>
      <c r="E700">
        <f t="shared" si="13"/>
        <v>0</v>
      </c>
    </row>
    <row r="701" spans="1:7" x14ac:dyDescent="0.2">
      <c r="A701" t="s">
        <v>461</v>
      </c>
      <c r="B701">
        <v>2017</v>
      </c>
      <c r="C701">
        <v>0</v>
      </c>
      <c r="D701" t="s">
        <v>459</v>
      </c>
      <c r="E701">
        <f>C701/1.225/1000</f>
        <v>0</v>
      </c>
      <c r="G701" t="s">
        <v>468</v>
      </c>
    </row>
    <row r="702" spans="1:7" x14ac:dyDescent="0.2">
      <c r="C702">
        <v>0</v>
      </c>
      <c r="E702">
        <f t="shared" ref="E702:E766" si="14">C702/1.225/1000</f>
        <v>0</v>
      </c>
    </row>
    <row r="703" spans="1:7" x14ac:dyDescent="0.2">
      <c r="C703">
        <v>4.5</v>
      </c>
      <c r="E703">
        <f t="shared" si="14"/>
        <v>3.6734693877551019E-3</v>
      </c>
    </row>
    <row r="704" spans="1:7" x14ac:dyDescent="0.2">
      <c r="C704">
        <v>0.61</v>
      </c>
      <c r="E704">
        <f t="shared" si="14"/>
        <v>4.9795918367346941E-4</v>
      </c>
    </row>
    <row r="705" spans="3:5" x14ac:dyDescent="0.2">
      <c r="C705">
        <v>0</v>
      </c>
      <c r="E705">
        <f t="shared" si="14"/>
        <v>0</v>
      </c>
    </row>
    <row r="706" spans="3:5" x14ac:dyDescent="0.2">
      <c r="C706">
        <v>0</v>
      </c>
      <c r="E706">
        <f t="shared" si="14"/>
        <v>0</v>
      </c>
    </row>
    <row r="707" spans="3:5" x14ac:dyDescent="0.2">
      <c r="C707">
        <v>0.18</v>
      </c>
      <c r="E707">
        <f t="shared" si="14"/>
        <v>1.4693877551020406E-4</v>
      </c>
    </row>
    <row r="708" spans="3:5" x14ac:dyDescent="0.2">
      <c r="C708">
        <v>0.01</v>
      </c>
      <c r="E708">
        <f t="shared" si="14"/>
        <v>8.1632653061224483E-6</v>
      </c>
    </row>
    <row r="709" spans="3:5" x14ac:dyDescent="0.2">
      <c r="C709">
        <v>0.52</v>
      </c>
      <c r="E709">
        <f t="shared" si="14"/>
        <v>4.2448979591836735E-4</v>
      </c>
    </row>
    <row r="710" spans="3:5" x14ac:dyDescent="0.2">
      <c r="C710">
        <v>0.05</v>
      </c>
      <c r="E710">
        <f t="shared" si="14"/>
        <v>4.0816326530612238E-5</v>
      </c>
    </row>
    <row r="711" spans="3:5" x14ac:dyDescent="0.2">
      <c r="C711">
        <v>2.3199999999999998</v>
      </c>
      <c r="E711">
        <f t="shared" si="14"/>
        <v>1.8938775510204081E-3</v>
      </c>
    </row>
    <row r="712" spans="3:5" x14ac:dyDescent="0.2">
      <c r="C712">
        <v>0.13</v>
      </c>
      <c r="E712">
        <f t="shared" si="14"/>
        <v>1.0612244897959184E-4</v>
      </c>
    </row>
    <row r="713" spans="3:5" x14ac:dyDescent="0.2">
      <c r="C713">
        <v>0.28999999999999998</v>
      </c>
      <c r="E713">
        <f t="shared" si="14"/>
        <v>2.3673469387755101E-4</v>
      </c>
    </row>
    <row r="714" spans="3:5" x14ac:dyDescent="0.2">
      <c r="C714">
        <v>0.02</v>
      </c>
      <c r="E714">
        <f t="shared" si="14"/>
        <v>1.6326530612244897E-5</v>
      </c>
    </row>
    <row r="715" spans="3:5" x14ac:dyDescent="0.2">
      <c r="C715">
        <v>0.9</v>
      </c>
      <c r="E715">
        <f t="shared" si="14"/>
        <v>7.3469387755102037E-4</v>
      </c>
    </row>
    <row r="716" spans="3:5" x14ac:dyDescent="0.2">
      <c r="C716">
        <v>0.09</v>
      </c>
      <c r="E716">
        <f t="shared" si="14"/>
        <v>7.3469387755102032E-5</v>
      </c>
    </row>
    <row r="717" spans="3:5" x14ac:dyDescent="0.2">
      <c r="C717">
        <v>0</v>
      </c>
      <c r="E717">
        <f t="shared" si="14"/>
        <v>0</v>
      </c>
    </row>
    <row r="718" spans="3:5" x14ac:dyDescent="0.2">
      <c r="C718">
        <v>0</v>
      </c>
      <c r="E718">
        <f t="shared" si="14"/>
        <v>0</v>
      </c>
    </row>
    <row r="719" spans="3:5" x14ac:dyDescent="0.2">
      <c r="C719">
        <v>0</v>
      </c>
      <c r="E719">
        <f t="shared" si="14"/>
        <v>0</v>
      </c>
    </row>
    <row r="720" spans="3:5" x14ac:dyDescent="0.2">
      <c r="C720">
        <v>0</v>
      </c>
      <c r="E720">
        <f t="shared" si="14"/>
        <v>0</v>
      </c>
    </row>
    <row r="721" spans="3:5" x14ac:dyDescent="0.2">
      <c r="C721">
        <v>0</v>
      </c>
      <c r="E721">
        <f t="shared" si="14"/>
        <v>0</v>
      </c>
    </row>
    <row r="722" spans="3:5" x14ac:dyDescent="0.2">
      <c r="C722">
        <v>0</v>
      </c>
      <c r="E722">
        <f t="shared" si="14"/>
        <v>0</v>
      </c>
    </row>
    <row r="723" spans="3:5" x14ac:dyDescent="0.2">
      <c r="C723">
        <v>0</v>
      </c>
      <c r="E723">
        <f t="shared" si="14"/>
        <v>0</v>
      </c>
    </row>
    <row r="724" spans="3:5" x14ac:dyDescent="0.2">
      <c r="C724">
        <v>0</v>
      </c>
      <c r="E724">
        <f t="shared" si="14"/>
        <v>0</v>
      </c>
    </row>
    <row r="725" spans="3:5" x14ac:dyDescent="0.2">
      <c r="C725">
        <v>1.8</v>
      </c>
      <c r="E725">
        <f t="shared" si="14"/>
        <v>1.4693877551020407E-3</v>
      </c>
    </row>
    <row r="726" spans="3:5" x14ac:dyDescent="0.2">
      <c r="C726">
        <v>0</v>
      </c>
      <c r="E726">
        <f t="shared" si="14"/>
        <v>0</v>
      </c>
    </row>
    <row r="727" spans="3:5" x14ac:dyDescent="0.2">
      <c r="C727">
        <v>4.93</v>
      </c>
      <c r="E727">
        <f t="shared" si="14"/>
        <v>4.0244897959183668E-3</v>
      </c>
    </row>
    <row r="728" spans="3:5" x14ac:dyDescent="0.2">
      <c r="C728">
        <v>0.6</v>
      </c>
      <c r="E728">
        <f t="shared" si="14"/>
        <v>4.8979591836734691E-4</v>
      </c>
    </row>
    <row r="729" spans="3:5" x14ac:dyDescent="0.2">
      <c r="C729">
        <v>0.36</v>
      </c>
      <c r="E729">
        <f t="shared" si="14"/>
        <v>2.9387755102040813E-4</v>
      </c>
    </row>
    <row r="730" spans="3:5" x14ac:dyDescent="0.2">
      <c r="C730">
        <v>0</v>
      </c>
      <c r="E730">
        <f t="shared" si="14"/>
        <v>0</v>
      </c>
    </row>
    <row r="731" spans="3:5" x14ac:dyDescent="0.2">
      <c r="C731">
        <v>1.29</v>
      </c>
      <c r="E731">
        <f t="shared" si="14"/>
        <v>1.053061224489796E-3</v>
      </c>
    </row>
    <row r="732" spans="3:5" x14ac:dyDescent="0.2">
      <c r="C732">
        <v>0.22</v>
      </c>
      <c r="E732">
        <f t="shared" si="14"/>
        <v>1.7959183673469387E-4</v>
      </c>
    </row>
    <row r="733" spans="3:5" x14ac:dyDescent="0.2">
      <c r="C733">
        <v>0.44</v>
      </c>
      <c r="E733">
        <f t="shared" si="14"/>
        <v>3.5918367346938774E-4</v>
      </c>
    </row>
    <row r="734" spans="3:5" x14ac:dyDescent="0.2">
      <c r="C734">
        <v>0.02</v>
      </c>
      <c r="E734">
        <f t="shared" si="14"/>
        <v>1.6326530612244897E-5</v>
      </c>
    </row>
    <row r="735" spans="3:5" x14ac:dyDescent="0.2">
      <c r="C735">
        <v>2.17</v>
      </c>
      <c r="E735">
        <f t="shared" si="14"/>
        <v>1.7714285714285714E-3</v>
      </c>
    </row>
    <row r="736" spans="3:5" x14ac:dyDescent="0.2">
      <c r="C736">
        <v>0.39</v>
      </c>
      <c r="E736">
        <f t="shared" si="14"/>
        <v>3.1836734693877552E-4</v>
      </c>
    </row>
    <row r="737" spans="3:5" x14ac:dyDescent="0.2">
      <c r="C737">
        <v>0.46</v>
      </c>
      <c r="E737">
        <f t="shared" si="14"/>
        <v>3.7551020408163268E-4</v>
      </c>
    </row>
    <row r="738" spans="3:5" x14ac:dyDescent="0.2">
      <c r="C738">
        <v>0.01</v>
      </c>
      <c r="E738">
        <f t="shared" si="14"/>
        <v>8.1632653061224483E-6</v>
      </c>
    </row>
    <row r="739" spans="3:5" x14ac:dyDescent="0.2">
      <c r="C739">
        <v>1.1000000000000001</v>
      </c>
      <c r="E739">
        <f t="shared" si="14"/>
        <v>8.9795918367346938E-4</v>
      </c>
    </row>
    <row r="740" spans="3:5" x14ac:dyDescent="0.2">
      <c r="C740">
        <v>0.05</v>
      </c>
      <c r="E740">
        <f t="shared" si="14"/>
        <v>4.0816326530612238E-5</v>
      </c>
    </row>
    <row r="741" spans="3:5" x14ac:dyDescent="0.2">
      <c r="C741">
        <v>0</v>
      </c>
      <c r="E741">
        <f t="shared" si="14"/>
        <v>0</v>
      </c>
    </row>
    <row r="742" spans="3:5" x14ac:dyDescent="0.2">
      <c r="C742">
        <v>0</v>
      </c>
      <c r="E742">
        <f t="shared" si="14"/>
        <v>0</v>
      </c>
    </row>
    <row r="743" spans="3:5" x14ac:dyDescent="0.2">
      <c r="C743">
        <v>0</v>
      </c>
      <c r="E743">
        <f t="shared" si="14"/>
        <v>0</v>
      </c>
    </row>
    <row r="744" spans="3:5" x14ac:dyDescent="0.2">
      <c r="C744">
        <v>0</v>
      </c>
      <c r="E744">
        <f t="shared" si="14"/>
        <v>0</v>
      </c>
    </row>
    <row r="745" spans="3:5" x14ac:dyDescent="0.2">
      <c r="C745">
        <v>0</v>
      </c>
      <c r="E745">
        <f t="shared" si="14"/>
        <v>0</v>
      </c>
    </row>
    <row r="746" spans="3:5" x14ac:dyDescent="0.2">
      <c r="C746">
        <v>0</v>
      </c>
      <c r="E746">
        <f t="shared" si="14"/>
        <v>0</v>
      </c>
    </row>
    <row r="747" spans="3:5" x14ac:dyDescent="0.2">
      <c r="C747">
        <v>0</v>
      </c>
      <c r="E747">
        <f t="shared" si="14"/>
        <v>0</v>
      </c>
    </row>
    <row r="748" spans="3:5" x14ac:dyDescent="0.2">
      <c r="C748">
        <v>0</v>
      </c>
      <c r="E748">
        <f t="shared" si="14"/>
        <v>0</v>
      </c>
    </row>
    <row r="749" spans="3:5" x14ac:dyDescent="0.2">
      <c r="C749">
        <v>0.47</v>
      </c>
      <c r="E749">
        <f t="shared" si="14"/>
        <v>3.8367346938775502E-4</v>
      </c>
    </row>
    <row r="750" spans="3:5" x14ac:dyDescent="0.2">
      <c r="C750">
        <v>0.05</v>
      </c>
      <c r="E750">
        <f t="shared" si="14"/>
        <v>4.0816326530612238E-5</v>
      </c>
    </row>
    <row r="751" spans="3:5" x14ac:dyDescent="0.2">
      <c r="C751">
        <v>1.22</v>
      </c>
      <c r="E751">
        <f t="shared" si="14"/>
        <v>9.9591836734693883E-4</v>
      </c>
    </row>
    <row r="752" spans="3:5" x14ac:dyDescent="0.2">
      <c r="C752">
        <v>0.09</v>
      </c>
      <c r="E752">
        <f t="shared" si="14"/>
        <v>7.3469387755102032E-5</v>
      </c>
    </row>
    <row r="753" spans="3:5" x14ac:dyDescent="0.2">
      <c r="C753">
        <v>0.21</v>
      </c>
      <c r="E753">
        <f t="shared" si="14"/>
        <v>1.714285714285714E-4</v>
      </c>
    </row>
    <row r="754" spans="3:5" x14ac:dyDescent="0.2">
      <c r="C754">
        <v>0.03</v>
      </c>
      <c r="E754">
        <f t="shared" si="14"/>
        <v>2.4489795918367345E-5</v>
      </c>
    </row>
    <row r="755" spans="3:5" x14ac:dyDescent="0.2">
      <c r="C755">
        <v>0.87</v>
      </c>
      <c r="E755">
        <f t="shared" si="14"/>
        <v>7.1020408163265298E-4</v>
      </c>
    </row>
    <row r="756" spans="3:5" x14ac:dyDescent="0.2">
      <c r="C756">
        <v>0.04</v>
      </c>
      <c r="E756">
        <f t="shared" si="14"/>
        <v>3.2653061224489793E-5</v>
      </c>
    </row>
    <row r="757" spans="3:5" x14ac:dyDescent="0.2">
      <c r="C757">
        <v>0.44</v>
      </c>
      <c r="E757">
        <f t="shared" si="14"/>
        <v>3.5918367346938774E-4</v>
      </c>
    </row>
    <row r="758" spans="3:5" x14ac:dyDescent="0.2">
      <c r="C758">
        <v>0.04</v>
      </c>
      <c r="E758">
        <f t="shared" si="14"/>
        <v>3.2653061224489793E-5</v>
      </c>
    </row>
    <row r="759" spans="3:5" x14ac:dyDescent="0.2">
      <c r="C759">
        <v>1.78</v>
      </c>
      <c r="E759">
        <f t="shared" si="14"/>
        <v>1.4530612244897957E-3</v>
      </c>
    </row>
    <row r="760" spans="3:5" x14ac:dyDescent="0.2">
      <c r="C760">
        <v>0.15</v>
      </c>
      <c r="E760">
        <f t="shared" si="14"/>
        <v>1.2244897959183673E-4</v>
      </c>
    </row>
    <row r="761" spans="3:5" x14ac:dyDescent="0.2">
      <c r="C761">
        <v>0.27</v>
      </c>
      <c r="E761">
        <f t="shared" si="14"/>
        <v>2.2040816326530612E-4</v>
      </c>
    </row>
    <row r="762" spans="3:5" x14ac:dyDescent="0.2">
      <c r="C762">
        <v>0.01</v>
      </c>
      <c r="E762">
        <f t="shared" si="14"/>
        <v>8.1632653061224483E-6</v>
      </c>
    </row>
    <row r="763" spans="3:5" x14ac:dyDescent="0.2">
      <c r="C763">
        <v>1.55</v>
      </c>
      <c r="E763">
        <f t="shared" si="14"/>
        <v>1.2653061224489795E-3</v>
      </c>
    </row>
    <row r="764" spans="3:5" x14ac:dyDescent="0.2">
      <c r="C764">
        <v>0.17</v>
      </c>
      <c r="E764">
        <f t="shared" si="14"/>
        <v>1.3877551020408162E-4</v>
      </c>
    </row>
    <row r="765" spans="3:5" x14ac:dyDescent="0.2">
      <c r="C765">
        <v>0</v>
      </c>
      <c r="E765">
        <f>C765/1.225/1000</f>
        <v>0</v>
      </c>
    </row>
    <row r="766" spans="3:5" x14ac:dyDescent="0.2">
      <c r="C766">
        <v>0</v>
      </c>
      <c r="E766">
        <f t="shared" si="14"/>
        <v>0</v>
      </c>
    </row>
    <row r="767" spans="3:5" x14ac:dyDescent="0.2">
      <c r="C767">
        <v>0</v>
      </c>
      <c r="E767">
        <f t="shared" ref="E767:E780" si="15">C767/1.225/1000</f>
        <v>0</v>
      </c>
    </row>
    <row r="768" spans="3:5" x14ac:dyDescent="0.2">
      <c r="C768">
        <v>0</v>
      </c>
      <c r="E768">
        <f t="shared" si="15"/>
        <v>0</v>
      </c>
    </row>
    <row r="769" spans="3:5" x14ac:dyDescent="0.2">
      <c r="C769">
        <v>0</v>
      </c>
      <c r="E769">
        <f t="shared" si="15"/>
        <v>0</v>
      </c>
    </row>
    <row r="770" spans="3:5" x14ac:dyDescent="0.2">
      <c r="C770">
        <v>0</v>
      </c>
      <c r="E770">
        <f t="shared" si="15"/>
        <v>0</v>
      </c>
    </row>
    <row r="771" spans="3:5" x14ac:dyDescent="0.2">
      <c r="C771">
        <v>0</v>
      </c>
      <c r="E771">
        <f t="shared" si="15"/>
        <v>0</v>
      </c>
    </row>
    <row r="772" spans="3:5" x14ac:dyDescent="0.2">
      <c r="C772">
        <v>0</v>
      </c>
      <c r="E772">
        <f t="shared" si="15"/>
        <v>0</v>
      </c>
    </row>
    <row r="773" spans="3:5" x14ac:dyDescent="0.2">
      <c r="C773">
        <v>0</v>
      </c>
      <c r="E773">
        <f t="shared" si="15"/>
        <v>0</v>
      </c>
    </row>
    <row r="774" spans="3:5" x14ac:dyDescent="0.2">
      <c r="C774">
        <v>0</v>
      </c>
      <c r="E774">
        <f t="shared" si="15"/>
        <v>0</v>
      </c>
    </row>
    <row r="775" spans="3:5" x14ac:dyDescent="0.2">
      <c r="C775">
        <v>0</v>
      </c>
      <c r="E775">
        <f t="shared" si="15"/>
        <v>0</v>
      </c>
    </row>
    <row r="776" spans="3:5" x14ac:dyDescent="0.2">
      <c r="C776">
        <v>0</v>
      </c>
      <c r="E776">
        <f t="shared" si="15"/>
        <v>0</v>
      </c>
    </row>
    <row r="777" spans="3:5" x14ac:dyDescent="0.2">
      <c r="C777">
        <v>0</v>
      </c>
      <c r="E777">
        <f t="shared" si="15"/>
        <v>0</v>
      </c>
    </row>
    <row r="778" spans="3:5" x14ac:dyDescent="0.2">
      <c r="C778">
        <v>0</v>
      </c>
      <c r="E778">
        <f t="shared" si="15"/>
        <v>0</v>
      </c>
    </row>
    <row r="779" spans="3:5" x14ac:dyDescent="0.2">
      <c r="C779">
        <v>0.75</v>
      </c>
      <c r="E779">
        <f t="shared" si="15"/>
        <v>6.1224489795918353E-4</v>
      </c>
    </row>
    <row r="780" spans="3:5" x14ac:dyDescent="0.2">
      <c r="C780">
        <v>0.11</v>
      </c>
      <c r="E780">
        <f t="shared" si="15"/>
        <v>8.9795918367346935E-5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E7CB-8783-8A4F-AE23-22B319416ED6}">
  <dimension ref="A1:A780"/>
  <sheetViews>
    <sheetView workbookViewId="0">
      <selection activeCell="Q37" sqref="Q37"/>
    </sheetView>
  </sheetViews>
  <sheetFormatPr baseColWidth="10" defaultRowHeight="16" x14ac:dyDescent="0.2"/>
  <sheetData>
    <row r="1" spans="1:1" x14ac:dyDescent="0.2">
      <c r="A1" t="s">
        <v>44</v>
      </c>
    </row>
    <row r="2" spans="1:1" x14ac:dyDescent="0.2">
      <c r="A2">
        <v>1.3469387755102042E-4</v>
      </c>
    </row>
    <row r="3" spans="1:1" x14ac:dyDescent="0.2">
      <c r="A3">
        <v>0</v>
      </c>
    </row>
    <row r="4" spans="1:1" x14ac:dyDescent="0.2">
      <c r="A4">
        <v>2.6122448979591835E-5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1.1183673469387754E-4</v>
      </c>
    </row>
    <row r="9" spans="1:1" x14ac:dyDescent="0.2">
      <c r="A9">
        <v>5.63265306122449E-5</v>
      </c>
    </row>
    <row r="10" spans="1:1" x14ac:dyDescent="0.2">
      <c r="A10">
        <v>9.0612244897959177E-5</v>
      </c>
    </row>
    <row r="11" spans="1:1" x14ac:dyDescent="0.2">
      <c r="A11">
        <v>0</v>
      </c>
    </row>
    <row r="12" spans="1:1" x14ac:dyDescent="0.2">
      <c r="A12">
        <v>1.7959183673469384E-5</v>
      </c>
    </row>
    <row r="13" spans="1:1" x14ac:dyDescent="0.2">
      <c r="A13">
        <v>2.6938775510204081E-5</v>
      </c>
    </row>
    <row r="14" spans="1:1" x14ac:dyDescent="0.2">
      <c r="A14">
        <v>1.3387755102040817E-4</v>
      </c>
    </row>
    <row r="15" spans="1:1" x14ac:dyDescent="0.2">
      <c r="A15">
        <v>3.0204081632653057E-4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1.0612244897959182E-5</v>
      </c>
    </row>
    <row r="21" spans="1:1" x14ac:dyDescent="0.2">
      <c r="A21">
        <v>0</v>
      </c>
    </row>
    <row r="22" spans="1:1" x14ac:dyDescent="0.2">
      <c r="A22">
        <v>1.6326530612244899E-2</v>
      </c>
    </row>
    <row r="23" spans="1:1" x14ac:dyDescent="0.2">
      <c r="A23">
        <v>1.9591836734693873E-2</v>
      </c>
    </row>
    <row r="24" spans="1:1" x14ac:dyDescent="0.2">
      <c r="A24">
        <v>1.7959183673469388E-2</v>
      </c>
    </row>
    <row r="25" spans="1:1" x14ac:dyDescent="0.2">
      <c r="A25">
        <v>3.1020408163265303E-2</v>
      </c>
    </row>
    <row r="26" spans="1:1" x14ac:dyDescent="0.2">
      <c r="A26">
        <v>4.3265306122448974E-3</v>
      </c>
    </row>
    <row r="27" spans="1:1" x14ac:dyDescent="0.2">
      <c r="A27">
        <v>5.877551020408163E-3</v>
      </c>
    </row>
    <row r="28" spans="1:1" x14ac:dyDescent="0.2">
      <c r="A28">
        <v>6.8571428571428559E-4</v>
      </c>
    </row>
    <row r="29" spans="1:1" x14ac:dyDescent="0.2">
      <c r="A29">
        <v>1.0612244897959183E-2</v>
      </c>
    </row>
    <row r="30" spans="1:1" x14ac:dyDescent="0.2">
      <c r="A30">
        <v>2.6122448979591832E-3</v>
      </c>
    </row>
    <row r="31" spans="1:1" x14ac:dyDescent="0.2">
      <c r="A31">
        <v>1.0612244897959183E-2</v>
      </c>
    </row>
    <row r="32" spans="1:1" x14ac:dyDescent="0.2">
      <c r="A32">
        <v>2.4489795918367341E-3</v>
      </c>
    </row>
    <row r="33" spans="1:1" x14ac:dyDescent="0.2">
      <c r="A33">
        <v>3.5918367346938775E-3</v>
      </c>
    </row>
    <row r="34" spans="1:1" x14ac:dyDescent="0.2">
      <c r="A34">
        <v>4.8163265306122441E-4</v>
      </c>
    </row>
    <row r="35" spans="1:1" x14ac:dyDescent="0.2">
      <c r="A35">
        <v>6.2040816326530603E-3</v>
      </c>
    </row>
    <row r="36" spans="1:1" x14ac:dyDescent="0.2">
      <c r="A36">
        <v>1.1673469387755099E-3</v>
      </c>
    </row>
    <row r="37" spans="1:1" x14ac:dyDescent="0.2">
      <c r="A37">
        <v>1.5673469387755101E-3</v>
      </c>
    </row>
    <row r="38" spans="1:1" x14ac:dyDescent="0.2">
      <c r="A38">
        <v>1.1428571428571427E-2</v>
      </c>
    </row>
    <row r="39" spans="1:1" x14ac:dyDescent="0.2">
      <c r="A39">
        <v>2.2857142857142854E-2</v>
      </c>
    </row>
    <row r="40" spans="1:1" x14ac:dyDescent="0.2">
      <c r="A40">
        <v>4.7346938775510205E-3</v>
      </c>
    </row>
    <row r="41" spans="1:1" x14ac:dyDescent="0.2">
      <c r="A41">
        <v>4.4081632653061219E-2</v>
      </c>
    </row>
    <row r="42" spans="1:1" x14ac:dyDescent="0.2">
      <c r="A42">
        <v>4.7346938775510205E-3</v>
      </c>
    </row>
    <row r="43" spans="1:1" x14ac:dyDescent="0.2">
      <c r="A43">
        <v>4.4081632653061219E-2</v>
      </c>
    </row>
    <row r="44" spans="1:1" x14ac:dyDescent="0.2">
      <c r="A44">
        <v>6.0408163265306116E-3</v>
      </c>
    </row>
    <row r="45" spans="1:1" x14ac:dyDescent="0.2">
      <c r="A45">
        <v>6.1224489795918364E-3</v>
      </c>
    </row>
    <row r="46" spans="1:1" x14ac:dyDescent="0.2">
      <c r="A46">
        <v>2.2040816326530611E-3</v>
      </c>
    </row>
    <row r="47" spans="1:1" x14ac:dyDescent="0.2">
      <c r="A47">
        <v>6.1224489795918364E-3</v>
      </c>
    </row>
    <row r="48" spans="1:1" x14ac:dyDescent="0.2">
      <c r="A48">
        <v>2.1224489795918365E-2</v>
      </c>
    </row>
    <row r="49" spans="1:1" x14ac:dyDescent="0.2">
      <c r="A49">
        <v>3.1020408163265303E-2</v>
      </c>
    </row>
    <row r="50" spans="1:1" x14ac:dyDescent="0.2">
      <c r="A50">
        <v>9.7959183673469383E-4</v>
      </c>
    </row>
    <row r="51" spans="1:1" x14ac:dyDescent="0.2">
      <c r="A51">
        <v>1.1265306122448979E-2</v>
      </c>
    </row>
    <row r="52" spans="1:1" x14ac:dyDescent="0.2">
      <c r="A52">
        <v>8.4081632653061223E-3</v>
      </c>
    </row>
    <row r="53" spans="1:1" x14ac:dyDescent="0.2">
      <c r="A53">
        <v>3.4285714285714287E-2</v>
      </c>
    </row>
    <row r="54" spans="1:1" x14ac:dyDescent="0.2">
      <c r="A54">
        <v>5.877551020408163E-3</v>
      </c>
    </row>
    <row r="55" spans="1:1" x14ac:dyDescent="0.2">
      <c r="A55">
        <v>3.1020408163265303E-2</v>
      </c>
    </row>
    <row r="56" spans="1:1" x14ac:dyDescent="0.2">
      <c r="A56">
        <v>4.8979591836734683E-3</v>
      </c>
    </row>
    <row r="57" spans="1:1" x14ac:dyDescent="0.2">
      <c r="A57">
        <v>8.8979591836734692E-3</v>
      </c>
    </row>
    <row r="58" spans="1:1" x14ac:dyDescent="0.2">
      <c r="A58">
        <v>2.8571428571428567E-3</v>
      </c>
    </row>
    <row r="59" spans="1:1" x14ac:dyDescent="0.2">
      <c r="A59">
        <v>1.7142857142857144E-2</v>
      </c>
    </row>
    <row r="60" spans="1:1" x14ac:dyDescent="0.2">
      <c r="A60">
        <v>4.6530612244897957E-3</v>
      </c>
    </row>
    <row r="61" spans="1:1" x14ac:dyDescent="0.2">
      <c r="A61">
        <v>8.0816326530612232E-3</v>
      </c>
    </row>
    <row r="62" spans="1:1" x14ac:dyDescent="0.2">
      <c r="A62">
        <v>2.3673469387755102E-3</v>
      </c>
    </row>
    <row r="63" spans="1:1" x14ac:dyDescent="0.2">
      <c r="A63">
        <v>9.3061224489795914E-3</v>
      </c>
    </row>
    <row r="64" spans="1:1" x14ac:dyDescent="0.2">
      <c r="A64">
        <v>8.4081632653061223E-3</v>
      </c>
    </row>
    <row r="65" spans="1:1" x14ac:dyDescent="0.2">
      <c r="A65">
        <v>1.6326530612244899E-2</v>
      </c>
    </row>
    <row r="66" spans="1:1" x14ac:dyDescent="0.2">
      <c r="A66">
        <v>5.2244897959183665E-3</v>
      </c>
    </row>
    <row r="67" spans="1:1" x14ac:dyDescent="0.2">
      <c r="A67">
        <v>9.9591836734693861E-3</v>
      </c>
    </row>
    <row r="68" spans="1:1" x14ac:dyDescent="0.2">
      <c r="A68">
        <v>9.9591836734693861E-3</v>
      </c>
    </row>
    <row r="69" spans="1:1" x14ac:dyDescent="0.2">
      <c r="A69">
        <v>1.4285714285714285E-2</v>
      </c>
    </row>
    <row r="70" spans="1:1" x14ac:dyDescent="0.2">
      <c r="A70">
        <v>2.0408163265306124E-3</v>
      </c>
    </row>
    <row r="71" spans="1:1" x14ac:dyDescent="0.2">
      <c r="A71">
        <v>2.2040816326530611E-3</v>
      </c>
    </row>
    <row r="72" spans="1:1" x14ac:dyDescent="0.2">
      <c r="A72">
        <v>2.3673469387755102E-3</v>
      </c>
    </row>
    <row r="73" spans="1:1" x14ac:dyDescent="0.2">
      <c r="A73">
        <v>3.6734693877551019E-3</v>
      </c>
    </row>
    <row r="74" spans="1:1" x14ac:dyDescent="0.2">
      <c r="A74">
        <v>8.0816326530612232E-4</v>
      </c>
    </row>
    <row r="75" spans="1:1" x14ac:dyDescent="0.2">
      <c r="A75">
        <v>2.2857142857142855E-3</v>
      </c>
    </row>
    <row r="76" spans="1:1" x14ac:dyDescent="0.2">
      <c r="A76">
        <v>2.0408163265306124E-3</v>
      </c>
    </row>
    <row r="77" spans="1:1" x14ac:dyDescent="0.2">
      <c r="A77">
        <v>4.2448979591836735E-3</v>
      </c>
    </row>
    <row r="78" spans="1:1" x14ac:dyDescent="0.2">
      <c r="A78">
        <v>6.285714285714286E-3</v>
      </c>
    </row>
    <row r="79" spans="1:1" x14ac:dyDescent="0.2">
      <c r="A79">
        <v>1.0285714285714285E-2</v>
      </c>
    </row>
    <row r="80" spans="1:1" x14ac:dyDescent="0.2">
      <c r="A80">
        <v>3.5918367346938775E-3</v>
      </c>
    </row>
    <row r="81" spans="1:1" x14ac:dyDescent="0.2">
      <c r="A81">
        <v>7.6734693877551019E-3</v>
      </c>
    </row>
    <row r="82" spans="1:1" x14ac:dyDescent="0.2">
      <c r="A82">
        <v>1.3061224489795916E-3</v>
      </c>
    </row>
    <row r="83" spans="1:1" x14ac:dyDescent="0.2">
      <c r="A83">
        <v>1.6326530612244896E-3</v>
      </c>
    </row>
    <row r="84" spans="1:1" x14ac:dyDescent="0.2">
      <c r="A84">
        <v>4.0816326530612249E-3</v>
      </c>
    </row>
    <row r="85" spans="1:1" x14ac:dyDescent="0.2">
      <c r="A85">
        <v>1.0367346938775508E-2</v>
      </c>
    </row>
    <row r="86" spans="1:1" x14ac:dyDescent="0.2">
      <c r="A86">
        <v>4.0816326530612238E-5</v>
      </c>
    </row>
    <row r="87" spans="1:1" x14ac:dyDescent="0.2">
      <c r="A87">
        <v>2.5306122448979589E-3</v>
      </c>
    </row>
    <row r="88" spans="1:1" x14ac:dyDescent="0.2">
      <c r="A88">
        <v>2.1224489795918368E-4</v>
      </c>
    </row>
    <row r="89" spans="1:1" x14ac:dyDescent="0.2">
      <c r="A89">
        <v>2.4489795918367341E-3</v>
      </c>
    </row>
    <row r="90" spans="1:1" x14ac:dyDescent="0.2">
      <c r="A90">
        <v>1.6326530612244897E-5</v>
      </c>
    </row>
    <row r="91" spans="1:1" x14ac:dyDescent="0.2">
      <c r="A91">
        <v>6.8571428571428559E-4</v>
      </c>
    </row>
    <row r="92" spans="1:1" x14ac:dyDescent="0.2">
      <c r="A92">
        <v>4.0816326530612238E-5</v>
      </c>
    </row>
    <row r="93" spans="1:1" x14ac:dyDescent="0.2">
      <c r="A93">
        <v>4.7836734693877548E-3</v>
      </c>
    </row>
    <row r="94" spans="1:1" x14ac:dyDescent="0.2">
      <c r="A94">
        <v>4.6530612244897952E-4</v>
      </c>
    </row>
    <row r="95" spans="1:1" x14ac:dyDescent="0.2">
      <c r="A95">
        <v>2.1224489795918368E-3</v>
      </c>
    </row>
    <row r="96" spans="1:1" x14ac:dyDescent="0.2">
      <c r="A96">
        <v>8.1632653061224477E-5</v>
      </c>
    </row>
    <row r="97" spans="1:1" x14ac:dyDescent="0.2">
      <c r="A97">
        <v>1.1428571428571428E-4</v>
      </c>
    </row>
    <row r="98" spans="1:1" x14ac:dyDescent="0.2">
      <c r="A98">
        <v>1.2244897959183673E-4</v>
      </c>
    </row>
    <row r="99" spans="1:1" x14ac:dyDescent="0.2">
      <c r="A99">
        <v>4.0000000000000001E-3</v>
      </c>
    </row>
    <row r="100" spans="1:1" x14ac:dyDescent="0.2">
      <c r="A100">
        <v>5.7142857142857142E-5</v>
      </c>
    </row>
    <row r="101" spans="1:1" x14ac:dyDescent="0.2">
      <c r="A101">
        <v>1.3877551020408162E-4</v>
      </c>
    </row>
    <row r="102" spans="1:1" x14ac:dyDescent="0.2">
      <c r="A102">
        <v>9.795918367346938E-5</v>
      </c>
    </row>
    <row r="103" spans="1:1" x14ac:dyDescent="0.2">
      <c r="A103">
        <v>4.489795918367347E-3</v>
      </c>
    </row>
    <row r="104" spans="1:1" x14ac:dyDescent="0.2">
      <c r="A104">
        <v>3.2653061224489793E-5</v>
      </c>
    </row>
    <row r="105" spans="1:1" x14ac:dyDescent="0.2">
      <c r="A105">
        <v>4.0816326530612238E-5</v>
      </c>
    </row>
    <row r="106" spans="1:1" x14ac:dyDescent="0.2">
      <c r="A106">
        <v>4.897959183673469E-5</v>
      </c>
    </row>
    <row r="107" spans="1:1" x14ac:dyDescent="0.2">
      <c r="A107">
        <v>3.428571428571428E-4</v>
      </c>
    </row>
    <row r="108" spans="1:1" x14ac:dyDescent="0.2">
      <c r="A108">
        <v>5.7142857142857142E-5</v>
      </c>
    </row>
    <row r="109" spans="1:1" x14ac:dyDescent="0.2">
      <c r="A109">
        <v>4.6530612244897952E-4</v>
      </c>
    </row>
    <row r="110" spans="1:1" x14ac:dyDescent="0.2">
      <c r="A110">
        <v>3.2653061224489793E-5</v>
      </c>
    </row>
    <row r="111" spans="1:1" x14ac:dyDescent="0.2">
      <c r="A111">
        <v>6.5306122448979587E-5</v>
      </c>
    </row>
    <row r="112" spans="1:1" x14ac:dyDescent="0.2">
      <c r="A112">
        <v>8.1632653061224483E-6</v>
      </c>
    </row>
    <row r="113" spans="1:1" x14ac:dyDescent="0.2">
      <c r="A113">
        <v>3.2653061224489793E-5</v>
      </c>
    </row>
    <row r="114" spans="1:1" x14ac:dyDescent="0.2">
      <c r="A114">
        <v>1.6326530612244895E-4</v>
      </c>
    </row>
    <row r="115" spans="1:1" x14ac:dyDescent="0.2">
      <c r="A115">
        <v>4.0000000000000001E-3</v>
      </c>
    </row>
    <row r="116" spans="1:1" x14ac:dyDescent="0.2">
      <c r="A116">
        <v>5.0612244897959178E-3</v>
      </c>
    </row>
    <row r="117" spans="1:1" x14ac:dyDescent="0.2">
      <c r="A117">
        <v>5.7959183673469382E-3</v>
      </c>
    </row>
    <row r="118" spans="1:1" x14ac:dyDescent="0.2">
      <c r="A118">
        <v>1.0612244897959184E-3</v>
      </c>
    </row>
    <row r="119" spans="1:1" x14ac:dyDescent="0.2">
      <c r="A119">
        <v>6.285714285714286E-3</v>
      </c>
    </row>
    <row r="120" spans="1:1" x14ac:dyDescent="0.2">
      <c r="A120">
        <v>7.0204081632653046E-3</v>
      </c>
    </row>
    <row r="121" spans="1:1" x14ac:dyDescent="0.2">
      <c r="A121">
        <v>1.6326530612244899E-2</v>
      </c>
    </row>
    <row r="122" spans="1:1" x14ac:dyDescent="0.2">
      <c r="A122">
        <v>1.8775510204081629E-3</v>
      </c>
    </row>
    <row r="123" spans="1:1" x14ac:dyDescent="0.2">
      <c r="A123">
        <v>8.0000000000000002E-3</v>
      </c>
    </row>
    <row r="124" spans="1:1" x14ac:dyDescent="0.2">
      <c r="A124">
        <v>1.0612244897959184E-4</v>
      </c>
    </row>
    <row r="125" spans="1:1" x14ac:dyDescent="0.2">
      <c r="A125">
        <v>4.9795918367346941E-4</v>
      </c>
    </row>
    <row r="126" spans="1:1" x14ac:dyDescent="0.2">
      <c r="A126">
        <v>4.4081632653061224E-4</v>
      </c>
    </row>
    <row r="127" spans="1:1" x14ac:dyDescent="0.2">
      <c r="A127">
        <v>1.0938775510204082E-3</v>
      </c>
    </row>
    <row r="128" spans="1:1" x14ac:dyDescent="0.2">
      <c r="A128">
        <v>9.795918367346938E-5</v>
      </c>
    </row>
    <row r="129" spans="1:1" x14ac:dyDescent="0.2">
      <c r="A129">
        <v>1.2244897959183673E-4</v>
      </c>
    </row>
    <row r="130" spans="1:1" x14ac:dyDescent="0.2">
      <c r="A130">
        <v>1.3061224489795916E-3</v>
      </c>
    </row>
    <row r="131" spans="1:1" x14ac:dyDescent="0.2">
      <c r="A131">
        <v>7.3469387755102037E-3</v>
      </c>
    </row>
    <row r="132" spans="1:1" x14ac:dyDescent="0.2">
      <c r="A132">
        <v>2.2040816326530612E-4</v>
      </c>
    </row>
    <row r="133" spans="1:1" x14ac:dyDescent="0.2">
      <c r="A133">
        <v>2.8571428571428568E-4</v>
      </c>
    </row>
    <row r="134" spans="1:1" x14ac:dyDescent="0.2">
      <c r="A134">
        <v>2.040816326530612E-4</v>
      </c>
    </row>
    <row r="135" spans="1:1" x14ac:dyDescent="0.2">
      <c r="A135">
        <v>3.510204081632653E-4</v>
      </c>
    </row>
    <row r="136" spans="1:1" x14ac:dyDescent="0.2">
      <c r="A136">
        <v>3.3469387755102042E-5</v>
      </c>
    </row>
    <row r="137" spans="1:1" x14ac:dyDescent="0.2">
      <c r="A137">
        <v>7.9183673469387751E-5</v>
      </c>
    </row>
    <row r="138" spans="1:1" x14ac:dyDescent="0.2">
      <c r="A138">
        <v>1.7959183673469384E-5</v>
      </c>
    </row>
    <row r="139" spans="1:1" x14ac:dyDescent="0.2">
      <c r="A139">
        <v>3.9183673469387755E-5</v>
      </c>
    </row>
    <row r="140" spans="1:1" x14ac:dyDescent="0.2">
      <c r="A140">
        <v>4.0000000000000003E-5</v>
      </c>
    </row>
    <row r="141" spans="1:1" x14ac:dyDescent="0.2">
      <c r="A141">
        <v>7.265306122448979E-5</v>
      </c>
    </row>
    <row r="142" spans="1:1" x14ac:dyDescent="0.2">
      <c r="A142">
        <v>1.4693877551020406E-5</v>
      </c>
    </row>
    <row r="143" spans="1:1" x14ac:dyDescent="0.2">
      <c r="A143">
        <v>2.1224489795918368E-4</v>
      </c>
    </row>
    <row r="144" spans="1:1" x14ac:dyDescent="0.2">
      <c r="A144">
        <v>2.0408163265306119E-5</v>
      </c>
    </row>
    <row r="145" spans="1:1" x14ac:dyDescent="0.2">
      <c r="A145">
        <v>2.1224489795918368E-4</v>
      </c>
    </row>
    <row r="146" spans="1:1" x14ac:dyDescent="0.2">
      <c r="A146">
        <v>1.4693877551020406E-5</v>
      </c>
    </row>
    <row r="147" spans="1:1" x14ac:dyDescent="0.2">
      <c r="A147">
        <v>3.2653061224489793E-5</v>
      </c>
    </row>
    <row r="148" spans="1:1" x14ac:dyDescent="0.2">
      <c r="A148">
        <v>5.7142857142857145E-6</v>
      </c>
    </row>
    <row r="149" spans="1:1" x14ac:dyDescent="0.2">
      <c r="A149">
        <v>1.110204081632653E-4</v>
      </c>
    </row>
    <row r="150" spans="1:1" x14ac:dyDescent="0.2">
      <c r="A150">
        <v>2.9387755102040813E-5</v>
      </c>
    </row>
    <row r="151" spans="1:1" x14ac:dyDescent="0.2">
      <c r="A151">
        <v>5.061224489795918E-5</v>
      </c>
    </row>
    <row r="152" spans="1:1" x14ac:dyDescent="0.2">
      <c r="A152">
        <v>8.9795918367346918E-6</v>
      </c>
    </row>
    <row r="153" spans="1:1" x14ac:dyDescent="0.2">
      <c r="A153">
        <v>1.2244897959183673E-5</v>
      </c>
    </row>
    <row r="154" spans="1:1" x14ac:dyDescent="0.2">
      <c r="A154">
        <v>5.9591836734693867E-5</v>
      </c>
    </row>
    <row r="155" spans="1:1" x14ac:dyDescent="0.2">
      <c r="A155">
        <v>7.9183673469387751E-5</v>
      </c>
    </row>
    <row r="156" spans="1:1" x14ac:dyDescent="0.2">
      <c r="A156">
        <v>3.0204081632653058E-5</v>
      </c>
    </row>
    <row r="157" spans="1:1" x14ac:dyDescent="0.2">
      <c r="A157">
        <v>2.4816326530612242E-4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0</v>
      </c>
    </row>
    <row r="166" spans="1:1" x14ac:dyDescent="0.2">
      <c r="A166">
        <v>1.7959183673469388E-3</v>
      </c>
    </row>
    <row r="167" spans="1:1" x14ac:dyDescent="0.2">
      <c r="A167">
        <v>2.6938775510204076E-3</v>
      </c>
    </row>
    <row r="168" spans="1:1" x14ac:dyDescent="0.2">
      <c r="A168">
        <v>2.3673469387755101E-4</v>
      </c>
    </row>
    <row r="169" spans="1:1" x14ac:dyDescent="0.2">
      <c r="A169">
        <v>7.2653061224489787E-4</v>
      </c>
    </row>
    <row r="170" spans="1:1" x14ac:dyDescent="0.2">
      <c r="A170">
        <v>1.6326530612244895E-4</v>
      </c>
    </row>
    <row r="171" spans="1:1" x14ac:dyDescent="0.2">
      <c r="A171">
        <v>2.8571428571428568E-4</v>
      </c>
    </row>
    <row r="172" spans="1:1" x14ac:dyDescent="0.2">
      <c r="A172">
        <v>5.8775510204081625E-5</v>
      </c>
    </row>
    <row r="173" spans="1:1" x14ac:dyDescent="0.2">
      <c r="A173">
        <v>6.2857142857142848E-5</v>
      </c>
    </row>
    <row r="174" spans="1:1" x14ac:dyDescent="0.2">
      <c r="A174">
        <v>5.63265306122449E-5</v>
      </c>
    </row>
    <row r="175" spans="1:1" x14ac:dyDescent="0.2">
      <c r="A175">
        <v>8.9795918367346935E-5</v>
      </c>
    </row>
    <row r="176" spans="1:1" x14ac:dyDescent="0.2">
      <c r="A176">
        <v>6.3673469387755103E-5</v>
      </c>
    </row>
    <row r="177" spans="1:1" x14ac:dyDescent="0.2">
      <c r="A177">
        <v>9.795918367346938E-5</v>
      </c>
    </row>
    <row r="178" spans="1:1" x14ac:dyDescent="0.2">
      <c r="A178">
        <v>3.428571428571429E-5</v>
      </c>
    </row>
    <row r="179" spans="1:1" x14ac:dyDescent="0.2">
      <c r="A179">
        <v>4.3265306122448977E-5</v>
      </c>
    </row>
    <row r="180" spans="1:1" x14ac:dyDescent="0.2">
      <c r="A180">
        <v>7.265306122448979E-5</v>
      </c>
    </row>
    <row r="181" spans="1:1" x14ac:dyDescent="0.2">
      <c r="A181">
        <v>9.2244897959183674E-5</v>
      </c>
    </row>
    <row r="182" spans="1:1" x14ac:dyDescent="0.2">
      <c r="A182">
        <v>3.2653061224489793E-5</v>
      </c>
    </row>
    <row r="183" spans="1:1" x14ac:dyDescent="0.2">
      <c r="A183">
        <v>2.8571428571428571E-5</v>
      </c>
    </row>
    <row r="184" spans="1:1" x14ac:dyDescent="0.2">
      <c r="A184">
        <v>5.7142857142857145E-6</v>
      </c>
    </row>
    <row r="185" spans="1:1" x14ac:dyDescent="0.2">
      <c r="A185">
        <v>7.3469387755102032E-6</v>
      </c>
    </row>
    <row r="186" spans="1:1" x14ac:dyDescent="0.2">
      <c r="A186">
        <v>8.1632653061224483E-6</v>
      </c>
    </row>
    <row r="187" spans="1:1" x14ac:dyDescent="0.2">
      <c r="A187">
        <v>1.4693877551020406E-4</v>
      </c>
    </row>
    <row r="188" spans="1:1" x14ac:dyDescent="0.2">
      <c r="A188">
        <v>1.053061224489796E-4</v>
      </c>
    </row>
    <row r="189" spans="1:1" x14ac:dyDescent="0.2">
      <c r="A189">
        <v>3.0204081632653058E-5</v>
      </c>
    </row>
    <row r="190" spans="1:1" x14ac:dyDescent="0.2">
      <c r="A190">
        <v>5.3061224489795919E-5</v>
      </c>
    </row>
    <row r="191" spans="1:1" x14ac:dyDescent="0.2">
      <c r="A191">
        <v>2.5224489795918362E-4</v>
      </c>
    </row>
    <row r="192" spans="1:1" x14ac:dyDescent="0.2">
      <c r="A192">
        <v>3.7714285714285709E-4</v>
      </c>
    </row>
    <row r="193" spans="1:1" x14ac:dyDescent="0.2">
      <c r="A193">
        <v>7.4285714285714273E-5</v>
      </c>
    </row>
    <row r="194" spans="1:1" x14ac:dyDescent="0.2">
      <c r="A194">
        <v>4.0816326530612242E-6</v>
      </c>
    </row>
    <row r="195" spans="1:1" x14ac:dyDescent="0.2">
      <c r="A195">
        <v>2.4489795918367347E-6</v>
      </c>
    </row>
    <row r="196" spans="1:1" x14ac:dyDescent="0.2">
      <c r="A196">
        <v>9.0612244897959177E-5</v>
      </c>
    </row>
    <row r="197" spans="1:1" x14ac:dyDescent="0.2">
      <c r="A197">
        <v>3.8367346938775506E-5</v>
      </c>
    </row>
    <row r="198" spans="1:1" x14ac:dyDescent="0.2">
      <c r="A198">
        <v>1.9428571428571427E-2</v>
      </c>
    </row>
    <row r="199" spans="1:1" x14ac:dyDescent="0.2">
      <c r="A199">
        <v>1.3306122448979591E-2</v>
      </c>
    </row>
    <row r="200" spans="1:1" x14ac:dyDescent="0.2">
      <c r="A200">
        <v>7.2653061224489798E-3</v>
      </c>
    </row>
    <row r="201" spans="1:1" x14ac:dyDescent="0.2">
      <c r="A201">
        <v>6.7755102040816329E-3</v>
      </c>
    </row>
    <row r="202" spans="1:1" x14ac:dyDescent="0.2">
      <c r="A202">
        <v>8.8979591836734692E-3</v>
      </c>
    </row>
    <row r="203" spans="1:1" x14ac:dyDescent="0.2">
      <c r="A203">
        <v>4.244897959183673E-2</v>
      </c>
    </row>
    <row r="204" spans="1:1" x14ac:dyDescent="0.2">
      <c r="A204">
        <v>5.3877551020408164E-2</v>
      </c>
    </row>
    <row r="205" spans="1:1" x14ac:dyDescent="0.2">
      <c r="A205">
        <v>1.1428571428571427E-2</v>
      </c>
    </row>
    <row r="206" spans="1:1" x14ac:dyDescent="0.2">
      <c r="A206">
        <v>2.6938775510204082E-2</v>
      </c>
    </row>
    <row r="207" spans="1:1" x14ac:dyDescent="0.2">
      <c r="A207">
        <v>6.3673469387755102E-2</v>
      </c>
    </row>
    <row r="208" spans="1:1" x14ac:dyDescent="0.2">
      <c r="A208">
        <v>9.8775510204081624E-2</v>
      </c>
    </row>
    <row r="209" spans="1:1" x14ac:dyDescent="0.2">
      <c r="A209">
        <v>1.6653061224489792E-2</v>
      </c>
    </row>
    <row r="210" spans="1:1" x14ac:dyDescent="0.2">
      <c r="A210">
        <v>1.8530612244897954E-2</v>
      </c>
    </row>
    <row r="211" spans="1:1" x14ac:dyDescent="0.2">
      <c r="A211">
        <v>2.3346938775510202E-2</v>
      </c>
    </row>
    <row r="212" spans="1:1" x14ac:dyDescent="0.2">
      <c r="A212">
        <v>1.0122448979591836E-2</v>
      </c>
    </row>
    <row r="213" spans="1:1" x14ac:dyDescent="0.2">
      <c r="A213">
        <v>1.0857142857142857E-2</v>
      </c>
    </row>
    <row r="214" spans="1:1" x14ac:dyDescent="0.2">
      <c r="A214">
        <v>1.5510204081632651E-3</v>
      </c>
    </row>
    <row r="215" spans="1:1" x14ac:dyDescent="0.2">
      <c r="A215">
        <v>7.2653061224489787E-4</v>
      </c>
    </row>
    <row r="216" spans="1:1" x14ac:dyDescent="0.2">
      <c r="A216">
        <v>1.3061224489795917E-4</v>
      </c>
    </row>
    <row r="217" spans="1:1" x14ac:dyDescent="0.2">
      <c r="A217">
        <v>8.9795918367346935E-5</v>
      </c>
    </row>
    <row r="218" spans="1:1" x14ac:dyDescent="0.2">
      <c r="A218">
        <v>1.7959183673469387E-4</v>
      </c>
    </row>
    <row r="219" spans="1:1" x14ac:dyDescent="0.2">
      <c r="A219">
        <v>4.1632653061224489E-2</v>
      </c>
    </row>
    <row r="220" spans="1:1" x14ac:dyDescent="0.2">
      <c r="A220">
        <v>4.244897959183673E-2</v>
      </c>
    </row>
    <row r="221" spans="1:1" x14ac:dyDescent="0.2">
      <c r="A221">
        <v>1.8775510204081629E-3</v>
      </c>
    </row>
    <row r="222" spans="1:1" x14ac:dyDescent="0.2">
      <c r="A222">
        <v>1.1020408163265306E-3</v>
      </c>
    </row>
    <row r="223" spans="1:1" x14ac:dyDescent="0.2">
      <c r="A223">
        <v>2.9387755102040815E-2</v>
      </c>
    </row>
    <row r="224" spans="1:1" x14ac:dyDescent="0.2">
      <c r="A224">
        <v>2.2040816326530609E-2</v>
      </c>
    </row>
    <row r="225" spans="1:1" x14ac:dyDescent="0.2">
      <c r="A225">
        <v>3.0204081632653057E-4</v>
      </c>
    </row>
    <row r="226" spans="1:1" x14ac:dyDescent="0.2">
      <c r="A226">
        <v>2.7755102040816324E-4</v>
      </c>
    </row>
    <row r="227" spans="1:1" x14ac:dyDescent="0.2">
      <c r="A227">
        <v>4.8163265306122441E-4</v>
      </c>
    </row>
    <row r="228" spans="1:1" x14ac:dyDescent="0.2">
      <c r="A228">
        <v>2.4489795918367346E-4</v>
      </c>
    </row>
    <row r="229" spans="1:1" x14ac:dyDescent="0.2">
      <c r="A229">
        <v>6.0408163265306114E-4</v>
      </c>
    </row>
    <row r="230" spans="1:1" x14ac:dyDescent="0.2">
      <c r="A230">
        <v>8.4897959183673457E-5</v>
      </c>
    </row>
    <row r="231" spans="1:1" x14ac:dyDescent="0.2">
      <c r="A231">
        <v>6.7755102040816326E-5</v>
      </c>
    </row>
    <row r="232" spans="1:1" x14ac:dyDescent="0.2">
      <c r="A232">
        <v>3.9183673469387755E-5</v>
      </c>
    </row>
    <row r="233" spans="1:1" x14ac:dyDescent="0.2">
      <c r="A233">
        <v>3.8367346938775506E-5</v>
      </c>
    </row>
    <row r="234" spans="1:1" x14ac:dyDescent="0.2">
      <c r="A234">
        <v>5.2244897959183671E-5</v>
      </c>
    </row>
    <row r="235" spans="1:1" x14ac:dyDescent="0.2">
      <c r="A235">
        <v>6.4489795918367345E-5</v>
      </c>
    </row>
    <row r="236" spans="1:1" x14ac:dyDescent="0.2">
      <c r="A236">
        <v>2.6122448979591835E-5</v>
      </c>
    </row>
    <row r="237" spans="1:1" x14ac:dyDescent="0.2">
      <c r="A237">
        <v>2.2857142857142858E-5</v>
      </c>
    </row>
    <row r="238" spans="1:1" x14ac:dyDescent="0.2">
      <c r="A238">
        <v>2.6938775510204081E-5</v>
      </c>
    </row>
    <row r="239" spans="1:1" x14ac:dyDescent="0.2">
      <c r="A239">
        <v>3.2653061224489793E-5</v>
      </c>
    </row>
    <row r="240" spans="1:1" x14ac:dyDescent="0.2">
      <c r="A240">
        <v>2.36734693877551E-5</v>
      </c>
    </row>
    <row r="241" spans="1:1" x14ac:dyDescent="0.2">
      <c r="A241">
        <v>2.2040816326530609E-5</v>
      </c>
    </row>
    <row r="242" spans="1:1" x14ac:dyDescent="0.2">
      <c r="A242">
        <v>7.9183673469387751E-5</v>
      </c>
    </row>
    <row r="243" spans="1:1" x14ac:dyDescent="0.2">
      <c r="A243">
        <v>1.1591836734693875E-4</v>
      </c>
    </row>
    <row r="244" spans="1:1" x14ac:dyDescent="0.2">
      <c r="A244">
        <v>3.428571428571429E-5</v>
      </c>
    </row>
    <row r="245" spans="1:1" x14ac:dyDescent="0.2">
      <c r="A245">
        <v>5.4693877551020403E-5</v>
      </c>
    </row>
    <row r="246" spans="1:1" x14ac:dyDescent="0.2">
      <c r="A246">
        <v>2.6938775510204081E-5</v>
      </c>
    </row>
    <row r="247" spans="1:1" x14ac:dyDescent="0.2">
      <c r="A247">
        <v>1.7959183673469384E-5</v>
      </c>
    </row>
    <row r="248" spans="1:1" x14ac:dyDescent="0.2">
      <c r="A248">
        <v>2.2040816326530609E-2</v>
      </c>
    </row>
    <row r="249" spans="1:1" x14ac:dyDescent="0.2">
      <c r="A249">
        <v>2.3673469387755101E-2</v>
      </c>
    </row>
    <row r="250" spans="1:1" x14ac:dyDescent="0.2">
      <c r="A250">
        <v>2.2857142857142854E-2</v>
      </c>
    </row>
    <row r="251" spans="1:1" x14ac:dyDescent="0.2">
      <c r="A251">
        <v>2.1224489795918365E-2</v>
      </c>
    </row>
    <row r="252" spans="1:1" x14ac:dyDescent="0.2">
      <c r="A252">
        <v>1.5020408163265303E-2</v>
      </c>
    </row>
    <row r="253" spans="1:1" x14ac:dyDescent="0.2">
      <c r="A253">
        <v>1.4693877551020407E-2</v>
      </c>
    </row>
    <row r="254" spans="1:1" x14ac:dyDescent="0.2">
      <c r="A254">
        <v>1.2734693877551018E-2</v>
      </c>
    </row>
    <row r="255" spans="1:1" x14ac:dyDescent="0.2">
      <c r="A255">
        <v>1.1020408163265305E-2</v>
      </c>
    </row>
    <row r="256" spans="1:1" x14ac:dyDescent="0.2">
      <c r="A256">
        <v>7.9183673469387754E-3</v>
      </c>
    </row>
    <row r="257" spans="1:1" x14ac:dyDescent="0.2">
      <c r="A257">
        <v>5.3877551020408152E-3</v>
      </c>
    </row>
    <row r="258" spans="1:1" x14ac:dyDescent="0.2">
      <c r="A258">
        <v>4.489795918367347E-3</v>
      </c>
    </row>
    <row r="259" spans="1:1" x14ac:dyDescent="0.2">
      <c r="A259">
        <v>5.7142857142857134E-3</v>
      </c>
    </row>
    <row r="260" spans="1:1" x14ac:dyDescent="0.2">
      <c r="A260">
        <v>9.6326530612244905E-3</v>
      </c>
    </row>
    <row r="261" spans="1:1" x14ac:dyDescent="0.2">
      <c r="A261">
        <v>1.1755102040816326E-2</v>
      </c>
    </row>
    <row r="262" spans="1:1" x14ac:dyDescent="0.2">
      <c r="A262">
        <v>2.6938775510204076E-3</v>
      </c>
    </row>
    <row r="263" spans="1:1" x14ac:dyDescent="0.2">
      <c r="A263">
        <v>3.1836734693877545E-3</v>
      </c>
    </row>
    <row r="264" spans="1:1" x14ac:dyDescent="0.2">
      <c r="A264">
        <v>2.6938775510204076E-3</v>
      </c>
    </row>
    <row r="265" spans="1:1" x14ac:dyDescent="0.2">
      <c r="A265">
        <v>2.4489795918367341E-3</v>
      </c>
    </row>
    <row r="266" spans="1:1" x14ac:dyDescent="0.2">
      <c r="A266">
        <v>4.0816326530612249E-3</v>
      </c>
    </row>
    <row r="267" spans="1:1" x14ac:dyDescent="0.2">
      <c r="A267">
        <v>5.2244897959183665E-3</v>
      </c>
    </row>
    <row r="268" spans="1:1" x14ac:dyDescent="0.2">
      <c r="A268">
        <v>1.9591836734693877E-3</v>
      </c>
    </row>
    <row r="269" spans="1:1" x14ac:dyDescent="0.2">
      <c r="A269">
        <v>6.1224489795918364E-3</v>
      </c>
    </row>
    <row r="270" spans="1:1" x14ac:dyDescent="0.2">
      <c r="A270">
        <v>1.3469387755102038E-3</v>
      </c>
    </row>
    <row r="271" spans="1:1" x14ac:dyDescent="0.2">
      <c r="A271">
        <v>2.0979591836734692E-3</v>
      </c>
    </row>
    <row r="272" spans="1:1" x14ac:dyDescent="0.2">
      <c r="A272">
        <v>0</v>
      </c>
    </row>
    <row r="273" spans="1:1" x14ac:dyDescent="0.2">
      <c r="A273">
        <v>0</v>
      </c>
    </row>
    <row r="274" spans="1:1" x14ac:dyDescent="0.2">
      <c r="A274">
        <v>2.6122448979591832E-3</v>
      </c>
    </row>
    <row r="275" spans="1:1" x14ac:dyDescent="0.2">
      <c r="A275">
        <v>2.6938775510204076E-3</v>
      </c>
    </row>
    <row r="276" spans="1:1" x14ac:dyDescent="0.2">
      <c r="A276">
        <v>8.1632653061224482E-4</v>
      </c>
    </row>
    <row r="277" spans="1:1" x14ac:dyDescent="0.2">
      <c r="A277">
        <v>8.1632653061224482E-4</v>
      </c>
    </row>
    <row r="278" spans="1:1" x14ac:dyDescent="0.2">
      <c r="A278">
        <v>2.3346938775510198E-3</v>
      </c>
    </row>
    <row r="279" spans="1:1" x14ac:dyDescent="0.2">
      <c r="A279">
        <v>1.330612244897959E-3</v>
      </c>
    </row>
    <row r="280" spans="1:1" x14ac:dyDescent="0.2">
      <c r="A280">
        <v>4.0816326530612241E-4</v>
      </c>
    </row>
    <row r="281" spans="1:1" x14ac:dyDescent="0.2">
      <c r="A281">
        <v>3.8367346938775502E-4</v>
      </c>
    </row>
    <row r="282" spans="1:1" x14ac:dyDescent="0.2">
      <c r="A282">
        <v>1.2897959183673468E-3</v>
      </c>
    </row>
    <row r="283" spans="1:1" x14ac:dyDescent="0.2">
      <c r="A283">
        <v>7.8367346938775504E-4</v>
      </c>
    </row>
    <row r="284" spans="1:1" x14ac:dyDescent="0.2">
      <c r="A284">
        <v>2.9387755102040813E-5</v>
      </c>
    </row>
    <row r="285" spans="1:1" x14ac:dyDescent="0.2">
      <c r="A285">
        <v>1.5510204081632651E-5</v>
      </c>
    </row>
    <row r="286" spans="1:1" x14ac:dyDescent="0.2">
      <c r="A286">
        <v>8.9795918367346918E-6</v>
      </c>
    </row>
    <row r="287" spans="1:1" x14ac:dyDescent="0.2">
      <c r="A287">
        <v>2.1224489795918364E-5</v>
      </c>
    </row>
    <row r="288" spans="1:1" x14ac:dyDescent="0.2">
      <c r="A288">
        <v>3.2653061224489794E-6</v>
      </c>
    </row>
    <row r="289" spans="1:1" x14ac:dyDescent="0.2">
      <c r="A289">
        <v>1.6326530612244897E-6</v>
      </c>
    </row>
    <row r="290" spans="1:1" x14ac:dyDescent="0.2">
      <c r="A290">
        <v>0</v>
      </c>
    </row>
    <row r="291" spans="1:1" x14ac:dyDescent="0.2">
      <c r="A291">
        <v>1.6326530612244897E-6</v>
      </c>
    </row>
    <row r="292" spans="1:1" x14ac:dyDescent="0.2">
      <c r="A292">
        <v>3.1020408163265303E-5</v>
      </c>
    </row>
    <row r="293" spans="1:1" x14ac:dyDescent="0.2">
      <c r="A293">
        <v>7.3469387755102032E-6</v>
      </c>
    </row>
    <row r="294" spans="1:1" x14ac:dyDescent="0.2">
      <c r="A294">
        <v>1.2244897959183673E-5</v>
      </c>
    </row>
    <row r="295" spans="1:1" x14ac:dyDescent="0.2">
      <c r="A295">
        <v>1.6326530612244897E-6</v>
      </c>
    </row>
    <row r="296" spans="1:1" x14ac:dyDescent="0.2">
      <c r="A296">
        <v>0</v>
      </c>
    </row>
    <row r="297" spans="1:1" x14ac:dyDescent="0.2">
      <c r="A297">
        <v>0</v>
      </c>
    </row>
    <row r="298" spans="1:1" x14ac:dyDescent="0.2">
      <c r="A298">
        <v>0</v>
      </c>
    </row>
    <row r="299" spans="1:1" x14ac:dyDescent="0.2">
      <c r="A299">
        <v>5.7142857142857145E-6</v>
      </c>
    </row>
    <row r="300" spans="1:1" x14ac:dyDescent="0.2">
      <c r="A300">
        <v>2.4489795918367347E-6</v>
      </c>
    </row>
    <row r="301" spans="1:1" x14ac:dyDescent="0.2">
      <c r="A301">
        <v>0</v>
      </c>
    </row>
    <row r="302" spans="1:1" x14ac:dyDescent="0.2">
      <c r="A302">
        <v>1.6326530612244897E-6</v>
      </c>
    </row>
    <row r="303" spans="1:1" x14ac:dyDescent="0.2">
      <c r="A303">
        <v>1.2244897959183673E-2</v>
      </c>
    </row>
    <row r="304" spans="1:1" x14ac:dyDescent="0.2">
      <c r="A304">
        <v>6.1224489795918364E-3</v>
      </c>
    </row>
    <row r="305" spans="1:1" x14ac:dyDescent="0.2">
      <c r="A305">
        <v>5.0285714285714283E-3</v>
      </c>
    </row>
    <row r="306" spans="1:1" x14ac:dyDescent="0.2">
      <c r="A306">
        <v>5.4204081632653056E-3</v>
      </c>
    </row>
    <row r="307" spans="1:1" x14ac:dyDescent="0.2">
      <c r="A307">
        <v>1.3061224489795916E-3</v>
      </c>
    </row>
    <row r="308" spans="1:1" x14ac:dyDescent="0.2">
      <c r="A308">
        <v>2.1224489795918368E-3</v>
      </c>
    </row>
    <row r="309" spans="1:1" x14ac:dyDescent="0.2">
      <c r="A309">
        <v>1.1999999999999999E-3</v>
      </c>
    </row>
    <row r="310" spans="1:1" x14ac:dyDescent="0.2">
      <c r="A310">
        <v>1.1673469387755099E-3</v>
      </c>
    </row>
    <row r="311" spans="1:1" x14ac:dyDescent="0.2">
      <c r="A311">
        <v>1.2244897959183673E-2</v>
      </c>
    </row>
    <row r="312" spans="1:1" x14ac:dyDescent="0.2">
      <c r="A312">
        <v>3.6734693877551019E-3</v>
      </c>
    </row>
    <row r="313" spans="1:1" x14ac:dyDescent="0.2">
      <c r="A313">
        <v>4.2448979591836735E-3</v>
      </c>
    </row>
    <row r="314" spans="1:1" x14ac:dyDescent="0.2">
      <c r="A314">
        <v>1.0938775510204082E-3</v>
      </c>
    </row>
    <row r="315" spans="1:1" x14ac:dyDescent="0.2">
      <c r="A315">
        <v>7.8367346938775504E-4</v>
      </c>
    </row>
    <row r="316" spans="1:1" x14ac:dyDescent="0.2">
      <c r="A316">
        <v>5.061224489795918E-4</v>
      </c>
    </row>
    <row r="317" spans="1:1" x14ac:dyDescent="0.2">
      <c r="A317">
        <v>5.4693877551020408E-4</v>
      </c>
    </row>
    <row r="318" spans="1:1" x14ac:dyDescent="0.2">
      <c r="A318">
        <v>2.4489795918367346E-2</v>
      </c>
    </row>
    <row r="319" spans="1:1" x14ac:dyDescent="0.2">
      <c r="A319">
        <v>1.1836734693877551E-2</v>
      </c>
    </row>
    <row r="320" spans="1:1" x14ac:dyDescent="0.2">
      <c r="A320">
        <v>4.7346938775510205E-3</v>
      </c>
    </row>
    <row r="321" spans="1:1" x14ac:dyDescent="0.2">
      <c r="A321">
        <v>3.6734693877551019E-3</v>
      </c>
    </row>
    <row r="322" spans="1:1" x14ac:dyDescent="0.2">
      <c r="A322">
        <v>7.7551020408163258E-3</v>
      </c>
    </row>
    <row r="323" spans="1:1" x14ac:dyDescent="0.2">
      <c r="A323">
        <v>5.6326530612244895E-3</v>
      </c>
    </row>
    <row r="324" spans="1:1" x14ac:dyDescent="0.2">
      <c r="A324">
        <v>5.8775510204081625E-4</v>
      </c>
    </row>
    <row r="325" spans="1:1" x14ac:dyDescent="0.2">
      <c r="A325">
        <v>3.5918367346938774E-4</v>
      </c>
    </row>
    <row r="326" spans="1:1" x14ac:dyDescent="0.2">
      <c r="A326">
        <v>7.8367346938775504E-4</v>
      </c>
    </row>
    <row r="327" spans="1:1" x14ac:dyDescent="0.2">
      <c r="A327">
        <v>5.7142857142857136E-4</v>
      </c>
    </row>
    <row r="328" spans="1:1" x14ac:dyDescent="0.2">
      <c r="A328">
        <v>1.0612244897959184E-4</v>
      </c>
    </row>
    <row r="329" spans="1:1" x14ac:dyDescent="0.2">
      <c r="A329">
        <v>9.795918367346938E-5</v>
      </c>
    </row>
    <row r="330" spans="1:1" x14ac:dyDescent="0.2">
      <c r="A330">
        <v>1.2653061224489795E-3</v>
      </c>
    </row>
    <row r="331" spans="1:1" x14ac:dyDescent="0.2">
      <c r="A331">
        <v>3.2653061224489793E-5</v>
      </c>
    </row>
    <row r="332" spans="1:1" x14ac:dyDescent="0.2">
      <c r="A332">
        <v>5.7142857142857142E-5</v>
      </c>
    </row>
    <row r="333" spans="1:1" x14ac:dyDescent="0.2">
      <c r="A333">
        <v>6.5306122448979587E-5</v>
      </c>
    </row>
    <row r="334" spans="1:1" x14ac:dyDescent="0.2">
      <c r="A334">
        <v>9.795918367346938E-5</v>
      </c>
    </row>
    <row r="335" spans="1:1" x14ac:dyDescent="0.2">
      <c r="A335">
        <v>3.2653061224489791E-4</v>
      </c>
    </row>
    <row r="336" spans="1:1" x14ac:dyDescent="0.2">
      <c r="A336">
        <v>1.8775510204081634E-4</v>
      </c>
    </row>
    <row r="337" spans="1:1" x14ac:dyDescent="0.2">
      <c r="A337">
        <v>3.1020408163265307E-4</v>
      </c>
    </row>
    <row r="338" spans="1:1" x14ac:dyDescent="0.2">
      <c r="A338">
        <v>1.2244897959183673E-4</v>
      </c>
    </row>
    <row r="339" spans="1:1" x14ac:dyDescent="0.2">
      <c r="A339">
        <v>2.4489795918367346E-4</v>
      </c>
    </row>
    <row r="340" spans="1:1" x14ac:dyDescent="0.2">
      <c r="A340">
        <v>3.2653061224489791E-4</v>
      </c>
    </row>
    <row r="341" spans="1:1" x14ac:dyDescent="0.2">
      <c r="A341">
        <v>3.7551020408163264E-5</v>
      </c>
    </row>
    <row r="342" spans="1:1" x14ac:dyDescent="0.2">
      <c r="A342">
        <v>1.7142857142857145E-5</v>
      </c>
    </row>
    <row r="343" spans="1:1" x14ac:dyDescent="0.2">
      <c r="A343">
        <v>2.530612244897959E-5</v>
      </c>
    </row>
    <row r="344" spans="1:1" x14ac:dyDescent="0.2">
      <c r="A344">
        <v>1.7142857142857145E-5</v>
      </c>
    </row>
    <row r="345" spans="1:1" x14ac:dyDescent="0.2">
      <c r="A345">
        <v>1.7142857142857145E-5</v>
      </c>
    </row>
    <row r="346" spans="1:1" x14ac:dyDescent="0.2">
      <c r="A346">
        <v>7.3469387755102032E-6</v>
      </c>
    </row>
    <row r="347" spans="1:1" x14ac:dyDescent="0.2">
      <c r="A347">
        <v>7.3469387755102032E-6</v>
      </c>
    </row>
    <row r="348" spans="1:1" x14ac:dyDescent="0.2">
      <c r="A348">
        <v>4.8979591836734693E-6</v>
      </c>
    </row>
    <row r="349" spans="1:1" x14ac:dyDescent="0.2">
      <c r="A349">
        <v>2.4489795918367347E-6</v>
      </c>
    </row>
    <row r="350" spans="1:1" x14ac:dyDescent="0.2">
      <c r="A350">
        <v>1.6326530612244897E-6</v>
      </c>
    </row>
    <row r="351" spans="1:1" x14ac:dyDescent="0.2">
      <c r="A351">
        <v>0</v>
      </c>
    </row>
    <row r="352" spans="1:1" x14ac:dyDescent="0.2">
      <c r="A352">
        <v>2.4489795918367347E-6</v>
      </c>
    </row>
    <row r="353" spans="1:1" x14ac:dyDescent="0.2">
      <c r="A353">
        <v>0</v>
      </c>
    </row>
    <row r="354" spans="1:1" x14ac:dyDescent="0.2">
      <c r="A354">
        <v>0</v>
      </c>
    </row>
    <row r="355" spans="1:1" x14ac:dyDescent="0.2">
      <c r="A355">
        <v>1.6326530612244897E-6</v>
      </c>
    </row>
    <row r="356" spans="1:1" x14ac:dyDescent="0.2">
      <c r="A356">
        <v>9.7959183673469387E-6</v>
      </c>
    </row>
    <row r="357" spans="1:1" x14ac:dyDescent="0.2">
      <c r="A357">
        <v>7.3469387755102032E-6</v>
      </c>
    </row>
    <row r="358" spans="1:1" x14ac:dyDescent="0.2">
      <c r="A358">
        <v>1.7142857142857145E-5</v>
      </c>
    </row>
    <row r="359" spans="1:1" x14ac:dyDescent="0.2">
      <c r="A359">
        <v>2.7755102040816326E-5</v>
      </c>
    </row>
    <row r="360" spans="1:1" x14ac:dyDescent="0.2">
      <c r="A360">
        <v>1.4285714285714285E-2</v>
      </c>
    </row>
    <row r="361" spans="1:1" x14ac:dyDescent="0.2">
      <c r="A361">
        <v>1.020408163265306E-2</v>
      </c>
    </row>
    <row r="362" spans="1:1" x14ac:dyDescent="0.2">
      <c r="A362">
        <v>1.7061224489795915E-2</v>
      </c>
    </row>
    <row r="363" spans="1:1" x14ac:dyDescent="0.2">
      <c r="A363">
        <v>1.2979591836734692E-2</v>
      </c>
    </row>
    <row r="364" spans="1:1" x14ac:dyDescent="0.2">
      <c r="A364">
        <v>1.8693877551020407E-2</v>
      </c>
    </row>
    <row r="365" spans="1:1" x14ac:dyDescent="0.2">
      <c r="A365">
        <v>7.591836734693878E-3</v>
      </c>
    </row>
    <row r="366" spans="1:1" x14ac:dyDescent="0.2">
      <c r="A366">
        <v>1.1510204081632653E-2</v>
      </c>
    </row>
    <row r="367" spans="1:1" x14ac:dyDescent="0.2">
      <c r="A367">
        <v>7.4285714285714276E-3</v>
      </c>
    </row>
    <row r="368" spans="1:1" x14ac:dyDescent="0.2">
      <c r="A368">
        <v>2.9387755102040815E-3</v>
      </c>
    </row>
    <row r="369" spans="1:1" x14ac:dyDescent="0.2">
      <c r="A369">
        <v>2.0897959183673468E-3</v>
      </c>
    </row>
    <row r="370" spans="1:1" x14ac:dyDescent="0.2">
      <c r="A370">
        <v>1.9346938775510203E-3</v>
      </c>
    </row>
    <row r="371" spans="1:1" x14ac:dyDescent="0.2">
      <c r="A371">
        <v>2.0408163265306124E-3</v>
      </c>
    </row>
    <row r="372" spans="1:1" x14ac:dyDescent="0.2">
      <c r="A372">
        <v>8.1632653061224482E-4</v>
      </c>
    </row>
    <row r="373" spans="1:1" x14ac:dyDescent="0.2">
      <c r="A373">
        <v>3.9183673469387752E-4</v>
      </c>
    </row>
    <row r="374" spans="1:1" x14ac:dyDescent="0.2">
      <c r="A374">
        <v>3.510204081632653E-4</v>
      </c>
    </row>
    <row r="375" spans="1:1" x14ac:dyDescent="0.2">
      <c r="A375">
        <v>3.6734693877551019E-3</v>
      </c>
    </row>
    <row r="376" spans="1:1" x14ac:dyDescent="0.2">
      <c r="A376">
        <v>7.9183673469387754E-3</v>
      </c>
    </row>
    <row r="377" spans="1:1" x14ac:dyDescent="0.2">
      <c r="A377">
        <v>1.9591836734693873E-2</v>
      </c>
    </row>
    <row r="378" spans="1:1" x14ac:dyDescent="0.2">
      <c r="A378">
        <v>1.5591836734693878E-2</v>
      </c>
    </row>
    <row r="379" spans="1:1" x14ac:dyDescent="0.2">
      <c r="A379">
        <v>1.9428571428571427E-3</v>
      </c>
    </row>
    <row r="380" spans="1:1" x14ac:dyDescent="0.2">
      <c r="A380">
        <v>2.6938775510204085E-4</v>
      </c>
    </row>
    <row r="381" spans="1:1" x14ac:dyDescent="0.2">
      <c r="A381">
        <v>3.2244897959183673E-3</v>
      </c>
    </row>
    <row r="382" spans="1:1" x14ac:dyDescent="0.2">
      <c r="A382">
        <v>2.0408163265306124E-3</v>
      </c>
    </row>
    <row r="383" spans="1:1" x14ac:dyDescent="0.2">
      <c r="A383">
        <v>8.1632653061224497E-3</v>
      </c>
    </row>
    <row r="384" spans="1:1" x14ac:dyDescent="0.2">
      <c r="A384">
        <v>2.7102040816326528E-3</v>
      </c>
    </row>
    <row r="385" spans="1:1" x14ac:dyDescent="0.2">
      <c r="A385">
        <v>2.2857142857142857E-4</v>
      </c>
    </row>
    <row r="386" spans="1:1" x14ac:dyDescent="0.2">
      <c r="A386">
        <v>6.424489795918367E-3</v>
      </c>
    </row>
    <row r="387" spans="1:1" x14ac:dyDescent="0.2">
      <c r="A387">
        <v>1.0448979591836734E-3</v>
      </c>
    </row>
    <row r="388" spans="1:1" x14ac:dyDescent="0.2">
      <c r="A388">
        <v>1.2244897959183673E-4</v>
      </c>
    </row>
    <row r="389" spans="1:1" x14ac:dyDescent="0.2">
      <c r="A389">
        <v>1.4693877551020406E-4</v>
      </c>
    </row>
    <row r="390" spans="1:1" x14ac:dyDescent="0.2">
      <c r="A390">
        <v>1.8775510204081634E-4</v>
      </c>
    </row>
    <row r="391" spans="1:1" x14ac:dyDescent="0.2">
      <c r="A391">
        <v>5.7142857142857142E-5</v>
      </c>
    </row>
    <row r="392" spans="1:1" x14ac:dyDescent="0.2">
      <c r="A392">
        <v>1.3061224489795917E-4</v>
      </c>
    </row>
    <row r="393" spans="1:1" x14ac:dyDescent="0.2">
      <c r="A393">
        <v>2.3673469387755101E-4</v>
      </c>
    </row>
    <row r="394" spans="1:1" x14ac:dyDescent="0.2">
      <c r="A394">
        <v>5.7142857142857142E-5</v>
      </c>
    </row>
    <row r="395" spans="1:1" x14ac:dyDescent="0.2">
      <c r="A395">
        <v>6.5306122448979587E-5</v>
      </c>
    </row>
    <row r="396" spans="1:1" x14ac:dyDescent="0.2">
      <c r="A396">
        <v>4.0816326530612238E-5</v>
      </c>
    </row>
    <row r="397" spans="1:1" x14ac:dyDescent="0.2">
      <c r="A397">
        <v>2.040816326530612E-4</v>
      </c>
    </row>
    <row r="398" spans="1:1" x14ac:dyDescent="0.2">
      <c r="A398">
        <v>1.1428571428571429E-5</v>
      </c>
    </row>
    <row r="399" spans="1:1" x14ac:dyDescent="0.2">
      <c r="A399">
        <v>3.2653061224489793E-5</v>
      </c>
    </row>
    <row r="400" spans="1:1" x14ac:dyDescent="0.2">
      <c r="A400">
        <v>1.2244897959183673E-5</v>
      </c>
    </row>
    <row r="401" spans="1:1" x14ac:dyDescent="0.2">
      <c r="A401">
        <v>1.9591836734693877E-5</v>
      </c>
    </row>
    <row r="402" spans="1:1" x14ac:dyDescent="0.2">
      <c r="A402">
        <v>3.2653061224489794E-6</v>
      </c>
    </row>
    <row r="403" spans="1:1" x14ac:dyDescent="0.2">
      <c r="A403">
        <v>1.8775510204081632E-5</v>
      </c>
    </row>
    <row r="404" spans="1:1" x14ac:dyDescent="0.2">
      <c r="A404">
        <v>0</v>
      </c>
    </row>
    <row r="405" spans="1:1" x14ac:dyDescent="0.2">
      <c r="A405">
        <v>0</v>
      </c>
    </row>
    <row r="406" spans="1:1" x14ac:dyDescent="0.2">
      <c r="A406">
        <v>0</v>
      </c>
    </row>
    <row r="407" spans="1:1" x14ac:dyDescent="0.2">
      <c r="A407">
        <v>0</v>
      </c>
    </row>
    <row r="408" spans="1:1" x14ac:dyDescent="0.2">
      <c r="A408">
        <v>8.9795918367346918E-6</v>
      </c>
    </row>
    <row r="409" spans="1:1" x14ac:dyDescent="0.2">
      <c r="A409">
        <v>1.7142857142857145E-5</v>
      </c>
    </row>
    <row r="410" spans="1:1" x14ac:dyDescent="0.2">
      <c r="A410">
        <v>7.4285714285714276E-3</v>
      </c>
    </row>
    <row r="411" spans="1:1" x14ac:dyDescent="0.2">
      <c r="A411">
        <v>4.489795918367347E-3</v>
      </c>
    </row>
    <row r="412" spans="1:1" x14ac:dyDescent="0.2">
      <c r="A412">
        <v>8.4081632653061223E-3</v>
      </c>
    </row>
    <row r="413" spans="1:1" x14ac:dyDescent="0.2">
      <c r="A413">
        <v>1.4612244897959181E-2</v>
      </c>
    </row>
    <row r="414" spans="1:1" x14ac:dyDescent="0.2">
      <c r="A414">
        <v>1.5428571428571427E-2</v>
      </c>
    </row>
    <row r="415" spans="1:1" x14ac:dyDescent="0.2">
      <c r="A415">
        <v>1.4122448979591836E-2</v>
      </c>
    </row>
    <row r="416" spans="1:1" x14ac:dyDescent="0.2">
      <c r="A416">
        <v>1.1428571428571427E-3</v>
      </c>
    </row>
    <row r="417" spans="1:1" x14ac:dyDescent="0.2">
      <c r="A417">
        <v>8.9795918367346938E-4</v>
      </c>
    </row>
    <row r="418" spans="1:1" x14ac:dyDescent="0.2">
      <c r="A418">
        <v>3.2653061224489791E-4</v>
      </c>
    </row>
    <row r="419" spans="1:1" x14ac:dyDescent="0.2">
      <c r="A419">
        <v>6.5306122448979581E-4</v>
      </c>
    </row>
    <row r="420" spans="1:1" x14ac:dyDescent="0.2">
      <c r="A420">
        <v>5.7959183673469382E-3</v>
      </c>
    </row>
    <row r="421" spans="1:1" x14ac:dyDescent="0.2">
      <c r="A421">
        <v>1.216326530612245E-2</v>
      </c>
    </row>
    <row r="422" spans="1:1" x14ac:dyDescent="0.2">
      <c r="A422">
        <v>1.6326530612244895E-4</v>
      </c>
    </row>
    <row r="423" spans="1:1" x14ac:dyDescent="0.2">
      <c r="A423">
        <v>1.8775510204081634E-4</v>
      </c>
    </row>
    <row r="424" spans="1:1" x14ac:dyDescent="0.2">
      <c r="A424">
        <v>1.0448979591836734E-3</v>
      </c>
    </row>
    <row r="425" spans="1:1" x14ac:dyDescent="0.2">
      <c r="A425">
        <v>3.1673469387755102E-3</v>
      </c>
    </row>
    <row r="426" spans="1:1" x14ac:dyDescent="0.2">
      <c r="A426">
        <v>3.0204081632653057E-4</v>
      </c>
    </row>
    <row r="427" spans="1:1" x14ac:dyDescent="0.2">
      <c r="A427">
        <v>1.6571428571428568E-3</v>
      </c>
    </row>
    <row r="428" spans="1:1" x14ac:dyDescent="0.2">
      <c r="A428">
        <v>8.1632653061224477E-5</v>
      </c>
    </row>
    <row r="429" spans="1:1" x14ac:dyDescent="0.2">
      <c r="A429">
        <v>9.795918367346938E-5</v>
      </c>
    </row>
    <row r="430" spans="1:1" x14ac:dyDescent="0.2">
      <c r="A430">
        <v>4.0816326530612238E-5</v>
      </c>
    </row>
    <row r="431" spans="1:1" x14ac:dyDescent="0.2">
      <c r="A431">
        <v>4.897959183673469E-5</v>
      </c>
    </row>
    <row r="432" spans="1:1" x14ac:dyDescent="0.2">
      <c r="A432">
        <v>2.7755102040816324E-4</v>
      </c>
    </row>
    <row r="433" spans="1:1" x14ac:dyDescent="0.2">
      <c r="A433">
        <v>7.3469387755102037E-4</v>
      </c>
    </row>
    <row r="434" spans="1:1" x14ac:dyDescent="0.2">
      <c r="A434">
        <v>2.6938775510204081E-5</v>
      </c>
    </row>
    <row r="435" spans="1:1" x14ac:dyDescent="0.2">
      <c r="A435">
        <v>1.9591836734693877E-5</v>
      </c>
    </row>
    <row r="436" spans="1:1" x14ac:dyDescent="0.2">
      <c r="A436">
        <v>1.5510204081632651E-5</v>
      </c>
    </row>
    <row r="437" spans="1:1" x14ac:dyDescent="0.2">
      <c r="A437">
        <v>8.1632653061224483E-6</v>
      </c>
    </row>
    <row r="438" spans="1:1" x14ac:dyDescent="0.2">
      <c r="A438">
        <v>1.6326530612244897E-5</v>
      </c>
    </row>
    <row r="439" spans="1:1" x14ac:dyDescent="0.2">
      <c r="A439">
        <v>7.3469387755102032E-6</v>
      </c>
    </row>
    <row r="440" spans="1:1" x14ac:dyDescent="0.2">
      <c r="A440">
        <v>5.7142857142857145E-6</v>
      </c>
    </row>
    <row r="441" spans="1:1" x14ac:dyDescent="0.2">
      <c r="A441">
        <v>1.3469387755102041E-2</v>
      </c>
    </row>
    <row r="442" spans="1:1" x14ac:dyDescent="0.2">
      <c r="A442">
        <v>1.2081632653061223E-2</v>
      </c>
    </row>
    <row r="443" spans="1:1" x14ac:dyDescent="0.2">
      <c r="A443">
        <v>1.0612244897959183E-2</v>
      </c>
    </row>
    <row r="444" spans="1:1" x14ac:dyDescent="0.2">
      <c r="A444">
        <v>8.0000000000000002E-3</v>
      </c>
    </row>
    <row r="445" spans="1:1" x14ac:dyDescent="0.2">
      <c r="A445">
        <v>8.6530612244897949E-3</v>
      </c>
    </row>
    <row r="446" spans="1:1" x14ac:dyDescent="0.2">
      <c r="A446">
        <v>7.591836734693878E-3</v>
      </c>
    </row>
    <row r="447" spans="1:1" x14ac:dyDescent="0.2">
      <c r="A447">
        <v>3.5918367346938775E-3</v>
      </c>
    </row>
    <row r="448" spans="1:1" x14ac:dyDescent="0.2">
      <c r="A448">
        <v>3.2653061224489799E-2</v>
      </c>
    </row>
    <row r="449" spans="1:1" x14ac:dyDescent="0.2">
      <c r="A449">
        <v>4.2448979591836735E-3</v>
      </c>
    </row>
    <row r="450" spans="1:1" x14ac:dyDescent="0.2">
      <c r="A450">
        <v>6.1224489795918364E-3</v>
      </c>
    </row>
    <row r="451" spans="1:1" x14ac:dyDescent="0.2">
      <c r="A451">
        <v>2.2857142857142855E-3</v>
      </c>
    </row>
    <row r="452" spans="1:1" x14ac:dyDescent="0.2">
      <c r="A452">
        <v>1.4693877551020406E-4</v>
      </c>
    </row>
    <row r="453" spans="1:1" x14ac:dyDescent="0.2">
      <c r="A453">
        <v>9.795918367346938E-5</v>
      </c>
    </row>
    <row r="454" spans="1:1" x14ac:dyDescent="0.2">
      <c r="A454">
        <v>1.3061224489795917E-4</v>
      </c>
    </row>
    <row r="455" spans="1:1" x14ac:dyDescent="0.2">
      <c r="A455">
        <v>1.126530612244898E-4</v>
      </c>
    </row>
    <row r="456" spans="1:1" x14ac:dyDescent="0.2">
      <c r="A456">
        <v>1.1428571428571428E-4</v>
      </c>
    </row>
    <row r="457" spans="1:1" x14ac:dyDescent="0.2">
      <c r="A457">
        <v>7.4285714285714273E-5</v>
      </c>
    </row>
    <row r="458" spans="1:1" x14ac:dyDescent="0.2">
      <c r="A458">
        <v>5.4693877551020403E-5</v>
      </c>
    </row>
    <row r="459" spans="1:1" x14ac:dyDescent="0.2">
      <c r="A459">
        <v>7.5918367346938771E-5</v>
      </c>
    </row>
    <row r="460" spans="1:1" x14ac:dyDescent="0.2">
      <c r="A460">
        <v>5.7142857142857142E-5</v>
      </c>
    </row>
    <row r="461" spans="1:1" x14ac:dyDescent="0.2">
      <c r="A461">
        <v>3.7551020408163264E-5</v>
      </c>
    </row>
    <row r="462" spans="1:1" x14ac:dyDescent="0.2">
      <c r="A462">
        <v>4.3265306122448977E-5</v>
      </c>
    </row>
    <row r="463" spans="1:1" x14ac:dyDescent="0.2">
      <c r="A463">
        <v>5.7142857142857142E-5</v>
      </c>
    </row>
    <row r="464" spans="1:1" x14ac:dyDescent="0.2">
      <c r="A464">
        <v>5.2244897959183671E-5</v>
      </c>
    </row>
    <row r="465" spans="1:1" x14ac:dyDescent="0.2">
      <c r="A465">
        <v>5.1428571428571429E-5</v>
      </c>
    </row>
    <row r="466" spans="1:1" x14ac:dyDescent="0.2">
      <c r="A466">
        <v>3.5102040816326525E-5</v>
      </c>
    </row>
    <row r="467" spans="1:1" x14ac:dyDescent="0.2">
      <c r="A467">
        <v>2.7755102040816326E-5</v>
      </c>
    </row>
    <row r="468" spans="1:1" x14ac:dyDescent="0.2">
      <c r="A468">
        <v>2.4489795918367345E-5</v>
      </c>
    </row>
    <row r="469" spans="1:1" x14ac:dyDescent="0.2">
      <c r="A469">
        <v>2.2040816326530609E-5</v>
      </c>
    </row>
    <row r="470" spans="1:1" x14ac:dyDescent="0.2">
      <c r="A470">
        <v>3.0204081632653058E-5</v>
      </c>
    </row>
    <row r="471" spans="1:1" x14ac:dyDescent="0.2">
      <c r="A471">
        <v>2.0408163265306121E-2</v>
      </c>
    </row>
    <row r="472" spans="1:1" x14ac:dyDescent="0.2">
      <c r="A472">
        <v>2.9387755102040815E-2</v>
      </c>
    </row>
    <row r="473" spans="1:1" x14ac:dyDescent="0.2">
      <c r="A473">
        <v>1.2244897959183673E-2</v>
      </c>
    </row>
    <row r="474" spans="1:1" x14ac:dyDescent="0.2">
      <c r="A474">
        <v>1.0612244897959183E-2</v>
      </c>
    </row>
    <row r="475" spans="1:1" x14ac:dyDescent="0.2">
      <c r="A475">
        <v>1.9102040816326528E-2</v>
      </c>
    </row>
    <row r="476" spans="1:1" x14ac:dyDescent="0.2">
      <c r="A476">
        <v>2.6122448979591834E-2</v>
      </c>
    </row>
    <row r="477" spans="1:1" x14ac:dyDescent="0.2">
      <c r="A477">
        <v>1.0938775510204082E-2</v>
      </c>
    </row>
    <row r="478" spans="1:1" x14ac:dyDescent="0.2">
      <c r="A478">
        <v>8.4897959183673471E-3</v>
      </c>
    </row>
    <row r="479" spans="1:1" x14ac:dyDescent="0.2">
      <c r="A479">
        <v>2.6122448979591834E-2</v>
      </c>
    </row>
    <row r="480" spans="1:1" x14ac:dyDescent="0.2">
      <c r="A480">
        <v>2.2857142857142854E-2</v>
      </c>
    </row>
    <row r="481" spans="1:1" x14ac:dyDescent="0.2">
      <c r="A481">
        <v>1.7387755102040818E-2</v>
      </c>
    </row>
    <row r="482" spans="1:1" x14ac:dyDescent="0.2">
      <c r="A482">
        <v>7.5102040816326515E-3</v>
      </c>
    </row>
    <row r="483" spans="1:1" x14ac:dyDescent="0.2">
      <c r="A483">
        <v>6.6040816326530605E-3</v>
      </c>
    </row>
    <row r="484" spans="1:1" x14ac:dyDescent="0.2">
      <c r="A484">
        <v>5.9020408163265306E-3</v>
      </c>
    </row>
    <row r="485" spans="1:1" x14ac:dyDescent="0.2">
      <c r="A485">
        <v>1.5918367346938776E-2</v>
      </c>
    </row>
    <row r="486" spans="1:1" x14ac:dyDescent="0.2">
      <c r="A486">
        <v>2.7755102040816326E-2</v>
      </c>
    </row>
    <row r="487" spans="1:1" x14ac:dyDescent="0.2">
      <c r="A487">
        <v>1.8775510204081629E-3</v>
      </c>
    </row>
    <row r="488" spans="1:1" x14ac:dyDescent="0.2">
      <c r="A488">
        <v>2.7755102040816324E-3</v>
      </c>
    </row>
    <row r="489" spans="1:1" x14ac:dyDescent="0.2">
      <c r="A489">
        <v>3.1836734693877552E-4</v>
      </c>
    </row>
    <row r="490" spans="1:1" x14ac:dyDescent="0.2">
      <c r="A490">
        <v>1.8775510204081634E-4</v>
      </c>
    </row>
    <row r="491" spans="1:1" x14ac:dyDescent="0.2">
      <c r="A491">
        <v>3.9183673469387752E-4</v>
      </c>
    </row>
    <row r="492" spans="1:1" x14ac:dyDescent="0.2">
      <c r="A492">
        <v>3.1836734693877552E-4</v>
      </c>
    </row>
    <row r="493" spans="1:1" x14ac:dyDescent="0.2">
      <c r="A493">
        <v>1.3877551020408162E-4</v>
      </c>
    </row>
    <row r="494" spans="1:1" x14ac:dyDescent="0.2">
      <c r="A494">
        <v>1.4693877551020406E-4</v>
      </c>
    </row>
    <row r="495" spans="1:1" x14ac:dyDescent="0.2">
      <c r="A495">
        <v>5.5510204081632647E-4</v>
      </c>
    </row>
    <row r="496" spans="1:1" x14ac:dyDescent="0.2">
      <c r="A496">
        <v>1.5428571428571427E-3</v>
      </c>
    </row>
    <row r="497" spans="1:1" x14ac:dyDescent="0.2">
      <c r="A497">
        <v>2.2040816326530612E-4</v>
      </c>
    </row>
    <row r="498" spans="1:1" x14ac:dyDescent="0.2">
      <c r="A498">
        <v>3.8367346938775502E-4</v>
      </c>
    </row>
    <row r="499" spans="1:1" x14ac:dyDescent="0.2">
      <c r="A499">
        <v>3.2653061224489793E-5</v>
      </c>
    </row>
    <row r="500" spans="1:1" x14ac:dyDescent="0.2">
      <c r="A500">
        <v>2.2040816326530612E-4</v>
      </c>
    </row>
    <row r="501" spans="1:1" x14ac:dyDescent="0.2">
      <c r="A501">
        <v>2.106122448979592E-3</v>
      </c>
    </row>
    <row r="502" spans="1:1" x14ac:dyDescent="0.2">
      <c r="A502">
        <v>2.6040816326530609E-3</v>
      </c>
    </row>
    <row r="503" spans="1:1" x14ac:dyDescent="0.2">
      <c r="A503">
        <v>5.2244897959183671E-5</v>
      </c>
    </row>
    <row r="504" spans="1:1" x14ac:dyDescent="0.2">
      <c r="A504">
        <v>4.2448979591836729E-5</v>
      </c>
    </row>
    <row r="505" spans="1:1" x14ac:dyDescent="0.2">
      <c r="A505">
        <v>1.3877551020408163E-5</v>
      </c>
    </row>
    <row r="506" spans="1:1" x14ac:dyDescent="0.2">
      <c r="A506">
        <v>1.3877551020408163E-5</v>
      </c>
    </row>
    <row r="507" spans="1:1" x14ac:dyDescent="0.2">
      <c r="A507">
        <v>1.4693877551020406E-5</v>
      </c>
    </row>
    <row r="508" spans="1:1" x14ac:dyDescent="0.2">
      <c r="A508">
        <v>1.4693877551020406E-5</v>
      </c>
    </row>
    <row r="509" spans="1:1" x14ac:dyDescent="0.2">
      <c r="A509">
        <v>1.5510204081632651E-5</v>
      </c>
    </row>
    <row r="510" spans="1:1" x14ac:dyDescent="0.2">
      <c r="A510">
        <v>8.1632653061224483E-6</v>
      </c>
    </row>
    <row r="511" spans="1:1" x14ac:dyDescent="0.2">
      <c r="A511">
        <v>1.5510204081632651E-5</v>
      </c>
    </row>
    <row r="512" spans="1:1" x14ac:dyDescent="0.2">
      <c r="A512">
        <v>4.2448979591836729E-5</v>
      </c>
    </row>
    <row r="513" spans="1:1" x14ac:dyDescent="0.2">
      <c r="A513">
        <v>3.6734693877551016E-5</v>
      </c>
    </row>
    <row r="514" spans="1:1" x14ac:dyDescent="0.2">
      <c r="A514">
        <v>2.36734693877551E-5</v>
      </c>
    </row>
    <row r="515" spans="1:1" x14ac:dyDescent="0.2">
      <c r="A515">
        <v>1.6326530612244897E-5</v>
      </c>
    </row>
    <row r="516" spans="1:1" x14ac:dyDescent="0.2">
      <c r="A516">
        <v>3.3469387755102042E-5</v>
      </c>
    </row>
    <row r="517" spans="1:1" x14ac:dyDescent="0.2">
      <c r="A517">
        <v>1.0612244897959182E-5</v>
      </c>
    </row>
    <row r="518" spans="1:1" x14ac:dyDescent="0.2">
      <c r="A518">
        <v>6.5306122448979588E-6</v>
      </c>
    </row>
    <row r="519" spans="1:1" x14ac:dyDescent="0.2">
      <c r="A519">
        <v>4.0816326530612242E-6</v>
      </c>
    </row>
    <row r="520" spans="1:1" x14ac:dyDescent="0.2">
      <c r="A520">
        <v>2.4489795918367347E-6</v>
      </c>
    </row>
    <row r="521" spans="1:1" x14ac:dyDescent="0.2">
      <c r="A521">
        <v>1.8938775510204082E-2</v>
      </c>
    </row>
    <row r="522" spans="1:1" x14ac:dyDescent="0.2">
      <c r="A522">
        <v>2.530612244897959E-2</v>
      </c>
    </row>
    <row r="523" spans="1:1" x14ac:dyDescent="0.2">
      <c r="A523">
        <v>8.1632653061224497E-3</v>
      </c>
    </row>
    <row r="524" spans="1:1" x14ac:dyDescent="0.2">
      <c r="A524">
        <v>6.367346938775509E-3</v>
      </c>
    </row>
    <row r="525" spans="1:1" x14ac:dyDescent="0.2">
      <c r="A525">
        <v>7.4285714285714276E-3</v>
      </c>
    </row>
    <row r="526" spans="1:1" x14ac:dyDescent="0.2">
      <c r="A526">
        <v>1.1428571428571427E-2</v>
      </c>
    </row>
    <row r="527" spans="1:1" x14ac:dyDescent="0.2">
      <c r="A527">
        <v>5.3877551020408152E-3</v>
      </c>
    </row>
    <row r="528" spans="1:1" x14ac:dyDescent="0.2">
      <c r="A528">
        <v>4.2448979591836735E-3</v>
      </c>
    </row>
    <row r="529" spans="1:1" x14ac:dyDescent="0.2">
      <c r="A529">
        <v>1.6979591836734694E-2</v>
      </c>
    </row>
    <row r="530" spans="1:1" x14ac:dyDescent="0.2">
      <c r="A530">
        <v>3.2653061224489799E-2</v>
      </c>
    </row>
    <row r="531" spans="1:1" x14ac:dyDescent="0.2">
      <c r="A531">
        <v>1.7061224489795915E-2</v>
      </c>
    </row>
    <row r="532" spans="1:1" x14ac:dyDescent="0.2">
      <c r="A532">
        <v>1.2571428571428572E-2</v>
      </c>
    </row>
    <row r="533" spans="1:1" x14ac:dyDescent="0.2">
      <c r="A533">
        <v>1.9591836734693873E-2</v>
      </c>
    </row>
    <row r="534" spans="1:1" x14ac:dyDescent="0.2">
      <c r="A534">
        <v>4.3265306122448978E-2</v>
      </c>
    </row>
    <row r="535" spans="1:1" x14ac:dyDescent="0.2">
      <c r="A535">
        <v>9.7142857142857135E-3</v>
      </c>
    </row>
    <row r="536" spans="1:1" x14ac:dyDescent="0.2">
      <c r="A536">
        <v>7.6734693877551019E-3</v>
      </c>
    </row>
    <row r="537" spans="1:1" x14ac:dyDescent="0.2">
      <c r="A537">
        <v>2.9469387755102039E-3</v>
      </c>
    </row>
    <row r="538" spans="1:1" x14ac:dyDescent="0.2">
      <c r="A538">
        <v>1.8857142857142857E-3</v>
      </c>
    </row>
    <row r="539" spans="1:1" x14ac:dyDescent="0.2">
      <c r="A539">
        <v>4.1632653061224491E-4</v>
      </c>
    </row>
    <row r="540" spans="1:1" x14ac:dyDescent="0.2">
      <c r="A540">
        <v>8.1632653061224482E-4</v>
      </c>
    </row>
    <row r="541" spans="1:1" x14ac:dyDescent="0.2">
      <c r="A541">
        <v>1.7959183673469387E-4</v>
      </c>
    </row>
    <row r="542" spans="1:1" x14ac:dyDescent="0.2">
      <c r="A542">
        <v>2.530612244897959E-4</v>
      </c>
    </row>
    <row r="543" spans="1:1" x14ac:dyDescent="0.2">
      <c r="A543">
        <v>3.2653061224489793E-5</v>
      </c>
    </row>
    <row r="544" spans="1:1" x14ac:dyDescent="0.2">
      <c r="A544">
        <v>5.7142857142857142E-5</v>
      </c>
    </row>
    <row r="545" spans="1:1" x14ac:dyDescent="0.2">
      <c r="A545">
        <v>3.2653061224489793E-5</v>
      </c>
    </row>
    <row r="546" spans="1:1" x14ac:dyDescent="0.2">
      <c r="A546">
        <v>3.2653061224489793E-5</v>
      </c>
    </row>
    <row r="547" spans="1:1" x14ac:dyDescent="0.2">
      <c r="A547">
        <v>2.5551020408163261E-3</v>
      </c>
    </row>
    <row r="548" spans="1:1" x14ac:dyDescent="0.2">
      <c r="A548">
        <v>5.2734693877551017E-3</v>
      </c>
    </row>
    <row r="549" spans="1:1" x14ac:dyDescent="0.2">
      <c r="A549">
        <v>1.2244897959183673E-4</v>
      </c>
    </row>
    <row r="550" spans="1:1" x14ac:dyDescent="0.2">
      <c r="A550">
        <v>2.3673469387755101E-4</v>
      </c>
    </row>
    <row r="551" spans="1:1" x14ac:dyDescent="0.2">
      <c r="A551">
        <v>1.4693877551020406E-4</v>
      </c>
    </row>
    <row r="552" spans="1:1" x14ac:dyDescent="0.2">
      <c r="A552">
        <v>1.6326530612244895E-4</v>
      </c>
    </row>
    <row r="553" spans="1:1" x14ac:dyDescent="0.2">
      <c r="A553">
        <v>1.714285714285714E-4</v>
      </c>
    </row>
    <row r="554" spans="1:1" x14ac:dyDescent="0.2">
      <c r="A554">
        <v>6.5306122448979587E-5</v>
      </c>
    </row>
    <row r="555" spans="1:1" x14ac:dyDescent="0.2">
      <c r="A555">
        <v>4.0816326530612238E-5</v>
      </c>
    </row>
    <row r="556" spans="1:1" x14ac:dyDescent="0.2">
      <c r="A556">
        <v>2.1224489795918364E-5</v>
      </c>
    </row>
    <row r="557" spans="1:1" x14ac:dyDescent="0.2">
      <c r="A557">
        <v>5.3061224489795919E-5</v>
      </c>
    </row>
    <row r="558" spans="1:1" x14ac:dyDescent="0.2">
      <c r="A558">
        <v>6.9469387755102027E-4</v>
      </c>
    </row>
    <row r="559" spans="1:1" x14ac:dyDescent="0.2">
      <c r="A559">
        <v>2.36734693877551E-5</v>
      </c>
    </row>
    <row r="560" spans="1:1" x14ac:dyDescent="0.2">
      <c r="A560">
        <v>4.6367346938775501E-4</v>
      </c>
    </row>
    <row r="561" spans="1:1" x14ac:dyDescent="0.2">
      <c r="A561">
        <v>4.0816326530612243E-7</v>
      </c>
    </row>
    <row r="562" spans="1:1" x14ac:dyDescent="0.2">
      <c r="A562">
        <v>2.0408163265306121E-6</v>
      </c>
    </row>
    <row r="563" spans="1:1" x14ac:dyDescent="0.2">
      <c r="A563">
        <v>9.7959183673469323E-7</v>
      </c>
    </row>
    <row r="564" spans="1:1" x14ac:dyDescent="0.2">
      <c r="A564">
        <v>0</v>
      </c>
    </row>
    <row r="565" spans="1:1" x14ac:dyDescent="0.2">
      <c r="A565">
        <v>0</v>
      </c>
    </row>
    <row r="566" spans="1:1" x14ac:dyDescent="0.2">
      <c r="A566">
        <v>0</v>
      </c>
    </row>
    <row r="567" spans="1:1" x14ac:dyDescent="0.2">
      <c r="A567">
        <v>8.9795918367346941E-7</v>
      </c>
    </row>
    <row r="568" spans="1:1" x14ac:dyDescent="0.2">
      <c r="A568">
        <v>4.2448979591836729E-6</v>
      </c>
    </row>
    <row r="569" spans="1:1" x14ac:dyDescent="0.2">
      <c r="A569">
        <v>1.6793002915451892E-6</v>
      </c>
    </row>
    <row r="570" spans="1:1" x14ac:dyDescent="0.2">
      <c r="A570">
        <v>1.6793002915451892E-6</v>
      </c>
    </row>
    <row r="571" spans="1:1" x14ac:dyDescent="0.2">
      <c r="A571">
        <v>1.6793002915451892E-6</v>
      </c>
    </row>
    <row r="572" spans="1:1" x14ac:dyDescent="0.2">
      <c r="A572">
        <v>1.6793002915451892E-6</v>
      </c>
    </row>
    <row r="573" spans="1:1" x14ac:dyDescent="0.2">
      <c r="A573">
        <v>1.6793002915451892E-6</v>
      </c>
    </row>
    <row r="574" spans="1:1" x14ac:dyDescent="0.2">
      <c r="A574">
        <v>1.6793002915451892E-6</v>
      </c>
    </row>
    <row r="575" spans="1:1" x14ac:dyDescent="0.2">
      <c r="A575">
        <v>1.6793002915451892E-6</v>
      </c>
    </row>
    <row r="576" spans="1:1" x14ac:dyDescent="0.2">
      <c r="A576">
        <v>0</v>
      </c>
    </row>
    <row r="577" spans="1:1" x14ac:dyDescent="0.2">
      <c r="A577">
        <v>0</v>
      </c>
    </row>
    <row r="578" spans="1:1" x14ac:dyDescent="0.2">
      <c r="A578">
        <v>0</v>
      </c>
    </row>
    <row r="579" spans="1:1" x14ac:dyDescent="0.2">
      <c r="A579">
        <v>2.8571428571428573E-6</v>
      </c>
    </row>
    <row r="580" spans="1:1" x14ac:dyDescent="0.2">
      <c r="A580">
        <v>0</v>
      </c>
    </row>
    <row r="581" spans="1:1" x14ac:dyDescent="0.2">
      <c r="A581">
        <v>0</v>
      </c>
    </row>
    <row r="582" spans="1:1" x14ac:dyDescent="0.2">
      <c r="A582">
        <v>0</v>
      </c>
    </row>
    <row r="583" spans="1:1" x14ac:dyDescent="0.2">
      <c r="A583">
        <v>0</v>
      </c>
    </row>
    <row r="584" spans="1:1" x14ac:dyDescent="0.2">
      <c r="A584">
        <v>0</v>
      </c>
    </row>
    <row r="585" spans="1:1" x14ac:dyDescent="0.2">
      <c r="A585">
        <v>0</v>
      </c>
    </row>
    <row r="586" spans="1:1" x14ac:dyDescent="0.2">
      <c r="A586">
        <v>7.346938775510204E-7</v>
      </c>
    </row>
    <row r="587" spans="1:1" x14ac:dyDescent="0.2">
      <c r="A587">
        <v>0</v>
      </c>
    </row>
    <row r="588" spans="1:1" x14ac:dyDescent="0.2">
      <c r="A588">
        <v>0</v>
      </c>
    </row>
    <row r="589" spans="1:1" x14ac:dyDescent="0.2">
      <c r="A589">
        <v>0</v>
      </c>
    </row>
    <row r="590" spans="1:1" x14ac:dyDescent="0.2">
      <c r="A590">
        <v>0</v>
      </c>
    </row>
    <row r="591" spans="1:1" x14ac:dyDescent="0.2">
      <c r="A591">
        <v>0</v>
      </c>
    </row>
    <row r="592" spans="1:1" x14ac:dyDescent="0.2">
      <c r="A592">
        <v>0</v>
      </c>
    </row>
    <row r="593" spans="1:1" x14ac:dyDescent="0.2">
      <c r="A593">
        <v>0</v>
      </c>
    </row>
    <row r="594" spans="1:1" x14ac:dyDescent="0.2">
      <c r="A594">
        <v>0</v>
      </c>
    </row>
    <row r="595" spans="1:1" x14ac:dyDescent="0.2">
      <c r="A595">
        <v>0</v>
      </c>
    </row>
    <row r="596" spans="1:1" x14ac:dyDescent="0.2">
      <c r="A596">
        <v>0</v>
      </c>
    </row>
    <row r="597" spans="1:1" x14ac:dyDescent="0.2">
      <c r="A597">
        <v>0</v>
      </c>
    </row>
    <row r="598" spans="1:1" x14ac:dyDescent="0.2">
      <c r="A598">
        <v>1.9183673469387753E-5</v>
      </c>
    </row>
    <row r="599" spans="1:1" x14ac:dyDescent="0.2">
      <c r="A599">
        <v>4.9306122448979584E-5</v>
      </c>
    </row>
    <row r="600" spans="1:1" x14ac:dyDescent="0.2">
      <c r="A600">
        <v>3.8693877551020407E-5</v>
      </c>
    </row>
    <row r="601" spans="1:1" x14ac:dyDescent="0.2">
      <c r="A601">
        <v>1.257142857142857E-5</v>
      </c>
    </row>
    <row r="602" spans="1:1" x14ac:dyDescent="0.2">
      <c r="A602">
        <v>5.2897959183673459E-5</v>
      </c>
    </row>
    <row r="603" spans="1:1" x14ac:dyDescent="0.2">
      <c r="A603">
        <v>2.9306122448979589E-5</v>
      </c>
    </row>
    <row r="604" spans="1:1" x14ac:dyDescent="0.2">
      <c r="A604">
        <v>1.910204081632653E-5</v>
      </c>
    </row>
    <row r="605" spans="1:1" x14ac:dyDescent="0.2">
      <c r="A605">
        <v>4.3265306122448977E-5</v>
      </c>
    </row>
    <row r="606" spans="1:1" x14ac:dyDescent="0.2">
      <c r="A606">
        <v>2.5795918367346938E-5</v>
      </c>
    </row>
    <row r="607" spans="1:1" x14ac:dyDescent="0.2">
      <c r="A607">
        <v>1.7224489795918365E-5</v>
      </c>
    </row>
    <row r="608" spans="1:1" x14ac:dyDescent="0.2">
      <c r="A608">
        <v>6.7591836734693872E-5</v>
      </c>
    </row>
    <row r="609" spans="1:1" x14ac:dyDescent="0.2">
      <c r="A609">
        <v>4.906122448979591E-5</v>
      </c>
    </row>
    <row r="610" spans="1:1" x14ac:dyDescent="0.2">
      <c r="A610">
        <v>8.1632653061224483E-6</v>
      </c>
    </row>
    <row r="611" spans="1:1" x14ac:dyDescent="0.2">
      <c r="A611">
        <v>2.824489795918367E-5</v>
      </c>
    </row>
    <row r="612" spans="1:1" x14ac:dyDescent="0.2">
      <c r="A612">
        <v>2.5795918367346938E-5</v>
      </c>
    </row>
    <row r="613" spans="1:1" x14ac:dyDescent="0.2">
      <c r="A613">
        <v>1.787755102040816E-5</v>
      </c>
    </row>
    <row r="614" spans="1:1" x14ac:dyDescent="0.2">
      <c r="A614">
        <v>8.1142857142857142E-5</v>
      </c>
    </row>
    <row r="615" spans="1:1" x14ac:dyDescent="0.2">
      <c r="A615">
        <v>2.4571428571428572E-5</v>
      </c>
    </row>
    <row r="616" spans="1:1" x14ac:dyDescent="0.2">
      <c r="A616">
        <v>1.0040816326530611E-5</v>
      </c>
    </row>
    <row r="617" spans="1:1" x14ac:dyDescent="0.2">
      <c r="A617">
        <v>4.1714285714285714E-5</v>
      </c>
    </row>
    <row r="618" spans="1:1" x14ac:dyDescent="0.2">
      <c r="A618">
        <v>2.1142857142857141E-5</v>
      </c>
    </row>
    <row r="619" spans="1:1" x14ac:dyDescent="0.2">
      <c r="A619">
        <v>4.2204081632653062E-5</v>
      </c>
    </row>
    <row r="620" spans="1:1" x14ac:dyDescent="0.2">
      <c r="A620">
        <v>1.0122448979591836E-4</v>
      </c>
    </row>
    <row r="621" spans="1:1" x14ac:dyDescent="0.2">
      <c r="A621">
        <v>6.8734693877551021E-5</v>
      </c>
    </row>
    <row r="622" spans="1:1" x14ac:dyDescent="0.2">
      <c r="A622">
        <v>0</v>
      </c>
    </row>
    <row r="623" spans="1:1" x14ac:dyDescent="0.2">
      <c r="A623">
        <v>3.6571428571428569E-5</v>
      </c>
    </row>
    <row r="624" spans="1:1" x14ac:dyDescent="0.2">
      <c r="A624">
        <v>0</v>
      </c>
    </row>
    <row r="625" spans="1:1" x14ac:dyDescent="0.2">
      <c r="A625">
        <v>0</v>
      </c>
    </row>
    <row r="626" spans="1:1" x14ac:dyDescent="0.2">
      <c r="A626">
        <v>2.653061224489796E-5</v>
      </c>
    </row>
    <row r="627" spans="1:1" x14ac:dyDescent="0.2">
      <c r="A627">
        <v>0</v>
      </c>
    </row>
    <row r="628" spans="1:1" x14ac:dyDescent="0.2">
      <c r="A628">
        <v>0</v>
      </c>
    </row>
    <row r="629" spans="1:1" x14ac:dyDescent="0.2">
      <c r="A629">
        <v>0</v>
      </c>
    </row>
    <row r="630" spans="1:1" x14ac:dyDescent="0.2">
      <c r="A630">
        <v>0</v>
      </c>
    </row>
    <row r="631" spans="1:1" x14ac:dyDescent="0.2">
      <c r="A631">
        <v>0</v>
      </c>
    </row>
    <row r="632" spans="1:1" x14ac:dyDescent="0.2">
      <c r="A632">
        <v>0</v>
      </c>
    </row>
    <row r="633" spans="1:1" x14ac:dyDescent="0.2">
      <c r="A633">
        <v>0</v>
      </c>
    </row>
    <row r="634" spans="1:1" x14ac:dyDescent="0.2">
      <c r="A634">
        <v>0</v>
      </c>
    </row>
    <row r="635" spans="1:1" x14ac:dyDescent="0.2">
      <c r="A635">
        <v>3.5673469387755107E-5</v>
      </c>
    </row>
    <row r="636" spans="1:1" x14ac:dyDescent="0.2">
      <c r="A636">
        <v>0</v>
      </c>
    </row>
    <row r="637" spans="1:1" x14ac:dyDescent="0.2">
      <c r="A637">
        <v>0</v>
      </c>
    </row>
    <row r="638" spans="1:1" x14ac:dyDescent="0.2">
      <c r="A638">
        <v>0</v>
      </c>
    </row>
    <row r="639" spans="1:1" x14ac:dyDescent="0.2">
      <c r="A639">
        <v>1.3061224489795918E-5</v>
      </c>
    </row>
    <row r="640" spans="1:1" x14ac:dyDescent="0.2">
      <c r="A640">
        <v>0</v>
      </c>
    </row>
    <row r="641" spans="1:1" x14ac:dyDescent="0.2">
      <c r="A641">
        <v>0</v>
      </c>
    </row>
    <row r="642" spans="1:1" x14ac:dyDescent="0.2">
      <c r="A642">
        <v>0</v>
      </c>
    </row>
    <row r="643" spans="1:1" x14ac:dyDescent="0.2">
      <c r="A643">
        <v>0</v>
      </c>
    </row>
    <row r="644" spans="1:1" x14ac:dyDescent="0.2">
      <c r="A644">
        <v>0</v>
      </c>
    </row>
    <row r="645" spans="1:1" x14ac:dyDescent="0.2">
      <c r="A645">
        <v>1.9755102040816328E-5</v>
      </c>
    </row>
    <row r="646" spans="1:1" x14ac:dyDescent="0.2">
      <c r="A646">
        <v>0</v>
      </c>
    </row>
    <row r="647" spans="1:1" x14ac:dyDescent="0.2">
      <c r="A647">
        <v>0</v>
      </c>
    </row>
    <row r="648" spans="1:1" x14ac:dyDescent="0.2">
      <c r="A648">
        <v>6.2857142857142848E-5</v>
      </c>
    </row>
    <row r="649" spans="1:1" x14ac:dyDescent="0.2">
      <c r="A649">
        <v>0</v>
      </c>
    </row>
    <row r="650" spans="1:1" x14ac:dyDescent="0.2">
      <c r="A650">
        <v>0</v>
      </c>
    </row>
    <row r="651" spans="1:1" x14ac:dyDescent="0.2">
      <c r="A651">
        <v>1.1346938775510204E-6</v>
      </c>
    </row>
    <row r="652" spans="1:1" x14ac:dyDescent="0.2">
      <c r="A652">
        <v>0</v>
      </c>
    </row>
    <row r="653" spans="1:1" x14ac:dyDescent="0.2">
      <c r="A653">
        <v>0</v>
      </c>
    </row>
    <row r="654" spans="1:1" x14ac:dyDescent="0.2">
      <c r="A654">
        <v>0</v>
      </c>
    </row>
    <row r="655" spans="1:1" x14ac:dyDescent="0.2">
      <c r="A655">
        <v>0</v>
      </c>
    </row>
    <row r="656" spans="1:1" x14ac:dyDescent="0.2">
      <c r="A656">
        <v>0</v>
      </c>
    </row>
    <row r="657" spans="1:1" x14ac:dyDescent="0.2">
      <c r="A657">
        <v>0</v>
      </c>
    </row>
    <row r="658" spans="1:1" x14ac:dyDescent="0.2">
      <c r="A658">
        <v>0</v>
      </c>
    </row>
    <row r="659" spans="1:1" x14ac:dyDescent="0.2">
      <c r="A659">
        <v>6.6122448979591823E-6</v>
      </c>
    </row>
    <row r="660" spans="1:1" x14ac:dyDescent="0.2">
      <c r="A660">
        <v>0</v>
      </c>
    </row>
    <row r="661" spans="1:1" x14ac:dyDescent="0.2">
      <c r="A661">
        <v>0</v>
      </c>
    </row>
    <row r="662" spans="1:1" x14ac:dyDescent="0.2">
      <c r="A662">
        <v>0</v>
      </c>
    </row>
    <row r="663" spans="1:1" x14ac:dyDescent="0.2">
      <c r="A663">
        <v>0</v>
      </c>
    </row>
    <row r="664" spans="1:1" x14ac:dyDescent="0.2">
      <c r="A664">
        <v>0</v>
      </c>
    </row>
    <row r="665" spans="1:1" x14ac:dyDescent="0.2">
      <c r="A665">
        <v>9.3061224489795916E-5</v>
      </c>
    </row>
    <row r="666" spans="1:1" x14ac:dyDescent="0.2">
      <c r="A666">
        <v>0</v>
      </c>
    </row>
    <row r="667" spans="1:1" x14ac:dyDescent="0.2">
      <c r="A667">
        <v>0</v>
      </c>
    </row>
    <row r="668" spans="1:1" x14ac:dyDescent="0.2">
      <c r="A668">
        <v>0</v>
      </c>
    </row>
    <row r="669" spans="1:1" x14ac:dyDescent="0.2">
      <c r="A669">
        <v>0</v>
      </c>
    </row>
    <row r="670" spans="1:1" x14ac:dyDescent="0.2">
      <c r="A670">
        <v>0</v>
      </c>
    </row>
    <row r="671" spans="1:1" x14ac:dyDescent="0.2">
      <c r="A671">
        <v>0</v>
      </c>
    </row>
    <row r="672" spans="1:1" x14ac:dyDescent="0.2">
      <c r="A672">
        <v>0</v>
      </c>
    </row>
    <row r="673" spans="1:1" x14ac:dyDescent="0.2">
      <c r="A673">
        <v>8.4081632653061215E-5</v>
      </c>
    </row>
    <row r="674" spans="1:1" x14ac:dyDescent="0.2">
      <c r="A674">
        <v>0</v>
      </c>
    </row>
    <row r="675" spans="1:1" x14ac:dyDescent="0.2">
      <c r="A675">
        <v>0</v>
      </c>
    </row>
    <row r="676" spans="1:1" x14ac:dyDescent="0.2">
      <c r="A676">
        <v>1.5183673469387756E-5</v>
      </c>
    </row>
    <row r="677" spans="1:1" x14ac:dyDescent="0.2">
      <c r="A677">
        <v>0</v>
      </c>
    </row>
    <row r="678" spans="1:1" x14ac:dyDescent="0.2">
      <c r="A678">
        <v>0</v>
      </c>
    </row>
    <row r="679" spans="1:1" x14ac:dyDescent="0.2">
      <c r="A679">
        <v>3.248979591836734E-5</v>
      </c>
    </row>
    <row r="680" spans="1:1" x14ac:dyDescent="0.2">
      <c r="A680">
        <v>0</v>
      </c>
    </row>
    <row r="681" spans="1:1" x14ac:dyDescent="0.2">
      <c r="A681">
        <v>0</v>
      </c>
    </row>
    <row r="682" spans="1:1" x14ac:dyDescent="0.2">
      <c r="A682">
        <v>0</v>
      </c>
    </row>
    <row r="683" spans="1:1" x14ac:dyDescent="0.2">
      <c r="A683">
        <v>0</v>
      </c>
    </row>
    <row r="684" spans="1:1" x14ac:dyDescent="0.2">
      <c r="A684">
        <v>0</v>
      </c>
    </row>
    <row r="685" spans="1:1" x14ac:dyDescent="0.2">
      <c r="A685">
        <v>2.8571428571428571E-5</v>
      </c>
    </row>
    <row r="686" spans="1:1" x14ac:dyDescent="0.2">
      <c r="A686">
        <v>0</v>
      </c>
    </row>
    <row r="687" spans="1:1" x14ac:dyDescent="0.2">
      <c r="A687">
        <v>0</v>
      </c>
    </row>
    <row r="688" spans="1:1" x14ac:dyDescent="0.2">
      <c r="A688">
        <v>8.1632653061224483E-6</v>
      </c>
    </row>
    <row r="689" spans="1:1" x14ac:dyDescent="0.2">
      <c r="A689">
        <v>0</v>
      </c>
    </row>
    <row r="690" spans="1:1" x14ac:dyDescent="0.2">
      <c r="A690">
        <v>0</v>
      </c>
    </row>
    <row r="691" spans="1:1" x14ac:dyDescent="0.2">
      <c r="A691">
        <v>1.1755102040816326E-5</v>
      </c>
    </row>
    <row r="692" spans="1:1" x14ac:dyDescent="0.2">
      <c r="A692">
        <v>0</v>
      </c>
    </row>
    <row r="693" spans="1:1" x14ac:dyDescent="0.2">
      <c r="A693">
        <v>0</v>
      </c>
    </row>
    <row r="694" spans="1:1" x14ac:dyDescent="0.2">
      <c r="A694">
        <v>4.685714285714285E-6</v>
      </c>
    </row>
    <row r="695" spans="1:1" x14ac:dyDescent="0.2">
      <c r="A695">
        <v>0</v>
      </c>
    </row>
    <row r="696" spans="1:1" x14ac:dyDescent="0.2">
      <c r="A696">
        <v>0</v>
      </c>
    </row>
    <row r="697" spans="1:1" x14ac:dyDescent="0.2">
      <c r="A697">
        <v>0</v>
      </c>
    </row>
    <row r="698" spans="1:1" x14ac:dyDescent="0.2">
      <c r="A698">
        <v>0</v>
      </c>
    </row>
    <row r="699" spans="1:1" x14ac:dyDescent="0.2">
      <c r="A699">
        <v>0</v>
      </c>
    </row>
    <row r="700" spans="1:1" x14ac:dyDescent="0.2">
      <c r="A700">
        <v>0</v>
      </c>
    </row>
    <row r="701" spans="1:1" x14ac:dyDescent="0.2">
      <c r="A701">
        <v>0</v>
      </c>
    </row>
    <row r="702" spans="1:1" x14ac:dyDescent="0.2">
      <c r="A702">
        <v>0</v>
      </c>
    </row>
    <row r="703" spans="1:1" x14ac:dyDescent="0.2">
      <c r="A703">
        <v>3.6734693877551019E-3</v>
      </c>
    </row>
    <row r="704" spans="1:1" x14ac:dyDescent="0.2">
      <c r="A704">
        <v>4.9795918367346941E-4</v>
      </c>
    </row>
    <row r="705" spans="1:1" x14ac:dyDescent="0.2">
      <c r="A705">
        <v>0</v>
      </c>
    </row>
    <row r="706" spans="1:1" x14ac:dyDescent="0.2">
      <c r="A706">
        <v>0</v>
      </c>
    </row>
    <row r="707" spans="1:1" x14ac:dyDescent="0.2">
      <c r="A707">
        <v>1.4693877551020406E-4</v>
      </c>
    </row>
    <row r="708" spans="1:1" x14ac:dyDescent="0.2">
      <c r="A708">
        <v>8.1632653061224483E-6</v>
      </c>
    </row>
    <row r="709" spans="1:1" x14ac:dyDescent="0.2">
      <c r="A709">
        <v>4.2448979591836735E-4</v>
      </c>
    </row>
    <row r="710" spans="1:1" x14ac:dyDescent="0.2">
      <c r="A710">
        <v>4.0816326530612238E-5</v>
      </c>
    </row>
    <row r="711" spans="1:1" x14ac:dyDescent="0.2">
      <c r="A711">
        <v>1.8938775510204081E-3</v>
      </c>
    </row>
    <row r="712" spans="1:1" x14ac:dyDescent="0.2">
      <c r="A712">
        <v>1.0612244897959184E-4</v>
      </c>
    </row>
    <row r="713" spans="1:1" x14ac:dyDescent="0.2">
      <c r="A713">
        <v>2.3673469387755101E-4</v>
      </c>
    </row>
    <row r="714" spans="1:1" x14ac:dyDescent="0.2">
      <c r="A714">
        <v>1.6326530612244897E-5</v>
      </c>
    </row>
    <row r="715" spans="1:1" x14ac:dyDescent="0.2">
      <c r="A715">
        <v>7.3469387755102037E-4</v>
      </c>
    </row>
    <row r="716" spans="1:1" x14ac:dyDescent="0.2">
      <c r="A716">
        <v>7.3469387755102032E-5</v>
      </c>
    </row>
    <row r="717" spans="1:1" x14ac:dyDescent="0.2">
      <c r="A717">
        <v>0</v>
      </c>
    </row>
    <row r="718" spans="1:1" x14ac:dyDescent="0.2">
      <c r="A718">
        <v>0</v>
      </c>
    </row>
    <row r="719" spans="1:1" x14ac:dyDescent="0.2">
      <c r="A719">
        <v>0</v>
      </c>
    </row>
    <row r="720" spans="1:1" x14ac:dyDescent="0.2">
      <c r="A720">
        <v>0</v>
      </c>
    </row>
    <row r="721" spans="1:1" x14ac:dyDescent="0.2">
      <c r="A721">
        <v>0</v>
      </c>
    </row>
    <row r="722" spans="1:1" x14ac:dyDescent="0.2">
      <c r="A722">
        <v>0</v>
      </c>
    </row>
    <row r="723" spans="1:1" x14ac:dyDescent="0.2">
      <c r="A723">
        <v>0</v>
      </c>
    </row>
    <row r="724" spans="1:1" x14ac:dyDescent="0.2">
      <c r="A724">
        <v>0</v>
      </c>
    </row>
    <row r="725" spans="1:1" x14ac:dyDescent="0.2">
      <c r="A725">
        <v>1.4693877551020407E-3</v>
      </c>
    </row>
    <row r="726" spans="1:1" x14ac:dyDescent="0.2">
      <c r="A726">
        <v>0</v>
      </c>
    </row>
    <row r="727" spans="1:1" x14ac:dyDescent="0.2">
      <c r="A727">
        <v>4.0244897959183668E-3</v>
      </c>
    </row>
    <row r="728" spans="1:1" x14ac:dyDescent="0.2">
      <c r="A728">
        <v>4.8979591836734691E-4</v>
      </c>
    </row>
    <row r="729" spans="1:1" x14ac:dyDescent="0.2">
      <c r="A729">
        <v>2.9387755102040813E-4</v>
      </c>
    </row>
    <row r="730" spans="1:1" x14ac:dyDescent="0.2">
      <c r="A730">
        <v>0</v>
      </c>
    </row>
    <row r="731" spans="1:1" x14ac:dyDescent="0.2">
      <c r="A731">
        <v>1.053061224489796E-3</v>
      </c>
    </row>
    <row r="732" spans="1:1" x14ac:dyDescent="0.2">
      <c r="A732">
        <v>1.7959183673469387E-4</v>
      </c>
    </row>
    <row r="733" spans="1:1" x14ac:dyDescent="0.2">
      <c r="A733">
        <v>3.5918367346938774E-4</v>
      </c>
    </row>
    <row r="734" spans="1:1" x14ac:dyDescent="0.2">
      <c r="A734">
        <v>1.6326530612244897E-5</v>
      </c>
    </row>
    <row r="735" spans="1:1" x14ac:dyDescent="0.2">
      <c r="A735">
        <v>1.7714285714285714E-3</v>
      </c>
    </row>
    <row r="736" spans="1:1" x14ac:dyDescent="0.2">
      <c r="A736">
        <v>3.1836734693877552E-4</v>
      </c>
    </row>
    <row r="737" spans="1:1" x14ac:dyDescent="0.2">
      <c r="A737">
        <v>3.7551020408163268E-4</v>
      </c>
    </row>
    <row r="738" spans="1:1" x14ac:dyDescent="0.2">
      <c r="A738">
        <v>8.1632653061224483E-6</v>
      </c>
    </row>
    <row r="739" spans="1:1" x14ac:dyDescent="0.2">
      <c r="A739">
        <v>8.9795918367346938E-4</v>
      </c>
    </row>
    <row r="740" spans="1:1" x14ac:dyDescent="0.2">
      <c r="A740">
        <v>4.0816326530612238E-5</v>
      </c>
    </row>
    <row r="741" spans="1:1" x14ac:dyDescent="0.2">
      <c r="A741">
        <v>0</v>
      </c>
    </row>
    <row r="742" spans="1:1" x14ac:dyDescent="0.2">
      <c r="A742">
        <v>0</v>
      </c>
    </row>
    <row r="743" spans="1:1" x14ac:dyDescent="0.2">
      <c r="A743">
        <v>0</v>
      </c>
    </row>
    <row r="744" spans="1:1" x14ac:dyDescent="0.2">
      <c r="A744">
        <v>0</v>
      </c>
    </row>
    <row r="745" spans="1:1" x14ac:dyDescent="0.2">
      <c r="A745">
        <v>0</v>
      </c>
    </row>
    <row r="746" spans="1:1" x14ac:dyDescent="0.2">
      <c r="A746">
        <v>0</v>
      </c>
    </row>
    <row r="747" spans="1:1" x14ac:dyDescent="0.2">
      <c r="A747">
        <v>0</v>
      </c>
    </row>
    <row r="748" spans="1:1" x14ac:dyDescent="0.2">
      <c r="A748">
        <v>0</v>
      </c>
    </row>
    <row r="749" spans="1:1" x14ac:dyDescent="0.2">
      <c r="A749">
        <v>3.8367346938775502E-4</v>
      </c>
    </row>
    <row r="750" spans="1:1" x14ac:dyDescent="0.2">
      <c r="A750">
        <v>4.0816326530612238E-5</v>
      </c>
    </row>
    <row r="751" spans="1:1" x14ac:dyDescent="0.2">
      <c r="A751">
        <v>9.9591836734693883E-4</v>
      </c>
    </row>
    <row r="752" spans="1:1" x14ac:dyDescent="0.2">
      <c r="A752">
        <v>7.3469387755102032E-5</v>
      </c>
    </row>
    <row r="753" spans="1:1" x14ac:dyDescent="0.2">
      <c r="A753">
        <v>1.714285714285714E-4</v>
      </c>
    </row>
    <row r="754" spans="1:1" x14ac:dyDescent="0.2">
      <c r="A754">
        <v>2.4489795918367345E-5</v>
      </c>
    </row>
    <row r="755" spans="1:1" x14ac:dyDescent="0.2">
      <c r="A755">
        <v>7.1020408163265298E-4</v>
      </c>
    </row>
    <row r="756" spans="1:1" x14ac:dyDescent="0.2">
      <c r="A756">
        <v>3.2653061224489793E-5</v>
      </c>
    </row>
    <row r="757" spans="1:1" x14ac:dyDescent="0.2">
      <c r="A757">
        <v>3.5918367346938774E-4</v>
      </c>
    </row>
    <row r="758" spans="1:1" x14ac:dyDescent="0.2">
      <c r="A758">
        <v>3.2653061224489793E-5</v>
      </c>
    </row>
    <row r="759" spans="1:1" x14ac:dyDescent="0.2">
      <c r="A759">
        <v>1.4530612244897957E-3</v>
      </c>
    </row>
    <row r="760" spans="1:1" x14ac:dyDescent="0.2">
      <c r="A760">
        <v>1.2244897959183673E-4</v>
      </c>
    </row>
    <row r="761" spans="1:1" x14ac:dyDescent="0.2">
      <c r="A761">
        <v>2.2040816326530612E-4</v>
      </c>
    </row>
    <row r="762" spans="1:1" x14ac:dyDescent="0.2">
      <c r="A762">
        <v>8.1632653061224483E-6</v>
      </c>
    </row>
    <row r="763" spans="1:1" x14ac:dyDescent="0.2">
      <c r="A763">
        <v>1.2653061224489795E-3</v>
      </c>
    </row>
    <row r="764" spans="1:1" x14ac:dyDescent="0.2">
      <c r="A764">
        <v>1.3877551020408162E-4</v>
      </c>
    </row>
    <row r="765" spans="1:1" x14ac:dyDescent="0.2">
      <c r="A765">
        <v>0</v>
      </c>
    </row>
    <row r="766" spans="1:1" x14ac:dyDescent="0.2">
      <c r="A766">
        <v>0</v>
      </c>
    </row>
    <row r="767" spans="1:1" x14ac:dyDescent="0.2">
      <c r="A767">
        <v>0</v>
      </c>
    </row>
    <row r="768" spans="1:1" x14ac:dyDescent="0.2">
      <c r="A768">
        <v>0</v>
      </c>
    </row>
    <row r="769" spans="1:1" x14ac:dyDescent="0.2">
      <c r="A769">
        <v>0</v>
      </c>
    </row>
    <row r="770" spans="1:1" x14ac:dyDescent="0.2">
      <c r="A770">
        <v>0</v>
      </c>
    </row>
    <row r="771" spans="1:1" x14ac:dyDescent="0.2">
      <c r="A771">
        <v>0</v>
      </c>
    </row>
    <row r="772" spans="1:1" x14ac:dyDescent="0.2">
      <c r="A772">
        <v>0</v>
      </c>
    </row>
    <row r="773" spans="1:1" x14ac:dyDescent="0.2">
      <c r="A773">
        <v>0</v>
      </c>
    </row>
    <row r="774" spans="1:1" x14ac:dyDescent="0.2">
      <c r="A774">
        <v>0</v>
      </c>
    </row>
    <row r="775" spans="1:1" x14ac:dyDescent="0.2">
      <c r="A775">
        <v>0</v>
      </c>
    </row>
    <row r="776" spans="1:1" x14ac:dyDescent="0.2">
      <c r="A776">
        <v>0</v>
      </c>
    </row>
    <row r="777" spans="1:1" x14ac:dyDescent="0.2">
      <c r="A777">
        <v>0</v>
      </c>
    </row>
    <row r="778" spans="1:1" x14ac:dyDescent="0.2">
      <c r="A778">
        <v>0</v>
      </c>
    </row>
    <row r="779" spans="1:1" x14ac:dyDescent="0.2">
      <c r="A779">
        <v>6.1224489795918353E-4</v>
      </c>
    </row>
    <row r="780" spans="1:1" x14ac:dyDescent="0.2">
      <c r="A780">
        <v>8.9795918367346935E-5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AAA7-B9EE-0646-B443-F7ED6E321EBF}">
  <dimension ref="A1:K111"/>
  <sheetViews>
    <sheetView topLeftCell="A60" zoomScaleNormal="100" workbookViewId="0">
      <selection activeCell="G74" sqref="G74"/>
    </sheetView>
  </sheetViews>
  <sheetFormatPr baseColWidth="10" defaultRowHeight="16" x14ac:dyDescent="0.2"/>
  <cols>
    <col min="2" max="3" width="12.1640625" bestFit="1" customWidth="1"/>
    <col min="4" max="4" width="21.1640625" bestFit="1" customWidth="1"/>
    <col min="5" max="5" width="27.33203125" bestFit="1" customWidth="1"/>
    <col min="6" max="6" width="20.33203125" customWidth="1"/>
    <col min="7" max="7" width="23.1640625" bestFit="1" customWidth="1"/>
    <col min="8" max="8" width="27.6640625" bestFit="1" customWidth="1"/>
  </cols>
  <sheetData>
    <row r="1" spans="1:6" x14ac:dyDescent="0.2">
      <c r="A1" t="s">
        <v>471</v>
      </c>
      <c r="B1" t="s">
        <v>472</v>
      </c>
      <c r="C1" t="s">
        <v>473</v>
      </c>
      <c r="D1" t="s">
        <v>503</v>
      </c>
      <c r="E1" t="s">
        <v>609</v>
      </c>
      <c r="F1" t="s">
        <v>23</v>
      </c>
    </row>
    <row r="2" spans="1:6" x14ac:dyDescent="0.2">
      <c r="A2">
        <v>0.27</v>
      </c>
      <c r="B2">
        <v>0.48</v>
      </c>
      <c r="C2">
        <v>0.25</v>
      </c>
      <c r="D2">
        <v>69.23</v>
      </c>
      <c r="E2" t="s">
        <v>480</v>
      </c>
      <c r="F2" s="4" t="s">
        <v>474</v>
      </c>
    </row>
    <row r="3" spans="1:6" x14ac:dyDescent="0.2">
      <c r="A3">
        <f>24/(24+66+7)</f>
        <v>0.24742268041237114</v>
      </c>
      <c r="B3">
        <f>66/(24+66+7)</f>
        <v>0.68041237113402064</v>
      </c>
      <c r="C3">
        <f>7/(24+66+7)</f>
        <v>7.2164948453608241E-2</v>
      </c>
      <c r="D3">
        <v>212</v>
      </c>
      <c r="E3" t="s">
        <v>479</v>
      </c>
      <c r="F3" s="4" t="s">
        <v>476</v>
      </c>
    </row>
    <row r="4" spans="1:6" x14ac:dyDescent="0.2">
      <c r="A4">
        <f>8/(8+30.5+12)</f>
        <v>0.15841584158415842</v>
      </c>
      <c r="B4">
        <f>30.5/(8+30.5+12)</f>
        <v>0.60396039603960394</v>
      </c>
      <c r="C4">
        <f>12/(8+30.5+12)</f>
        <v>0.23762376237623761</v>
      </c>
      <c r="D4">
        <v>1451</v>
      </c>
      <c r="E4" t="s">
        <v>383</v>
      </c>
      <c r="F4" s="4" t="s">
        <v>475</v>
      </c>
    </row>
    <row r="5" spans="1:6" x14ac:dyDescent="0.2">
      <c r="A5">
        <f>33/(33+51+13)</f>
        <v>0.34020618556701032</v>
      </c>
      <c r="B5">
        <f>51/(33+51+13)</f>
        <v>0.52577319587628868</v>
      </c>
      <c r="C5">
        <f>13/(33+51+13)</f>
        <v>0.13402061855670103</v>
      </c>
      <c r="D5">
        <v>27.2</v>
      </c>
      <c r="E5" t="s">
        <v>477</v>
      </c>
      <c r="F5" s="4" t="s">
        <v>492</v>
      </c>
    </row>
    <row r="6" spans="1:6" x14ac:dyDescent="0.2">
      <c r="A6">
        <f>23/(23+58+2)</f>
        <v>0.27710843373493976</v>
      </c>
      <c r="B6">
        <f>58/(23+58+2)</f>
        <v>0.6987951807228916</v>
      </c>
      <c r="C6">
        <f>2/(23+58+2)</f>
        <v>2.4096385542168676E-2</v>
      </c>
      <c r="D6">
        <v>51.75</v>
      </c>
      <c r="E6" t="s">
        <v>478</v>
      </c>
      <c r="F6" s="4" t="s">
        <v>492</v>
      </c>
    </row>
    <row r="7" spans="1:6" x14ac:dyDescent="0.2">
      <c r="A7">
        <f>73/(73+18)</f>
        <v>0.80219780219780223</v>
      </c>
      <c r="B7">
        <f>18/(73+18)</f>
        <v>0.19780219780219779</v>
      </c>
      <c r="C7">
        <v>0</v>
      </c>
      <c r="D7">
        <v>10.57</v>
      </c>
      <c r="E7" t="s">
        <v>481</v>
      </c>
      <c r="F7" s="4" t="s">
        <v>492</v>
      </c>
    </row>
    <row r="8" spans="1:6" x14ac:dyDescent="0.2">
      <c r="A8">
        <f>62/(62+28)</f>
        <v>0.68888888888888888</v>
      </c>
      <c r="B8">
        <f>28/(62+28)</f>
        <v>0.31111111111111112</v>
      </c>
      <c r="C8">
        <v>0</v>
      </c>
      <c r="D8">
        <v>10.7</v>
      </c>
      <c r="E8" t="s">
        <v>482</v>
      </c>
      <c r="F8" s="4" t="s">
        <v>492</v>
      </c>
    </row>
    <row r="9" spans="1:6" x14ac:dyDescent="0.2">
      <c r="A9">
        <f>54/(54+11+3)</f>
        <v>0.79411764705882348</v>
      </c>
      <c r="B9">
        <f>11/(54+11+3)</f>
        <v>0.16176470588235295</v>
      </c>
      <c r="C9">
        <f>3/(54+11+3)</f>
        <v>4.4117647058823532E-2</v>
      </c>
      <c r="D9">
        <v>17.989999999999998</v>
      </c>
      <c r="E9" t="s">
        <v>483</v>
      </c>
      <c r="F9" s="4" t="s">
        <v>492</v>
      </c>
    </row>
    <row r="10" spans="1:6" x14ac:dyDescent="0.2">
      <c r="A10">
        <f>24/(24+51+19)</f>
        <v>0.25531914893617019</v>
      </c>
      <c r="B10">
        <f>51/(24+51+19)</f>
        <v>0.54255319148936165</v>
      </c>
      <c r="C10">
        <f>19/(24+51+19)</f>
        <v>0.20212765957446807</v>
      </c>
      <c r="D10">
        <v>5.3380000000000001</v>
      </c>
      <c r="E10" t="s">
        <v>484</v>
      </c>
      <c r="F10" s="4" t="s">
        <v>492</v>
      </c>
    </row>
    <row r="11" spans="1:6" x14ac:dyDescent="0.2">
      <c r="A11">
        <f>22/(22+63+11)</f>
        <v>0.22916666666666666</v>
      </c>
      <c r="B11">
        <f>63/(22+63+11)</f>
        <v>0.65625</v>
      </c>
      <c r="C11">
        <f>11/(22+63+11)</f>
        <v>0.11458333333333333</v>
      </c>
      <c r="D11">
        <v>69.23</v>
      </c>
      <c r="E11" t="s">
        <v>485</v>
      </c>
      <c r="F11" s="4" t="s">
        <v>492</v>
      </c>
    </row>
    <row r="12" spans="1:6" x14ac:dyDescent="0.2">
      <c r="A12">
        <f>12/(12+13+15)</f>
        <v>0.3</v>
      </c>
      <c r="B12">
        <f>13/(12+13+15)</f>
        <v>0.32500000000000001</v>
      </c>
      <c r="C12">
        <f>15/(12+13+15)</f>
        <v>0.375</v>
      </c>
      <c r="D12">
        <v>340.1</v>
      </c>
      <c r="E12" t="s">
        <v>486</v>
      </c>
      <c r="F12" s="4" t="s">
        <v>492</v>
      </c>
    </row>
    <row r="13" spans="1:6" x14ac:dyDescent="0.2">
      <c r="A13">
        <f>8/(8+59+30)</f>
        <v>8.247422680412371E-2</v>
      </c>
      <c r="B13">
        <f>59/(8+59+30)</f>
        <v>0.60824742268041232</v>
      </c>
      <c r="C13">
        <f>30/(8+59+30)</f>
        <v>0.30927835051546393</v>
      </c>
      <c r="D13">
        <v>36.549999999999997</v>
      </c>
      <c r="E13" t="s">
        <v>487</v>
      </c>
      <c r="F13" s="4" t="s">
        <v>492</v>
      </c>
    </row>
    <row r="14" spans="1:6" x14ac:dyDescent="0.2">
      <c r="A14">
        <f>6/(6+51+43)</f>
        <v>0.06</v>
      </c>
      <c r="B14">
        <f>51/(6+51+43)</f>
        <v>0.51</v>
      </c>
      <c r="C14">
        <f>43/(6+51+43)</f>
        <v>0.43</v>
      </c>
      <c r="D14">
        <v>5.38</v>
      </c>
      <c r="E14" t="s">
        <v>488</v>
      </c>
      <c r="F14" s="4" t="s">
        <v>492</v>
      </c>
    </row>
    <row r="15" spans="1:6" x14ac:dyDescent="0.2">
      <c r="A15">
        <f>6/(6+80+4)</f>
        <v>6.6666666666666666E-2</v>
      </c>
      <c r="B15">
        <f>80/(6+80+4)</f>
        <v>0.88888888888888884</v>
      </c>
      <c r="C15">
        <f>4/(6+80+4)</f>
        <v>4.4444444444444446E-2</v>
      </c>
      <c r="D15">
        <v>9.9740000000000002</v>
      </c>
      <c r="E15" t="s">
        <v>489</v>
      </c>
      <c r="F15" s="4" t="s">
        <v>492</v>
      </c>
    </row>
    <row r="16" spans="1:6" x14ac:dyDescent="0.2">
      <c r="A16">
        <f>6/(6+41+12)</f>
        <v>0.10169491525423729</v>
      </c>
      <c r="B16">
        <f>41/(6+41+12)</f>
        <v>0.69491525423728817</v>
      </c>
      <c r="C16">
        <f>12/(6+41+12)</f>
        <v>0.20338983050847459</v>
      </c>
      <c r="D16">
        <v>1.8620000000000001</v>
      </c>
      <c r="E16" t="s">
        <v>490</v>
      </c>
      <c r="F16" s="4" t="s">
        <v>492</v>
      </c>
    </row>
    <row r="17" spans="1:6" x14ac:dyDescent="0.2">
      <c r="A17">
        <f>3/(3+89+8)</f>
        <v>0.03</v>
      </c>
      <c r="B17">
        <f>89/(3+89+8)</f>
        <v>0.89</v>
      </c>
      <c r="C17">
        <f>8/(3+89+8)</f>
        <v>0.08</v>
      </c>
      <c r="D17">
        <v>2.8879999999999999</v>
      </c>
      <c r="E17" t="s">
        <v>491</v>
      </c>
      <c r="F17" s="4" t="s">
        <v>492</v>
      </c>
    </row>
    <row r="18" spans="1:6" x14ac:dyDescent="0.2">
      <c r="A18">
        <f>21.8/(21.8+63.2+11.5)</f>
        <v>0.22590673575129536</v>
      </c>
      <c r="B18">
        <f>63.2/(21.8+63.2+11.5)</f>
        <v>0.6549222797927462</v>
      </c>
      <c r="C18">
        <f>11.5/(21.8+63.2+11.5)</f>
        <v>0.11917098445595854</v>
      </c>
      <c r="D18">
        <v>69.23</v>
      </c>
      <c r="E18" t="s">
        <v>480</v>
      </c>
      <c r="F18" s="4" t="s">
        <v>493</v>
      </c>
    </row>
    <row r="19" spans="1:6" x14ac:dyDescent="0.2">
      <c r="A19">
        <f>0</f>
        <v>0</v>
      </c>
      <c r="B19">
        <f>(60.04+12.98)/(60.04+12.98+10.34+8.72)</f>
        <v>0.7930060816681147</v>
      </c>
      <c r="C19">
        <f>(10.34+8.72)/(60.04+12.98+10.34+8.72)</f>
        <v>0.20699391833188535</v>
      </c>
      <c r="D19">
        <v>132.1</v>
      </c>
      <c r="E19" t="s">
        <v>495</v>
      </c>
      <c r="F19" s="4" t="s">
        <v>494</v>
      </c>
    </row>
    <row r="20" spans="1:6" x14ac:dyDescent="0.2">
      <c r="A20">
        <f>17/(17+14+46)</f>
        <v>0.22077922077922077</v>
      </c>
      <c r="B20">
        <f>14/(17+14+46)</f>
        <v>0.18181818181818182</v>
      </c>
      <c r="C20">
        <f>46/(17+14+46)</f>
        <v>0.59740259740259738</v>
      </c>
      <c r="D20">
        <v>69.23</v>
      </c>
      <c r="E20" t="s">
        <v>480</v>
      </c>
      <c r="F20" s="4" t="s">
        <v>502</v>
      </c>
    </row>
    <row r="21" spans="1:6" x14ac:dyDescent="0.2">
      <c r="A21">
        <f>58/(58+9+3)</f>
        <v>0.82857142857142863</v>
      </c>
      <c r="B21">
        <f>9/(58+9+3)</f>
        <v>0.12857142857142856</v>
      </c>
      <c r="C21">
        <f>3/(58+9+3)</f>
        <v>4.2857142857142858E-2</v>
      </c>
      <c r="D21">
        <v>17.989999999999998</v>
      </c>
      <c r="E21" t="s">
        <v>496</v>
      </c>
      <c r="F21" s="4" t="s">
        <v>502</v>
      </c>
    </row>
    <row r="22" spans="1:6" x14ac:dyDescent="0.2">
      <c r="A22">
        <f>1.4/(1.4+54+35.4)</f>
        <v>1.5418502202643172E-2</v>
      </c>
      <c r="B22">
        <f>54/(1.4+54+35.4)</f>
        <v>0.59471365638766527</v>
      </c>
      <c r="C22">
        <f>35.4/(1.4+54+35.4)</f>
        <v>0.38986784140969161</v>
      </c>
      <c r="D22">
        <v>340.1</v>
      </c>
      <c r="E22" t="s">
        <v>497</v>
      </c>
      <c r="F22" s="4" t="s">
        <v>502</v>
      </c>
    </row>
    <row r="23" spans="1:6" x14ac:dyDescent="0.2">
      <c r="A23">
        <f>34/(34+15+27)</f>
        <v>0.44736842105263158</v>
      </c>
      <c r="B23">
        <f>15/(34+15+27)</f>
        <v>0.19736842105263158</v>
      </c>
      <c r="C23">
        <f>27/(34+15+27)</f>
        <v>0.35526315789473684</v>
      </c>
      <c r="D23">
        <v>69.23</v>
      </c>
      <c r="E23" t="s">
        <v>480</v>
      </c>
      <c r="F23" s="4" t="s">
        <v>502</v>
      </c>
    </row>
    <row r="24" spans="1:6" x14ac:dyDescent="0.2">
      <c r="A24">
        <f>21.8/(21.8+63.2+3.5+11.5)</f>
        <v>0.218</v>
      </c>
      <c r="B24">
        <f>(63.2+3.5)/(21.8+63.2+3.5+11.5)</f>
        <v>0.66700000000000004</v>
      </c>
      <c r="C24">
        <f>11.5/(21.8+63.2+3.5+11.5)</f>
        <v>0.115</v>
      </c>
      <c r="D24">
        <v>69.23</v>
      </c>
      <c r="E24" t="s">
        <v>480</v>
      </c>
      <c r="F24" s="4" t="s">
        <v>502</v>
      </c>
    </row>
    <row r="25" spans="1:6" x14ac:dyDescent="0.2">
      <c r="A25">
        <f>11.9/(11.9+76.5+11.2)</f>
        <v>0.11947791164658633</v>
      </c>
      <c r="B25">
        <f>76.5/(11.9+76.5+11.2)</f>
        <v>0.7680722891566264</v>
      </c>
      <c r="C25">
        <f>11.2/(11.9+76.5+11.2)</f>
        <v>0.11244979919678713</v>
      </c>
      <c r="D25">
        <v>4.9740000000000002</v>
      </c>
      <c r="E25" t="s">
        <v>498</v>
      </c>
      <c r="F25" s="4" t="s">
        <v>502</v>
      </c>
    </row>
    <row r="26" spans="1:6" x14ac:dyDescent="0.2">
      <c r="A26">
        <v>0</v>
      </c>
      <c r="B26">
        <f>97/(97+2)</f>
        <v>0.97979797979797978</v>
      </c>
      <c r="C26">
        <f>2/(97+2)</f>
        <v>2.0202020202020204E-2</v>
      </c>
      <c r="D26">
        <v>4.9740000000000002</v>
      </c>
      <c r="E26" t="s">
        <v>498</v>
      </c>
      <c r="F26" s="4" t="s">
        <v>502</v>
      </c>
    </row>
    <row r="27" spans="1:6" x14ac:dyDescent="0.2">
      <c r="A27">
        <f>3/(3+89+2+8)</f>
        <v>2.9411764705882353E-2</v>
      </c>
      <c r="B27">
        <f>(89+2)/(3+89+2+8)</f>
        <v>0.89215686274509809</v>
      </c>
      <c r="C27">
        <f>8/(3+89+2+8)</f>
        <v>7.8431372549019607E-2</v>
      </c>
      <c r="D27">
        <v>2.8879999999999999</v>
      </c>
      <c r="E27" t="s">
        <v>499</v>
      </c>
      <c r="F27" s="4" t="s">
        <v>502</v>
      </c>
    </row>
    <row r="28" spans="1:6" x14ac:dyDescent="0.2">
      <c r="A28">
        <v>0</v>
      </c>
      <c r="B28">
        <f>(87+12.5)/(87+12.5+6)</f>
        <v>0.94312796208530802</v>
      </c>
      <c r="C28">
        <f>6/(87+12.5+6)</f>
        <v>5.6872037914691941E-2</v>
      </c>
      <c r="D28">
        <v>2.8879999999999999</v>
      </c>
      <c r="E28" t="s">
        <v>499</v>
      </c>
      <c r="F28" s="4" t="s">
        <v>502</v>
      </c>
    </row>
    <row r="29" spans="1:6" x14ac:dyDescent="0.2">
      <c r="A29">
        <v>0</v>
      </c>
      <c r="B29">
        <v>1</v>
      </c>
      <c r="C29">
        <v>0</v>
      </c>
      <c r="D29">
        <v>2.8879999999999999</v>
      </c>
      <c r="E29" t="s">
        <v>499</v>
      </c>
      <c r="F29" s="4" t="s">
        <v>502</v>
      </c>
    </row>
    <row r="30" spans="1:6" x14ac:dyDescent="0.2">
      <c r="A30">
        <f>17/(17+24+0.7+55)</f>
        <v>0.17580144777662873</v>
      </c>
      <c r="B30">
        <f>(24+0.7)/(17+24+0.7+55)</f>
        <v>0.25542916235780766</v>
      </c>
      <c r="C30">
        <f>55/(17+24+0.7+55)</f>
        <v>0.56876938986556358</v>
      </c>
      <c r="D30">
        <v>5.3380000000000001</v>
      </c>
      <c r="E30" t="s">
        <v>500</v>
      </c>
      <c r="F30" s="4" t="s">
        <v>502</v>
      </c>
    </row>
    <row r="31" spans="1:6" x14ac:dyDescent="0.2">
      <c r="A31">
        <f>24/(24+51+2.4+19)</f>
        <v>0.24896265560165973</v>
      </c>
      <c r="B31">
        <f>(51+2.4)/(24+51+2.4+19)</f>
        <v>0.55394190871369287</v>
      </c>
      <c r="C31">
        <f>19/(24+51+2.4+19)</f>
        <v>0.1970954356846473</v>
      </c>
      <c r="D31">
        <v>5.3380000000000001</v>
      </c>
      <c r="E31" t="s">
        <v>500</v>
      </c>
      <c r="F31" s="4" t="s">
        <v>502</v>
      </c>
    </row>
    <row r="32" spans="1:6" x14ac:dyDescent="0.2">
      <c r="A32">
        <f>13/(13+80+2.4+1)</f>
        <v>0.13485477178423236</v>
      </c>
      <c r="B32">
        <f>(80+2.4)/(13+80+2.4+1)</f>
        <v>0.85477178423236511</v>
      </c>
      <c r="C32">
        <f>1/(13+80+2.4+1)</f>
        <v>1.0373443983402489E-2</v>
      </c>
      <c r="D32">
        <v>5.3380000000000001</v>
      </c>
      <c r="E32" t="s">
        <v>500</v>
      </c>
      <c r="F32" s="4" t="s">
        <v>502</v>
      </c>
    </row>
    <row r="33" spans="1:11" x14ac:dyDescent="0.2">
      <c r="A33">
        <f>6/(6+45+5+28)</f>
        <v>7.1428571428571425E-2</v>
      </c>
      <c r="B33">
        <f>(45+5)/(6+45+5+28)</f>
        <v>0.59523809523809523</v>
      </c>
      <c r="C33">
        <f>28/(6+45+5+28)</f>
        <v>0.33333333333333331</v>
      </c>
      <c r="D33">
        <v>340.1</v>
      </c>
      <c r="E33" t="s">
        <v>497</v>
      </c>
      <c r="F33" s="4" t="s">
        <v>502</v>
      </c>
    </row>
    <row r="34" spans="1:11" x14ac:dyDescent="0.2">
      <c r="A34">
        <f>(41+2+1)/(41+2+1+7)</f>
        <v>0.86274509803921573</v>
      </c>
      <c r="B34">
        <f>7/(41+2+1+7)</f>
        <v>0.13725490196078433</v>
      </c>
      <c r="C34">
        <v>0</v>
      </c>
      <c r="D34">
        <v>10.57</v>
      </c>
      <c r="E34" t="s">
        <v>501</v>
      </c>
      <c r="F34" s="4" t="s">
        <v>502</v>
      </c>
    </row>
    <row r="35" spans="1:11" x14ac:dyDescent="0.2">
      <c r="A35">
        <f>42/(42+3)</f>
        <v>0.93333333333333335</v>
      </c>
      <c r="B35">
        <f>3/(42+3)</f>
        <v>6.6666666666666666E-2</v>
      </c>
      <c r="C35">
        <v>0</v>
      </c>
      <c r="D35">
        <v>10.57</v>
      </c>
      <c r="E35" t="s">
        <v>501</v>
      </c>
      <c r="F35" s="4" t="s">
        <v>502</v>
      </c>
    </row>
    <row r="36" spans="1:11" x14ac:dyDescent="0.2">
      <c r="A36">
        <f>43/(43+3)</f>
        <v>0.93478260869565222</v>
      </c>
      <c r="B36">
        <f>3/(43+3)</f>
        <v>6.5217391304347824E-2</v>
      </c>
      <c r="C36">
        <v>0</v>
      </c>
      <c r="D36">
        <v>10.57</v>
      </c>
      <c r="E36" t="s">
        <v>501</v>
      </c>
      <c r="F36" s="4" t="s">
        <v>502</v>
      </c>
    </row>
    <row r="37" spans="1:11" x14ac:dyDescent="0.2">
      <c r="A37">
        <f>9.9/(9.9+61.1+25.5)</f>
        <v>0.10259067357512953</v>
      </c>
      <c r="B37">
        <f>61.1/(9.9+61.1+25.5)</f>
        <v>0.63316062176165799</v>
      </c>
      <c r="C37">
        <f>25.5/(9.9+61.1+25.5)</f>
        <v>0.26424870466321243</v>
      </c>
      <c r="D37">
        <v>5.6130000000000004</v>
      </c>
      <c r="E37" t="s">
        <v>504</v>
      </c>
      <c r="F37" s="4" t="s">
        <v>505</v>
      </c>
    </row>
    <row r="38" spans="1:11" x14ac:dyDescent="0.2">
      <c r="A38" s="1"/>
    </row>
    <row r="39" spans="1:11" x14ac:dyDescent="0.2">
      <c r="A39" s="1" t="s">
        <v>513</v>
      </c>
      <c r="F39" s="1" t="s">
        <v>514</v>
      </c>
      <c r="J39" s="14"/>
      <c r="K39" s="14"/>
    </row>
    <row r="40" spans="1:11" x14ac:dyDescent="0.2">
      <c r="A40">
        <f>AVERAGE(A2,A11,A18,A20,A23:A24)</f>
        <v>0.26853684070830236</v>
      </c>
      <c r="B40">
        <f>AVERAGE(B2,B11,B18,B20,B23:B24)</f>
        <v>0.47289314711059333</v>
      </c>
      <c r="C40">
        <f>AVERAGE(C2,C11,C18,C20,C23:C24)</f>
        <v>0.25857001218110437</v>
      </c>
      <c r="D40">
        <f t="shared" ref="D40:D48" si="0">D2</f>
        <v>69.23</v>
      </c>
      <c r="E40" t="s">
        <v>480</v>
      </c>
      <c r="F40">
        <f>C40/B40</f>
        <v>0.54678316605132327</v>
      </c>
      <c r="J40" s="14"/>
      <c r="K40" s="14"/>
    </row>
    <row r="41" spans="1:11" x14ac:dyDescent="0.2">
      <c r="A41">
        <f t="shared" ref="A41:C44" si="1">A3</f>
        <v>0.24742268041237114</v>
      </c>
      <c r="B41">
        <f t="shared" si="1"/>
        <v>0.68041237113402064</v>
      </c>
      <c r="C41">
        <f t="shared" si="1"/>
        <v>7.2164948453608241E-2</v>
      </c>
      <c r="D41">
        <f t="shared" si="0"/>
        <v>212</v>
      </c>
      <c r="E41" t="s">
        <v>479</v>
      </c>
      <c r="F41">
        <f t="shared" ref="F41:F57" si="2">C41/B41</f>
        <v>0.10606060606060605</v>
      </c>
      <c r="J41" s="14"/>
      <c r="K41" s="14"/>
    </row>
    <row r="42" spans="1:11" x14ac:dyDescent="0.2">
      <c r="A42">
        <f t="shared" si="1"/>
        <v>0.15841584158415842</v>
      </c>
      <c r="B42">
        <f t="shared" si="1"/>
        <v>0.60396039603960394</v>
      </c>
      <c r="C42">
        <f t="shared" si="1"/>
        <v>0.23762376237623761</v>
      </c>
      <c r="D42">
        <f t="shared" si="0"/>
        <v>1451</v>
      </c>
      <c r="E42" t="s">
        <v>383</v>
      </c>
      <c r="F42">
        <f t="shared" si="2"/>
        <v>0.39344262295081966</v>
      </c>
      <c r="J42" s="14"/>
      <c r="K42" s="14"/>
    </row>
    <row r="43" spans="1:11" x14ac:dyDescent="0.2">
      <c r="A43">
        <f t="shared" si="1"/>
        <v>0.34020618556701032</v>
      </c>
      <c r="B43">
        <f t="shared" si="1"/>
        <v>0.52577319587628868</v>
      </c>
      <c r="C43">
        <f t="shared" si="1"/>
        <v>0.13402061855670103</v>
      </c>
      <c r="D43">
        <f t="shared" si="0"/>
        <v>27.2</v>
      </c>
      <c r="E43" t="s">
        <v>506</v>
      </c>
      <c r="F43">
        <f t="shared" si="2"/>
        <v>0.25490196078431371</v>
      </c>
      <c r="J43" s="14"/>
      <c r="K43" s="14"/>
    </row>
    <row r="44" spans="1:11" x14ac:dyDescent="0.2">
      <c r="A44">
        <f t="shared" si="1"/>
        <v>0.27710843373493976</v>
      </c>
      <c r="B44">
        <f t="shared" si="1"/>
        <v>0.6987951807228916</v>
      </c>
      <c r="C44">
        <f t="shared" si="1"/>
        <v>2.4096385542168676E-2</v>
      </c>
      <c r="D44">
        <f t="shared" si="0"/>
        <v>51.75</v>
      </c>
      <c r="E44" t="s">
        <v>507</v>
      </c>
      <c r="F44">
        <f t="shared" si="2"/>
        <v>3.4482758620689655E-2</v>
      </c>
      <c r="J44" s="14"/>
      <c r="K44" s="14"/>
    </row>
    <row r="45" spans="1:11" x14ac:dyDescent="0.2">
      <c r="A45">
        <f>AVERAGE(A7,A34:A36)</f>
        <v>0.88326471056650091</v>
      </c>
      <c r="B45">
        <f>AVERAGE(B7,B34:B36)</f>
        <v>0.11673528943349916</v>
      </c>
      <c r="C45">
        <f>AVERAGE(C7,C34:C36)</f>
        <v>0</v>
      </c>
      <c r="D45">
        <f t="shared" si="0"/>
        <v>10.57</v>
      </c>
      <c r="E45" t="s">
        <v>501</v>
      </c>
      <c r="F45">
        <f t="shared" si="2"/>
        <v>0</v>
      </c>
      <c r="J45" s="14"/>
      <c r="K45" s="14"/>
    </row>
    <row r="46" spans="1:11" x14ac:dyDescent="0.2">
      <c r="A46">
        <f>A8</f>
        <v>0.68888888888888888</v>
      </c>
      <c r="B46">
        <f>B8</f>
        <v>0.31111111111111112</v>
      </c>
      <c r="C46">
        <f>C8</f>
        <v>0</v>
      </c>
      <c r="D46">
        <f t="shared" si="0"/>
        <v>10.7</v>
      </c>
      <c r="E46" t="s">
        <v>508</v>
      </c>
      <c r="F46">
        <f t="shared" si="2"/>
        <v>0</v>
      </c>
      <c r="J46" s="14"/>
      <c r="K46" s="14"/>
    </row>
    <row r="47" spans="1:11" x14ac:dyDescent="0.2">
      <c r="A47">
        <f>AVERAGE(A9,A21)</f>
        <v>0.81134453781512605</v>
      </c>
      <c r="B47">
        <f>AVERAGE(B9,B21)</f>
        <v>0.14516806722689074</v>
      </c>
      <c r="C47">
        <f>AVERAGE(C9,C21)</f>
        <v>4.3487394957983191E-2</v>
      </c>
      <c r="D47">
        <f t="shared" si="0"/>
        <v>17.989999999999998</v>
      </c>
      <c r="E47" t="s">
        <v>496</v>
      </c>
      <c r="F47">
        <f t="shared" si="2"/>
        <v>0.29956584659913171</v>
      </c>
      <c r="J47" s="14"/>
      <c r="K47" s="14"/>
    </row>
    <row r="48" spans="1:11" x14ac:dyDescent="0.2">
      <c r="A48">
        <f>AVERAGE(A10,A30:A32)</f>
        <v>0.20373450602467275</v>
      </c>
      <c r="B48">
        <f>AVERAGE(B10,B30:B32)</f>
        <v>0.55167401169830688</v>
      </c>
      <c r="C48">
        <f>AVERAGE(C10,C30:C32)</f>
        <v>0.24459148227702035</v>
      </c>
      <c r="D48">
        <f t="shared" si="0"/>
        <v>5.3380000000000001</v>
      </c>
      <c r="E48" t="s">
        <v>500</v>
      </c>
      <c r="F48">
        <f t="shared" si="2"/>
        <v>0.44336234277930736</v>
      </c>
      <c r="J48" s="14"/>
      <c r="K48" s="14"/>
    </row>
    <row r="49" spans="1:11" x14ac:dyDescent="0.2">
      <c r="A49">
        <f>AVERAGE(A12,A22,A33)</f>
        <v>0.12894902454373822</v>
      </c>
      <c r="B49">
        <f>AVERAGE(B12,B22,B33)</f>
        <v>0.50498391720858693</v>
      </c>
      <c r="C49">
        <f>AVERAGE(C12,C22,C33)</f>
        <v>0.36606705824767499</v>
      </c>
      <c r="D49">
        <f t="shared" ref="D49:D54" si="3">D12</f>
        <v>340.1</v>
      </c>
      <c r="E49" t="s">
        <v>497</v>
      </c>
      <c r="F49">
        <f t="shared" si="2"/>
        <v>0.72490835009398646</v>
      </c>
      <c r="J49" s="14"/>
      <c r="K49" s="14"/>
    </row>
    <row r="50" spans="1:11" x14ac:dyDescent="0.2">
      <c r="A50">
        <f t="shared" ref="A50:C53" si="4">A13</f>
        <v>8.247422680412371E-2</v>
      </c>
      <c r="B50">
        <f t="shared" si="4"/>
        <v>0.60824742268041232</v>
      </c>
      <c r="C50">
        <f t="shared" si="4"/>
        <v>0.30927835051546393</v>
      </c>
      <c r="D50">
        <f t="shared" si="3"/>
        <v>36.549999999999997</v>
      </c>
      <c r="E50" t="s">
        <v>509</v>
      </c>
      <c r="F50">
        <f t="shared" si="2"/>
        <v>0.50847457627118653</v>
      </c>
      <c r="J50" s="14"/>
      <c r="K50" s="14"/>
    </row>
    <row r="51" spans="1:11" x14ac:dyDescent="0.2">
      <c r="A51">
        <f t="shared" si="4"/>
        <v>0.06</v>
      </c>
      <c r="B51">
        <f t="shared" si="4"/>
        <v>0.51</v>
      </c>
      <c r="C51">
        <f t="shared" si="4"/>
        <v>0.43</v>
      </c>
      <c r="D51">
        <f t="shared" si="3"/>
        <v>5.38</v>
      </c>
      <c r="E51" t="s">
        <v>510</v>
      </c>
      <c r="F51">
        <f t="shared" si="2"/>
        <v>0.84313725490196079</v>
      </c>
      <c r="J51" s="14"/>
      <c r="K51" s="14"/>
    </row>
    <row r="52" spans="1:11" x14ac:dyDescent="0.2">
      <c r="A52">
        <f t="shared" si="4"/>
        <v>6.6666666666666666E-2</v>
      </c>
      <c r="B52">
        <f t="shared" si="4"/>
        <v>0.88888888888888884</v>
      </c>
      <c r="C52">
        <f t="shared" si="4"/>
        <v>4.4444444444444446E-2</v>
      </c>
      <c r="D52">
        <f t="shared" si="3"/>
        <v>9.9740000000000002</v>
      </c>
      <c r="E52" t="s">
        <v>511</v>
      </c>
      <c r="F52">
        <f t="shared" si="2"/>
        <v>0.05</v>
      </c>
      <c r="J52" s="14"/>
      <c r="K52" s="14"/>
    </row>
    <row r="53" spans="1:11" x14ac:dyDescent="0.2">
      <c r="A53">
        <f t="shared" si="4"/>
        <v>0.10169491525423729</v>
      </c>
      <c r="B53">
        <f t="shared" si="4"/>
        <v>0.69491525423728817</v>
      </c>
      <c r="C53">
        <f t="shared" si="4"/>
        <v>0.20338983050847459</v>
      </c>
      <c r="D53">
        <f t="shared" si="3"/>
        <v>1.8620000000000001</v>
      </c>
      <c r="E53" t="s">
        <v>512</v>
      </c>
      <c r="F53">
        <f t="shared" si="2"/>
        <v>0.29268292682926828</v>
      </c>
      <c r="J53" s="14"/>
      <c r="K53" s="14"/>
    </row>
    <row r="54" spans="1:11" x14ac:dyDescent="0.2">
      <c r="A54">
        <f>AVERAGE(A17,A27:A29)</f>
        <v>1.4852941176470588E-2</v>
      </c>
      <c r="B54">
        <f>AVERAGE(B17,B27:B29)</f>
        <v>0.9313212062076015</v>
      </c>
      <c r="C54">
        <f>AVERAGE(C17,C27:C29)</f>
        <v>5.3825852615927892E-2</v>
      </c>
      <c r="D54">
        <f t="shared" si="3"/>
        <v>2.8879999999999999</v>
      </c>
      <c r="E54" t="s">
        <v>499</v>
      </c>
      <c r="F54">
        <f t="shared" si="2"/>
        <v>5.7795154085570698E-2</v>
      </c>
      <c r="J54" s="14"/>
      <c r="K54" s="14"/>
    </row>
    <row r="55" spans="1:11" x14ac:dyDescent="0.2">
      <c r="A55">
        <f>A19</f>
        <v>0</v>
      </c>
      <c r="B55">
        <f>B19</f>
        <v>0.7930060816681147</v>
      </c>
      <c r="C55">
        <f>C19</f>
        <v>0.20699391833188535</v>
      </c>
      <c r="D55">
        <f>D19</f>
        <v>132.1</v>
      </c>
      <c r="E55" t="s">
        <v>495</v>
      </c>
      <c r="F55">
        <f t="shared" si="2"/>
        <v>0.26102437688304575</v>
      </c>
      <c r="J55" s="14"/>
      <c r="K55" s="14"/>
    </row>
    <row r="56" spans="1:11" x14ac:dyDescent="0.2">
      <c r="A56">
        <f>AVERAGE(A25:A26)</f>
        <v>5.9738955823293166E-2</v>
      </c>
      <c r="B56">
        <f>AVERAGE(B25:B26)</f>
        <v>0.87393513447730309</v>
      </c>
      <c r="C56">
        <f>AVERAGE(C25:C26)</f>
        <v>6.6325909699403662E-2</v>
      </c>
      <c r="D56">
        <f>D25</f>
        <v>4.9740000000000002</v>
      </c>
      <c r="E56" t="s">
        <v>498</v>
      </c>
      <c r="F56">
        <f t="shared" si="2"/>
        <v>7.5893401103587527E-2</v>
      </c>
      <c r="J56" s="14"/>
      <c r="K56" s="14"/>
    </row>
    <row r="57" spans="1:11" x14ac:dyDescent="0.2">
      <c r="A57">
        <f>A37</f>
        <v>0.10259067357512953</v>
      </c>
      <c r="B57">
        <f>B37</f>
        <v>0.63316062176165799</v>
      </c>
      <c r="C57">
        <f>C37</f>
        <v>0.26424870466321243</v>
      </c>
      <c r="D57">
        <f>D37</f>
        <v>5.6130000000000004</v>
      </c>
      <c r="E57" t="s">
        <v>504</v>
      </c>
      <c r="F57">
        <f t="shared" si="2"/>
        <v>0.41734860883797054</v>
      </c>
    </row>
    <row r="59" spans="1:11" x14ac:dyDescent="0.2">
      <c r="A59" s="1" t="s">
        <v>515</v>
      </c>
      <c r="F59" s="1" t="s">
        <v>515</v>
      </c>
    </row>
    <row r="60" spans="1:11" x14ac:dyDescent="0.2">
      <c r="A60">
        <f>SUMPRODUCT(A40:A57,D40:D57)/SUM(D40:D57)</f>
        <v>0.16944320143813307</v>
      </c>
      <c r="B60" s="11">
        <v>0.2</v>
      </c>
      <c r="C60">
        <f>A60*1.2</f>
        <v>0.20333184172575969</v>
      </c>
      <c r="F60">
        <f>SUMPRODUCT(F40:F57,D40:D57)/SUM(D40:D57)</f>
        <v>0.39903311580728146</v>
      </c>
      <c r="G60" s="11">
        <v>0.2</v>
      </c>
      <c r="H60">
        <f>F60*1.2</f>
        <v>0.47883973896873772</v>
      </c>
    </row>
    <row r="61" spans="1:11" x14ac:dyDescent="0.2">
      <c r="B61" s="11">
        <v>-0.2</v>
      </c>
      <c r="C61">
        <f>A60*0.8</f>
        <v>0.13555456115050646</v>
      </c>
      <c r="G61" s="11">
        <v>-0.2</v>
      </c>
      <c r="H61">
        <f>F60*0.8</f>
        <v>0.3192264926458252</v>
      </c>
    </row>
    <row r="62" spans="1:11" x14ac:dyDescent="0.2">
      <c r="A62" s="1"/>
    </row>
    <row r="63" spans="1:11" x14ac:dyDescent="0.2">
      <c r="A63" s="1" t="s">
        <v>528</v>
      </c>
      <c r="B63" t="s">
        <v>530</v>
      </c>
    </row>
    <row r="64" spans="1:11" x14ac:dyDescent="0.2">
      <c r="A64" s="12">
        <v>39</v>
      </c>
      <c r="B64" s="12">
        <v>5</v>
      </c>
      <c r="C64" s="12">
        <v>60</v>
      </c>
      <c r="D64" s="12">
        <v>70</v>
      </c>
      <c r="E64" s="12">
        <v>80</v>
      </c>
      <c r="G64" t="s">
        <v>397</v>
      </c>
      <c r="H64">
        <f>_xlfn.PERCENTILE.INC(A64:E90, 0.05)</f>
        <v>2</v>
      </c>
    </row>
    <row r="65" spans="1:8" x14ac:dyDescent="0.2">
      <c r="A65" s="12">
        <v>80</v>
      </c>
      <c r="B65" s="12">
        <v>90</v>
      </c>
      <c r="C65" s="12">
        <v>1</v>
      </c>
      <c r="D65" s="12">
        <v>74</v>
      </c>
      <c r="E65" s="12">
        <v>30</v>
      </c>
      <c r="G65" t="s">
        <v>529</v>
      </c>
      <c r="H65">
        <f>_xlfn.PERCENTILE.INC(A64:E90, 0.5)</f>
        <v>39</v>
      </c>
    </row>
    <row r="66" spans="1:8" x14ac:dyDescent="0.2">
      <c r="A66" s="12">
        <v>60</v>
      </c>
      <c r="B66" s="12">
        <v>6</v>
      </c>
      <c r="C66" s="12">
        <v>39</v>
      </c>
      <c r="D66" s="12">
        <v>5</v>
      </c>
      <c r="E66" s="12">
        <v>90</v>
      </c>
      <c r="G66" t="s">
        <v>399</v>
      </c>
      <c r="H66">
        <f>_xlfn.PERCENTILE.INC(A64:E90, 0.95)</f>
        <v>86.219999999999942</v>
      </c>
    </row>
    <row r="67" spans="1:8" x14ac:dyDescent="0.2">
      <c r="A67" s="12">
        <v>90</v>
      </c>
      <c r="B67" s="12">
        <v>50</v>
      </c>
      <c r="C67" s="12">
        <v>90</v>
      </c>
      <c r="D67" s="12">
        <v>5</v>
      </c>
      <c r="E67" s="12">
        <v>50</v>
      </c>
    </row>
    <row r="68" spans="1:8" x14ac:dyDescent="0.2">
      <c r="A68" s="12">
        <v>40</v>
      </c>
      <c r="B68" s="12">
        <v>50</v>
      </c>
      <c r="C68" s="12">
        <v>40</v>
      </c>
      <c r="D68" s="12">
        <v>69</v>
      </c>
      <c r="E68" s="12">
        <v>3</v>
      </c>
    </row>
    <row r="69" spans="1:8" x14ac:dyDescent="0.2">
      <c r="A69" s="12">
        <v>2</v>
      </c>
      <c r="B69" s="12">
        <v>3</v>
      </c>
      <c r="C69" s="12">
        <v>1</v>
      </c>
      <c r="D69" s="12">
        <v>2</v>
      </c>
      <c r="E69" s="12">
        <v>5</v>
      </c>
    </row>
    <row r="70" spans="1:8" x14ac:dyDescent="0.2">
      <c r="A70" s="12">
        <v>70</v>
      </c>
      <c r="B70" s="12">
        <v>70</v>
      </c>
      <c r="C70" s="12">
        <v>50</v>
      </c>
      <c r="D70" s="12">
        <v>5</v>
      </c>
      <c r="E70" s="12">
        <v>5</v>
      </c>
    </row>
    <row r="71" spans="1:8" x14ac:dyDescent="0.2">
      <c r="A71" s="12">
        <v>10</v>
      </c>
      <c r="B71" s="12">
        <v>70</v>
      </c>
      <c r="C71" s="12">
        <v>48</v>
      </c>
      <c r="D71" s="12">
        <v>75</v>
      </c>
      <c r="E71" s="12">
        <v>50</v>
      </c>
    </row>
    <row r="72" spans="1:8" x14ac:dyDescent="0.2">
      <c r="A72" s="12">
        <v>83.7</v>
      </c>
      <c r="B72" s="12">
        <v>25</v>
      </c>
      <c r="C72" s="12">
        <v>60</v>
      </c>
      <c r="D72" s="12">
        <v>6</v>
      </c>
      <c r="E72" s="12">
        <v>39</v>
      </c>
    </row>
    <row r="73" spans="1:8" x14ac:dyDescent="0.2">
      <c r="A73" s="12">
        <v>5</v>
      </c>
      <c r="B73" s="12">
        <v>20</v>
      </c>
      <c r="C73" s="12">
        <v>1</v>
      </c>
      <c r="D73" s="12">
        <v>100</v>
      </c>
      <c r="E73" s="12">
        <v>15</v>
      </c>
    </row>
    <row r="74" spans="1:8" x14ac:dyDescent="0.2">
      <c r="A74" s="12">
        <v>6</v>
      </c>
      <c r="B74" s="12">
        <v>39</v>
      </c>
      <c r="C74" s="12">
        <v>65</v>
      </c>
      <c r="D74" s="12">
        <v>40</v>
      </c>
      <c r="E74" s="12">
        <v>69</v>
      </c>
    </row>
    <row r="75" spans="1:8" x14ac:dyDescent="0.2">
      <c r="A75" s="12">
        <v>2</v>
      </c>
      <c r="B75" s="12">
        <v>4</v>
      </c>
      <c r="C75" s="12">
        <v>70</v>
      </c>
      <c r="D75" s="12">
        <v>70</v>
      </c>
      <c r="E75" s="12">
        <v>6</v>
      </c>
    </row>
    <row r="76" spans="1:8" x14ac:dyDescent="0.2">
      <c r="A76" s="12">
        <v>39</v>
      </c>
      <c r="B76" s="12">
        <v>25</v>
      </c>
      <c r="C76" s="12">
        <v>60</v>
      </c>
      <c r="D76" s="12">
        <v>25</v>
      </c>
      <c r="E76" s="12">
        <v>60</v>
      </c>
    </row>
    <row r="77" spans="1:8" x14ac:dyDescent="0.2">
      <c r="A77" s="12">
        <v>25</v>
      </c>
      <c r="B77" s="12">
        <v>5</v>
      </c>
      <c r="C77" s="12">
        <v>10</v>
      </c>
      <c r="D77" s="12">
        <v>40</v>
      </c>
      <c r="E77" s="12">
        <v>50</v>
      </c>
    </row>
    <row r="78" spans="1:8" x14ac:dyDescent="0.2">
      <c r="A78" s="12">
        <v>11</v>
      </c>
      <c r="B78" s="12">
        <v>20</v>
      </c>
      <c r="C78" s="12">
        <v>40</v>
      </c>
      <c r="D78" s="12">
        <v>69</v>
      </c>
      <c r="E78" s="12">
        <v>5</v>
      </c>
    </row>
    <row r="79" spans="1:8" x14ac:dyDescent="0.2">
      <c r="A79" s="12">
        <v>40</v>
      </c>
      <c r="B79" s="12">
        <v>69</v>
      </c>
      <c r="C79" s="12">
        <v>100</v>
      </c>
      <c r="D79" s="12">
        <v>6</v>
      </c>
      <c r="E79" s="12">
        <v>39</v>
      </c>
    </row>
    <row r="80" spans="1:8" x14ac:dyDescent="0.2">
      <c r="A80" s="12">
        <v>10</v>
      </c>
      <c r="B80" s="12">
        <v>1</v>
      </c>
      <c r="C80" s="12">
        <v>8</v>
      </c>
      <c r="D80" s="12">
        <v>5</v>
      </c>
      <c r="E80" s="12">
        <v>15</v>
      </c>
    </row>
    <row r="81" spans="1:8" x14ac:dyDescent="0.2">
      <c r="A81" s="12">
        <v>10</v>
      </c>
      <c r="B81" s="12">
        <v>20</v>
      </c>
      <c r="C81" s="12">
        <v>40</v>
      </c>
      <c r="D81" s="12">
        <v>69</v>
      </c>
      <c r="E81" s="12">
        <v>10</v>
      </c>
    </row>
    <row r="82" spans="1:8" x14ac:dyDescent="0.2">
      <c r="A82" s="12">
        <v>5</v>
      </c>
      <c r="B82" s="12">
        <v>10</v>
      </c>
      <c r="C82" s="12">
        <v>3</v>
      </c>
      <c r="D82" s="12">
        <v>10</v>
      </c>
      <c r="E82" s="12">
        <v>3</v>
      </c>
    </row>
    <row r="83" spans="1:8" x14ac:dyDescent="0.2">
      <c r="A83" s="12">
        <v>30</v>
      </c>
      <c r="B83" s="12">
        <v>60</v>
      </c>
      <c r="C83" s="12">
        <v>40</v>
      </c>
      <c r="D83" s="12">
        <v>69</v>
      </c>
      <c r="E83" s="12">
        <v>40</v>
      </c>
    </row>
    <row r="84" spans="1:8" x14ac:dyDescent="0.2">
      <c r="A84">
        <v>80</v>
      </c>
      <c r="B84">
        <v>5</v>
      </c>
      <c r="C84">
        <v>40</v>
      </c>
      <c r="D84">
        <v>50</v>
      </c>
      <c r="E84">
        <v>70</v>
      </c>
    </row>
    <row r="85" spans="1:8" x14ac:dyDescent="0.2">
      <c r="A85">
        <v>15</v>
      </c>
      <c r="B85">
        <v>40</v>
      </c>
      <c r="C85">
        <v>1</v>
      </c>
      <c r="D85">
        <v>0.5</v>
      </c>
      <c r="E85">
        <v>6</v>
      </c>
    </row>
    <row r="86" spans="1:8" x14ac:dyDescent="0.2">
      <c r="A86">
        <v>39</v>
      </c>
      <c r="B86">
        <v>6</v>
      </c>
      <c r="C86">
        <v>39</v>
      </c>
      <c r="D86">
        <v>60</v>
      </c>
      <c r="E86">
        <v>30</v>
      </c>
    </row>
    <row r="87" spans="1:8" x14ac:dyDescent="0.2">
      <c r="A87">
        <v>20</v>
      </c>
      <c r="B87">
        <v>6</v>
      </c>
      <c r="C87">
        <v>39</v>
      </c>
      <c r="D87">
        <v>75</v>
      </c>
      <c r="E87">
        <v>15</v>
      </c>
    </row>
    <row r="88" spans="1:8" x14ac:dyDescent="0.2">
      <c r="A88">
        <v>30</v>
      </c>
      <c r="B88">
        <v>15</v>
      </c>
      <c r="C88">
        <v>15</v>
      </c>
      <c r="D88">
        <v>70</v>
      </c>
      <c r="E88">
        <v>80</v>
      </c>
    </row>
    <row r="89" spans="1:8" x14ac:dyDescent="0.2">
      <c r="A89">
        <v>90</v>
      </c>
      <c r="B89">
        <v>15</v>
      </c>
      <c r="C89">
        <v>35</v>
      </c>
      <c r="D89">
        <v>40</v>
      </c>
      <c r="E89">
        <v>69</v>
      </c>
    </row>
    <row r="90" spans="1:8" x14ac:dyDescent="0.2">
      <c r="A90">
        <v>60</v>
      </c>
      <c r="B90">
        <v>80</v>
      </c>
      <c r="C90">
        <v>5</v>
      </c>
    </row>
    <row r="91" spans="1:8" x14ac:dyDescent="0.2">
      <c r="A91" s="12"/>
      <c r="B91" s="12"/>
      <c r="C91" s="12"/>
      <c r="D91" s="12"/>
      <c r="E91" s="12"/>
    </row>
    <row r="92" spans="1:8" x14ac:dyDescent="0.2">
      <c r="A92" s="1" t="s">
        <v>518</v>
      </c>
    </row>
    <row r="93" spans="1:8" x14ac:dyDescent="0.2">
      <c r="A93" t="s">
        <v>519</v>
      </c>
      <c r="B93" t="s">
        <v>520</v>
      </c>
      <c r="C93" t="s">
        <v>521</v>
      </c>
      <c r="D93" t="s">
        <v>525</v>
      </c>
      <c r="E93" t="s">
        <v>522</v>
      </c>
      <c r="F93" t="s">
        <v>523</v>
      </c>
      <c r="G93" t="s">
        <v>526</v>
      </c>
      <c r="H93" t="s">
        <v>527</v>
      </c>
    </row>
    <row r="94" spans="1:8" x14ac:dyDescent="0.2">
      <c r="A94" s="12">
        <v>0.95</v>
      </c>
      <c r="B94">
        <v>0</v>
      </c>
      <c r="C94">
        <v>0.82</v>
      </c>
      <c r="D94">
        <f>AVERAGE(B94:C94)</f>
        <v>0.41</v>
      </c>
      <c r="E94">
        <v>0</v>
      </c>
      <c r="F94">
        <v>1</v>
      </c>
      <c r="G94">
        <f>AVERAGE(E94:F94)</f>
        <v>0.5</v>
      </c>
      <c r="H94">
        <f>D94/G94</f>
        <v>0.82</v>
      </c>
    </row>
    <row r="95" spans="1:8" x14ac:dyDescent="0.2">
      <c r="A95">
        <v>0.86</v>
      </c>
      <c r="B95">
        <v>0.61</v>
      </c>
      <c r="C95">
        <v>1</v>
      </c>
      <c r="D95">
        <f t="shared" ref="D95:D102" si="5">AVERAGE(B95:C95)</f>
        <v>0.80499999999999994</v>
      </c>
      <c r="E95">
        <v>0</v>
      </c>
      <c r="F95">
        <v>0.39</v>
      </c>
      <c r="G95">
        <f t="shared" ref="G95:G102" si="6">AVERAGE(E95:F95)</f>
        <v>0.19500000000000001</v>
      </c>
      <c r="H95">
        <f t="shared" ref="H95:H102" si="7">D95/G95</f>
        <v>4.1282051282051277</v>
      </c>
    </row>
    <row r="96" spans="1:8" x14ac:dyDescent="0.2">
      <c r="A96">
        <v>1</v>
      </c>
      <c r="B96">
        <v>0.75</v>
      </c>
      <c r="C96">
        <v>1</v>
      </c>
      <c r="D96">
        <f t="shared" si="5"/>
        <v>0.875</v>
      </c>
      <c r="E96">
        <v>0</v>
      </c>
      <c r="F96">
        <v>0.25</v>
      </c>
      <c r="G96">
        <f t="shared" si="6"/>
        <v>0.125</v>
      </c>
      <c r="H96">
        <f t="shared" si="7"/>
        <v>7</v>
      </c>
    </row>
    <row r="97" spans="1:8" x14ac:dyDescent="0.2">
      <c r="A97">
        <v>0.96</v>
      </c>
      <c r="B97">
        <v>0.51</v>
      </c>
      <c r="C97">
        <v>1</v>
      </c>
      <c r="D97">
        <f t="shared" si="5"/>
        <v>0.755</v>
      </c>
      <c r="E97">
        <v>0</v>
      </c>
      <c r="F97">
        <v>0.49</v>
      </c>
      <c r="G97">
        <f t="shared" si="6"/>
        <v>0.245</v>
      </c>
      <c r="H97">
        <f t="shared" si="7"/>
        <v>3.0816326530612246</v>
      </c>
    </row>
    <row r="98" spans="1:8" x14ac:dyDescent="0.2">
      <c r="A98">
        <v>0.9</v>
      </c>
      <c r="B98">
        <v>0.65</v>
      </c>
      <c r="C98">
        <v>1</v>
      </c>
      <c r="D98">
        <f t="shared" si="5"/>
        <v>0.82499999999999996</v>
      </c>
      <c r="E98">
        <v>0</v>
      </c>
      <c r="F98">
        <v>0.35</v>
      </c>
      <c r="G98">
        <f t="shared" si="6"/>
        <v>0.17499999999999999</v>
      </c>
      <c r="H98">
        <f t="shared" si="7"/>
        <v>4.7142857142857144</v>
      </c>
    </row>
    <row r="99" spans="1:8" x14ac:dyDescent="0.2">
      <c r="A99">
        <v>0.8</v>
      </c>
      <c r="B99">
        <v>0.55000000000000004</v>
      </c>
      <c r="C99">
        <v>1</v>
      </c>
      <c r="D99">
        <f t="shared" si="5"/>
        <v>0.77500000000000002</v>
      </c>
      <c r="E99">
        <v>0</v>
      </c>
      <c r="F99">
        <v>0.45</v>
      </c>
      <c r="G99">
        <f t="shared" si="6"/>
        <v>0.22500000000000001</v>
      </c>
      <c r="H99">
        <f t="shared" si="7"/>
        <v>3.4444444444444446</v>
      </c>
    </row>
    <row r="100" spans="1:8" x14ac:dyDescent="0.2">
      <c r="A100">
        <v>0.15</v>
      </c>
      <c r="B100">
        <v>0</v>
      </c>
      <c r="C100">
        <v>0.4</v>
      </c>
      <c r="D100">
        <f t="shared" si="5"/>
        <v>0.2</v>
      </c>
      <c r="E100">
        <v>0</v>
      </c>
      <c r="F100">
        <v>0.4</v>
      </c>
      <c r="G100">
        <f t="shared" si="6"/>
        <v>0.2</v>
      </c>
      <c r="H100">
        <f t="shared" si="7"/>
        <v>1</v>
      </c>
    </row>
    <row r="101" spans="1:8" x14ac:dyDescent="0.2">
      <c r="A101">
        <v>0.45</v>
      </c>
      <c r="B101">
        <v>0.2</v>
      </c>
      <c r="C101">
        <v>0.7</v>
      </c>
      <c r="D101">
        <f t="shared" si="5"/>
        <v>0.44999999999999996</v>
      </c>
      <c r="E101">
        <v>0</v>
      </c>
      <c r="F101">
        <v>0.5</v>
      </c>
      <c r="G101">
        <f t="shared" si="6"/>
        <v>0.25</v>
      </c>
      <c r="H101">
        <f t="shared" si="7"/>
        <v>1.7999999999999998</v>
      </c>
    </row>
    <row r="102" spans="1:8" x14ac:dyDescent="0.2">
      <c r="A102">
        <v>0.99</v>
      </c>
      <c r="B102">
        <v>0</v>
      </c>
      <c r="C102">
        <v>0.25</v>
      </c>
      <c r="D102">
        <f t="shared" si="5"/>
        <v>0.125</v>
      </c>
      <c r="E102">
        <v>0.49</v>
      </c>
      <c r="F102">
        <v>1</v>
      </c>
      <c r="G102">
        <f t="shared" si="6"/>
        <v>0.745</v>
      </c>
      <c r="H102">
        <f t="shared" si="7"/>
        <v>0.16778523489932887</v>
      </c>
    </row>
    <row r="104" spans="1:8" x14ac:dyDescent="0.2">
      <c r="A104" s="1" t="s">
        <v>524</v>
      </c>
      <c r="H104" s="1" t="s">
        <v>524</v>
      </c>
    </row>
    <row r="105" spans="1:8" x14ac:dyDescent="0.2">
      <c r="A105">
        <f>AVERAGE(A94:A102)</f>
        <v>0.7844444444444445</v>
      </c>
      <c r="H105">
        <f>AVERAGE(H94:H102)</f>
        <v>2.9062614638773159</v>
      </c>
    </row>
    <row r="107" spans="1:8" x14ac:dyDescent="0.2">
      <c r="A107" s="1" t="s">
        <v>516</v>
      </c>
      <c r="H107" s="1" t="s">
        <v>516</v>
      </c>
    </row>
    <row r="108" spans="1:8" x14ac:dyDescent="0.2">
      <c r="A108">
        <f>MIN(A94:A102)</f>
        <v>0.15</v>
      </c>
      <c r="H108">
        <f>MIN(H94:H102)</f>
        <v>0.16778523489932887</v>
      </c>
    </row>
    <row r="110" spans="1:8" x14ac:dyDescent="0.2">
      <c r="A110" s="1" t="s">
        <v>517</v>
      </c>
      <c r="H110" s="1" t="s">
        <v>517</v>
      </c>
    </row>
    <row r="111" spans="1:8" x14ac:dyDescent="0.2">
      <c r="A111">
        <f>MAX(A94:A102)</f>
        <v>1</v>
      </c>
      <c r="H111">
        <f>MAX(H94:H102)</f>
        <v>7</v>
      </c>
    </row>
  </sheetData>
  <hyperlinks>
    <hyperlink ref="F2" r:id="rId1" xr:uid="{6836A8BB-52DB-184A-8C7F-1958D54A75FD}"/>
    <hyperlink ref="F5" r:id="rId2" xr:uid="{F933697E-32EF-524A-B62A-401BED698E44}"/>
    <hyperlink ref="F6" r:id="rId3" xr:uid="{C93D54AF-8C3C-624F-8DB5-51088E25B888}"/>
    <hyperlink ref="F7" r:id="rId4" xr:uid="{4C323035-EE0B-6843-8516-DD56CF33C41E}"/>
    <hyperlink ref="F8" r:id="rId5" xr:uid="{8F4E84D5-B7FB-0E43-B055-8302D2D6EEFC}"/>
    <hyperlink ref="F9" r:id="rId6" xr:uid="{A427C9D0-6518-2647-99DB-54EACBC6ACFD}"/>
    <hyperlink ref="F10" r:id="rId7" xr:uid="{BCCF64D0-E310-164F-9CC0-F203D1B36A9C}"/>
    <hyperlink ref="F11" r:id="rId8" xr:uid="{310927E8-B335-904D-85B2-64073B58564B}"/>
    <hyperlink ref="F12" r:id="rId9" xr:uid="{07257F6D-D6AD-6744-BAB3-7BACC1471479}"/>
    <hyperlink ref="F13" r:id="rId10" xr:uid="{AEEDF16D-EB4C-5B43-B034-069BE74CDFA2}"/>
    <hyperlink ref="F14" r:id="rId11" xr:uid="{DFF0F7A3-5607-AD45-8261-F41ACF43B421}"/>
    <hyperlink ref="F15" r:id="rId12" xr:uid="{6CCFE8C3-DB75-2A4B-8186-4E9E6A0DD56E}"/>
    <hyperlink ref="F16" r:id="rId13" xr:uid="{19AA9B37-2E5B-4046-B8F9-95A4FECDEF8E}"/>
    <hyperlink ref="F17" r:id="rId14" xr:uid="{D0F85BB6-2300-C543-842F-EA30A306C86F}"/>
    <hyperlink ref="F3" r:id="rId15" xr:uid="{102EEC7E-26AB-D94D-95D8-01A88495EBF8}"/>
    <hyperlink ref="F4" r:id="rId16" xr:uid="{B0055C58-E541-974D-B48D-1F1E26449FDD}"/>
    <hyperlink ref="F18" r:id="rId17" xr:uid="{DC7D38A8-C035-B74E-AB06-A1FBAC4BB2F1}"/>
    <hyperlink ref="F19" r:id="rId18" xr:uid="{BF1440E4-902A-9745-8222-D4F13A74DEC9}"/>
    <hyperlink ref="F20" r:id="rId19" xr:uid="{1B6D4258-317B-F146-9EE7-034FC6BF7676}"/>
    <hyperlink ref="F37" r:id="rId20" xr:uid="{BA59B641-9EAB-E841-BB2B-772F7131D434}"/>
    <hyperlink ref="F21" r:id="rId21" xr:uid="{27203C87-FEA3-814D-88B0-6F0083D79570}"/>
    <hyperlink ref="F22" r:id="rId22" xr:uid="{42DCA75C-C88D-A349-A46E-5741EE643732}"/>
    <hyperlink ref="F23" r:id="rId23" xr:uid="{5A83FD84-88AA-514C-BD66-18208DD489C2}"/>
    <hyperlink ref="F24" r:id="rId24" xr:uid="{E87853C1-A7EE-4947-9951-9EB935D2AAB9}"/>
    <hyperlink ref="F25" r:id="rId25" xr:uid="{B6C7CD15-5632-BC47-B2E3-2E9E1F47B5DC}"/>
    <hyperlink ref="F26" r:id="rId26" xr:uid="{B73A4A00-21ED-EE42-924D-EE47514356A2}"/>
    <hyperlink ref="F27" r:id="rId27" xr:uid="{7CA2DC62-13DA-094D-A5F3-4DD9694CD461}"/>
    <hyperlink ref="F28" r:id="rId28" xr:uid="{5E616652-4ADC-7E46-ADBF-1A6DBA97C071}"/>
    <hyperlink ref="F29" r:id="rId29" xr:uid="{3AE82A34-AE54-6141-B64D-CCBCAE03D338}"/>
    <hyperlink ref="F30" r:id="rId30" xr:uid="{BE98093E-8C98-BA4F-A43A-D6C3C37DB9C1}"/>
    <hyperlink ref="F31" r:id="rId31" xr:uid="{3697BE6C-B077-3249-9C52-497C9F82115C}"/>
    <hyperlink ref="F32" r:id="rId32" xr:uid="{BD6E0346-B593-4443-B006-656347B6AF00}"/>
    <hyperlink ref="F33" r:id="rId33" xr:uid="{3C19336E-1EA5-844E-8C14-0F9D2A49C1E4}"/>
    <hyperlink ref="F34" r:id="rId34" xr:uid="{8544BB46-A2F1-9549-963C-60E854813E17}"/>
    <hyperlink ref="F35" r:id="rId35" xr:uid="{B0575E3C-1BF6-154C-896B-E0B91830B558}"/>
    <hyperlink ref="F36" r:id="rId36" xr:uid="{B16C02A4-3C9F-274F-8B07-8C4A0EE47E04}"/>
  </hyperlink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587A-1C43-E44F-AAA9-ADDFCC5B9D6D}">
  <dimension ref="A1:V3424"/>
  <sheetViews>
    <sheetView workbookViewId="0">
      <selection activeCell="P20" sqref="P20"/>
    </sheetView>
  </sheetViews>
  <sheetFormatPr baseColWidth="10" defaultRowHeight="16" x14ac:dyDescent="0.2"/>
  <cols>
    <col min="1" max="1" width="22.1640625" bestFit="1" customWidth="1"/>
    <col min="3" max="3" width="12.5" bestFit="1" customWidth="1"/>
    <col min="4" max="4" width="12.6640625" bestFit="1" customWidth="1"/>
    <col min="5" max="5" width="17.1640625" bestFit="1" customWidth="1"/>
    <col min="6" max="6" width="12" bestFit="1" customWidth="1"/>
    <col min="7" max="7" width="10.83203125" customWidth="1"/>
  </cols>
  <sheetData>
    <row r="1" spans="1:8" x14ac:dyDescent="0.2">
      <c r="A1" t="s">
        <v>182</v>
      </c>
      <c r="B1" t="s">
        <v>173</v>
      </c>
      <c r="C1" t="s">
        <v>175</v>
      </c>
      <c r="D1" t="s">
        <v>176</v>
      </c>
      <c r="E1" t="s">
        <v>177</v>
      </c>
      <c r="F1" t="s">
        <v>611</v>
      </c>
      <c r="G1" t="s">
        <v>178</v>
      </c>
      <c r="H1" t="s">
        <v>174</v>
      </c>
    </row>
    <row r="2" spans="1:8" x14ac:dyDescent="0.2">
      <c r="A2" t="s">
        <v>532</v>
      </c>
      <c r="B2">
        <v>2018</v>
      </c>
      <c r="C2" t="s">
        <v>270</v>
      </c>
      <c r="D2" s="2">
        <v>256000000</v>
      </c>
      <c r="E2" t="s">
        <v>541</v>
      </c>
      <c r="F2" s="2">
        <f>D2</f>
        <v>256000000</v>
      </c>
      <c r="H2" t="s">
        <v>531</v>
      </c>
    </row>
    <row r="3" spans="1:8" x14ac:dyDescent="0.2">
      <c r="A3" t="s">
        <v>209</v>
      </c>
      <c r="B3">
        <v>2015</v>
      </c>
      <c r="C3" t="s">
        <v>270</v>
      </c>
      <c r="D3" s="2">
        <v>220000000000</v>
      </c>
      <c r="E3" t="s">
        <v>541</v>
      </c>
      <c r="F3" s="2">
        <f>D3</f>
        <v>220000000000</v>
      </c>
      <c r="H3" t="s">
        <v>533</v>
      </c>
    </row>
    <row r="4" spans="1:8" x14ac:dyDescent="0.2">
      <c r="D4" s="2">
        <v>12000000000</v>
      </c>
      <c r="F4" s="2">
        <f>D4</f>
        <v>12000000000</v>
      </c>
    </row>
    <row r="5" spans="1:8" x14ac:dyDescent="0.2">
      <c r="D5" s="2">
        <v>13000000000</v>
      </c>
      <c r="F5" s="2">
        <f>D5</f>
        <v>13000000000</v>
      </c>
    </row>
    <row r="6" spans="1:8" x14ac:dyDescent="0.2">
      <c r="D6" s="2">
        <v>1500000000</v>
      </c>
      <c r="F6" s="2">
        <f>D6</f>
        <v>1500000000</v>
      </c>
    </row>
    <row r="7" spans="1:8" x14ac:dyDescent="0.2">
      <c r="A7" t="s">
        <v>535</v>
      </c>
      <c r="B7">
        <v>2019</v>
      </c>
      <c r="C7" t="s">
        <v>270</v>
      </c>
      <c r="D7">
        <v>9.51</v>
      </c>
      <c r="E7" t="s">
        <v>540</v>
      </c>
      <c r="F7" s="2">
        <f t="shared" ref="F7:F14" si="0">10^D7</f>
        <v>3235936569.2962875</v>
      </c>
      <c r="H7" t="s">
        <v>534</v>
      </c>
    </row>
    <row r="8" spans="1:8" x14ac:dyDescent="0.2">
      <c r="D8">
        <v>9.74</v>
      </c>
      <c r="F8" s="2">
        <f t="shared" si="0"/>
        <v>5495408738.5762615</v>
      </c>
    </row>
    <row r="9" spans="1:8" x14ac:dyDescent="0.2">
      <c r="D9">
        <v>8.4</v>
      </c>
      <c r="F9" s="2">
        <f t="shared" si="0"/>
        <v>251188643.15095839</v>
      </c>
    </row>
    <row r="10" spans="1:8" x14ac:dyDescent="0.2">
      <c r="D10">
        <v>6.72</v>
      </c>
      <c r="F10" s="2">
        <f t="shared" si="0"/>
        <v>5248074.6024977341</v>
      </c>
    </row>
    <row r="11" spans="1:8" x14ac:dyDescent="0.2">
      <c r="D11">
        <v>8.2799999999999994</v>
      </c>
      <c r="F11" s="2">
        <f t="shared" si="0"/>
        <v>190546071.79632455</v>
      </c>
    </row>
    <row r="12" spans="1:8" x14ac:dyDescent="0.2">
      <c r="D12">
        <v>6.24</v>
      </c>
      <c r="F12" s="2">
        <f t="shared" si="0"/>
        <v>1737800.8287493798</v>
      </c>
    </row>
    <row r="13" spans="1:8" x14ac:dyDescent="0.2">
      <c r="D13">
        <v>7.6</v>
      </c>
      <c r="F13" s="2">
        <f t="shared" si="0"/>
        <v>39810717.055349804</v>
      </c>
    </row>
    <row r="14" spans="1:8" x14ac:dyDescent="0.2">
      <c r="D14">
        <v>5.16</v>
      </c>
      <c r="F14" s="2">
        <f t="shared" si="0"/>
        <v>144543.97707459307</v>
      </c>
    </row>
    <row r="15" spans="1:8" x14ac:dyDescent="0.2">
      <c r="D15">
        <v>0</v>
      </c>
      <c r="F15" s="2">
        <f t="shared" ref="F15:F24" si="1">D15</f>
        <v>0</v>
      </c>
    </row>
    <row r="16" spans="1:8" x14ac:dyDescent="0.2">
      <c r="D16">
        <v>0</v>
      </c>
      <c r="F16" s="2">
        <f t="shared" si="1"/>
        <v>0</v>
      </c>
    </row>
    <row r="17" spans="4:6" x14ac:dyDescent="0.2">
      <c r="D17">
        <v>0</v>
      </c>
      <c r="F17" s="2">
        <f t="shared" si="1"/>
        <v>0</v>
      </c>
    </row>
    <row r="18" spans="4:6" x14ac:dyDescent="0.2">
      <c r="D18">
        <v>0</v>
      </c>
      <c r="F18" s="2">
        <f t="shared" si="1"/>
        <v>0</v>
      </c>
    </row>
    <row r="19" spans="4:6" x14ac:dyDescent="0.2">
      <c r="D19">
        <v>0</v>
      </c>
      <c r="F19" s="2">
        <f t="shared" si="1"/>
        <v>0</v>
      </c>
    </row>
    <row r="20" spans="4:6" x14ac:dyDescent="0.2">
      <c r="D20">
        <v>0</v>
      </c>
      <c r="F20" s="2">
        <f t="shared" si="1"/>
        <v>0</v>
      </c>
    </row>
    <row r="21" spans="4:6" x14ac:dyDescent="0.2">
      <c r="D21">
        <v>0</v>
      </c>
      <c r="F21" s="2">
        <f t="shared" si="1"/>
        <v>0</v>
      </c>
    </row>
    <row r="22" spans="4:6" x14ac:dyDescent="0.2">
      <c r="D22">
        <v>0</v>
      </c>
      <c r="F22" s="2">
        <f t="shared" si="1"/>
        <v>0</v>
      </c>
    </row>
    <row r="23" spans="4:6" x14ac:dyDescent="0.2">
      <c r="D23">
        <v>0</v>
      </c>
      <c r="F23" s="2">
        <f t="shared" si="1"/>
        <v>0</v>
      </c>
    </row>
    <row r="24" spans="4:6" x14ac:dyDescent="0.2">
      <c r="D24">
        <v>0</v>
      </c>
      <c r="F24" s="2">
        <f t="shared" si="1"/>
        <v>0</v>
      </c>
    </row>
    <row r="25" spans="4:6" x14ac:dyDescent="0.2">
      <c r="D25">
        <v>8.1</v>
      </c>
      <c r="F25" s="2">
        <f t="shared" ref="F25:F39" si="2">10^D25</f>
        <v>125892541.17941682</v>
      </c>
    </row>
    <row r="26" spans="4:6" x14ac:dyDescent="0.2">
      <c r="D26">
        <v>7.79</v>
      </c>
      <c r="F26" s="2">
        <f t="shared" si="2"/>
        <v>61659500.186148226</v>
      </c>
    </row>
    <row r="27" spans="4:6" x14ac:dyDescent="0.2">
      <c r="D27">
        <v>6.37</v>
      </c>
      <c r="F27" s="2">
        <f t="shared" si="2"/>
        <v>2344228.8153199251</v>
      </c>
    </row>
    <row r="28" spans="4:6" x14ac:dyDescent="0.2">
      <c r="D28">
        <v>8.06</v>
      </c>
      <c r="F28" s="2">
        <f t="shared" si="2"/>
        <v>114815362.14968841</v>
      </c>
    </row>
    <row r="29" spans="4:6" x14ac:dyDescent="0.2">
      <c r="D29">
        <v>5.52</v>
      </c>
      <c r="F29" s="2">
        <f t="shared" si="2"/>
        <v>331131.12148259126</v>
      </c>
    </row>
    <row r="30" spans="4:6" x14ac:dyDescent="0.2">
      <c r="D30">
        <v>4.9800000000000004</v>
      </c>
      <c r="F30" s="2">
        <f t="shared" si="2"/>
        <v>95499.258602143804</v>
      </c>
    </row>
    <row r="31" spans="4:6" x14ac:dyDescent="0.2">
      <c r="D31">
        <v>5.32</v>
      </c>
      <c r="F31" s="2">
        <f t="shared" si="2"/>
        <v>208929.61308540447</v>
      </c>
    </row>
    <row r="32" spans="4:6" x14ac:dyDescent="0.2">
      <c r="D32">
        <v>4.1100000000000003</v>
      </c>
      <c r="F32" s="2">
        <f t="shared" si="2"/>
        <v>12882.49551693136</v>
      </c>
    </row>
    <row r="33" spans="1:8" x14ac:dyDescent="0.2">
      <c r="D33">
        <v>7.98</v>
      </c>
      <c r="F33" s="2">
        <f t="shared" si="2"/>
        <v>95499258.602143779</v>
      </c>
    </row>
    <row r="34" spans="1:8" x14ac:dyDescent="0.2">
      <c r="D34">
        <v>8.23</v>
      </c>
      <c r="F34" s="2">
        <f t="shared" si="2"/>
        <v>169824365.24617496</v>
      </c>
    </row>
    <row r="35" spans="1:8" x14ac:dyDescent="0.2">
      <c r="D35">
        <v>6.8</v>
      </c>
      <c r="F35" s="2">
        <f t="shared" si="2"/>
        <v>6309573.4448019378</v>
      </c>
    </row>
    <row r="36" spans="1:8" x14ac:dyDescent="0.2">
      <c r="D36">
        <v>6.79</v>
      </c>
      <c r="F36" s="2">
        <f t="shared" si="2"/>
        <v>6165950.0186148267</v>
      </c>
    </row>
    <row r="37" spans="1:8" x14ac:dyDescent="0.2">
      <c r="D37">
        <v>6.72</v>
      </c>
      <c r="F37" s="2">
        <f t="shared" si="2"/>
        <v>5248074.6024977341</v>
      </c>
    </row>
    <row r="38" spans="1:8" x14ac:dyDescent="0.2">
      <c r="D38">
        <v>4.43</v>
      </c>
      <c r="F38" s="2">
        <f t="shared" si="2"/>
        <v>26915.348039269167</v>
      </c>
    </row>
    <row r="39" spans="1:8" x14ac:dyDescent="0.2">
      <c r="D39">
        <v>6.3</v>
      </c>
      <c r="F39" s="2">
        <f t="shared" si="2"/>
        <v>1995262.31496888</v>
      </c>
    </row>
    <row r="40" spans="1:8" x14ac:dyDescent="0.2">
      <c r="D40">
        <v>0</v>
      </c>
      <c r="F40" s="2">
        <f t="shared" ref="F40:F103" si="3">D40</f>
        <v>0</v>
      </c>
    </row>
    <row r="41" spans="1:8" x14ac:dyDescent="0.2">
      <c r="A41" t="s">
        <v>537</v>
      </c>
      <c r="B41">
        <v>2022</v>
      </c>
      <c r="C41" t="s">
        <v>270</v>
      </c>
      <c r="D41">
        <v>5790000000000</v>
      </c>
      <c r="E41" t="s">
        <v>541</v>
      </c>
      <c r="F41" s="2">
        <f t="shared" si="3"/>
        <v>5790000000000</v>
      </c>
      <c r="H41" t="s">
        <v>536</v>
      </c>
    </row>
    <row r="42" spans="1:8" x14ac:dyDescent="0.2">
      <c r="D42">
        <v>7250000000000</v>
      </c>
      <c r="F42" s="2">
        <f t="shared" si="3"/>
        <v>7250000000000</v>
      </c>
    </row>
    <row r="43" spans="1:8" x14ac:dyDescent="0.2">
      <c r="D43">
        <v>8280000000000</v>
      </c>
      <c r="F43" s="2">
        <f t="shared" si="3"/>
        <v>8280000000000</v>
      </c>
    </row>
    <row r="44" spans="1:8" x14ac:dyDescent="0.2">
      <c r="D44">
        <v>11900000000000</v>
      </c>
      <c r="F44" s="2">
        <f t="shared" si="3"/>
        <v>11900000000000</v>
      </c>
    </row>
    <row r="45" spans="1:8" x14ac:dyDescent="0.2">
      <c r="D45">
        <v>3280000000000</v>
      </c>
      <c r="F45" s="2">
        <f t="shared" si="3"/>
        <v>3280000000000</v>
      </c>
    </row>
    <row r="46" spans="1:8" x14ac:dyDescent="0.2">
      <c r="D46">
        <v>3400000000000</v>
      </c>
      <c r="F46" s="2">
        <f t="shared" si="3"/>
        <v>3400000000000</v>
      </c>
    </row>
    <row r="47" spans="1:8" x14ac:dyDescent="0.2">
      <c r="D47">
        <v>4090000000000</v>
      </c>
      <c r="F47" s="2">
        <f t="shared" si="3"/>
        <v>4090000000000</v>
      </c>
    </row>
    <row r="48" spans="1:8" x14ac:dyDescent="0.2">
      <c r="D48">
        <v>3600000000000</v>
      </c>
      <c r="F48" s="2">
        <f t="shared" si="3"/>
        <v>3600000000000</v>
      </c>
    </row>
    <row r="49" spans="4:6" x14ac:dyDescent="0.2">
      <c r="D49">
        <v>481000000000</v>
      </c>
      <c r="F49" s="2">
        <f t="shared" si="3"/>
        <v>481000000000</v>
      </c>
    </row>
    <row r="50" spans="4:6" x14ac:dyDescent="0.2">
      <c r="D50">
        <v>979000000000</v>
      </c>
      <c r="F50" s="2">
        <f t="shared" si="3"/>
        <v>979000000000</v>
      </c>
    </row>
    <row r="51" spans="4:6" x14ac:dyDescent="0.2">
      <c r="D51">
        <v>721000000000</v>
      </c>
      <c r="F51" s="2">
        <f t="shared" si="3"/>
        <v>721000000000</v>
      </c>
    </row>
    <row r="52" spans="4:6" x14ac:dyDescent="0.2">
      <c r="D52">
        <v>697000000000</v>
      </c>
      <c r="F52" s="2">
        <f t="shared" si="3"/>
        <v>697000000000</v>
      </c>
    </row>
    <row r="53" spans="4:6" x14ac:dyDescent="0.2">
      <c r="D53">
        <v>16000000000000</v>
      </c>
      <c r="F53" s="2">
        <f t="shared" si="3"/>
        <v>16000000000000</v>
      </c>
    </row>
    <row r="54" spans="4:6" x14ac:dyDescent="0.2">
      <c r="D54">
        <v>15700000000000</v>
      </c>
      <c r="F54" s="2">
        <f t="shared" si="3"/>
        <v>15700000000000</v>
      </c>
    </row>
    <row r="55" spans="4:6" x14ac:dyDescent="0.2">
      <c r="D55">
        <v>16800000000000</v>
      </c>
      <c r="F55" s="2">
        <f t="shared" si="3"/>
        <v>16800000000000</v>
      </c>
    </row>
    <row r="56" spans="4:6" x14ac:dyDescent="0.2">
      <c r="D56">
        <v>16200000000000</v>
      </c>
      <c r="F56" s="2">
        <f t="shared" si="3"/>
        <v>16200000000000</v>
      </c>
    </row>
    <row r="57" spans="4:6" x14ac:dyDescent="0.2">
      <c r="D57">
        <v>5360000000000</v>
      </c>
      <c r="F57" s="2">
        <f t="shared" si="3"/>
        <v>5360000000000</v>
      </c>
    </row>
    <row r="58" spans="4:6" x14ac:dyDescent="0.2">
      <c r="D58">
        <v>6610000000000</v>
      </c>
      <c r="F58" s="2">
        <f t="shared" si="3"/>
        <v>6610000000000</v>
      </c>
    </row>
    <row r="59" spans="4:6" x14ac:dyDescent="0.2">
      <c r="D59">
        <v>8980000000000</v>
      </c>
      <c r="F59" s="2">
        <f t="shared" si="3"/>
        <v>8980000000000</v>
      </c>
    </row>
    <row r="60" spans="4:6" x14ac:dyDescent="0.2">
      <c r="D60">
        <v>8260000000000</v>
      </c>
      <c r="F60" s="2">
        <f t="shared" si="3"/>
        <v>8260000000000</v>
      </c>
    </row>
    <row r="61" spans="4:6" x14ac:dyDescent="0.2">
      <c r="D61">
        <v>4380000000000</v>
      </c>
      <c r="F61" s="2">
        <f t="shared" si="3"/>
        <v>4380000000000</v>
      </c>
    </row>
    <row r="62" spans="4:6" x14ac:dyDescent="0.2">
      <c r="D62">
        <v>3680000000000</v>
      </c>
      <c r="F62" s="2">
        <f t="shared" si="3"/>
        <v>3680000000000</v>
      </c>
    </row>
    <row r="63" spans="4:6" x14ac:dyDescent="0.2">
      <c r="D63">
        <v>6030000000000</v>
      </c>
      <c r="F63" s="2">
        <f t="shared" si="3"/>
        <v>6030000000000</v>
      </c>
    </row>
    <row r="64" spans="4:6" x14ac:dyDescent="0.2">
      <c r="D64">
        <v>7090000000000</v>
      </c>
      <c r="F64" s="2">
        <f t="shared" si="3"/>
        <v>7090000000000</v>
      </c>
    </row>
    <row r="65" spans="4:6" x14ac:dyDescent="0.2">
      <c r="D65">
        <v>0</v>
      </c>
      <c r="F65" s="2">
        <f t="shared" si="3"/>
        <v>0</v>
      </c>
    </row>
    <row r="66" spans="4:6" x14ac:dyDescent="0.2">
      <c r="D66">
        <v>6180000000000</v>
      </c>
      <c r="F66" s="2">
        <f t="shared" si="3"/>
        <v>6180000000000</v>
      </c>
    </row>
    <row r="67" spans="4:6" x14ac:dyDescent="0.2">
      <c r="D67">
        <v>4600000000000</v>
      </c>
      <c r="F67" s="2">
        <f t="shared" si="3"/>
        <v>4600000000000</v>
      </c>
    </row>
    <row r="68" spans="4:6" x14ac:dyDescent="0.2">
      <c r="D68">
        <v>3910000000000</v>
      </c>
      <c r="F68" s="2">
        <f t="shared" si="3"/>
        <v>3910000000000</v>
      </c>
    </row>
    <row r="69" spans="4:6" x14ac:dyDescent="0.2">
      <c r="D69">
        <v>1360000000000</v>
      </c>
      <c r="F69" s="2">
        <f t="shared" si="3"/>
        <v>1360000000000</v>
      </c>
    </row>
    <row r="70" spans="4:6" x14ac:dyDescent="0.2">
      <c r="D70">
        <v>1140000000000</v>
      </c>
      <c r="F70" s="2">
        <f t="shared" si="3"/>
        <v>1140000000000</v>
      </c>
    </row>
    <row r="71" spans="4:6" x14ac:dyDescent="0.2">
      <c r="D71">
        <v>1410000000000</v>
      </c>
      <c r="F71" s="2">
        <f t="shared" si="3"/>
        <v>1410000000000</v>
      </c>
    </row>
    <row r="72" spans="4:6" x14ac:dyDescent="0.2">
      <c r="D72">
        <v>1270000000000</v>
      </c>
      <c r="F72" s="2">
        <f t="shared" si="3"/>
        <v>1270000000000</v>
      </c>
    </row>
    <row r="73" spans="4:6" x14ac:dyDescent="0.2">
      <c r="D73">
        <v>1690000000000</v>
      </c>
      <c r="F73" s="2">
        <f t="shared" si="3"/>
        <v>1690000000000</v>
      </c>
    </row>
    <row r="74" spans="4:6" x14ac:dyDescent="0.2">
      <c r="D74">
        <v>2340000000000</v>
      </c>
      <c r="F74" s="2">
        <f t="shared" si="3"/>
        <v>2340000000000</v>
      </c>
    </row>
    <row r="75" spans="4:6" x14ac:dyDescent="0.2">
      <c r="D75">
        <v>1340000000000</v>
      </c>
      <c r="F75" s="2">
        <f t="shared" si="3"/>
        <v>1340000000000</v>
      </c>
    </row>
    <row r="76" spans="4:6" x14ac:dyDescent="0.2">
      <c r="D76">
        <v>1560000000000</v>
      </c>
      <c r="F76" s="2">
        <f t="shared" si="3"/>
        <v>1560000000000</v>
      </c>
    </row>
    <row r="77" spans="4:6" x14ac:dyDescent="0.2">
      <c r="D77">
        <v>5750000000000</v>
      </c>
      <c r="F77" s="2">
        <f t="shared" si="3"/>
        <v>5750000000000</v>
      </c>
    </row>
    <row r="78" spans="4:6" x14ac:dyDescent="0.2">
      <c r="D78">
        <v>7230000000000</v>
      </c>
      <c r="F78" s="2">
        <f t="shared" si="3"/>
        <v>7230000000000</v>
      </c>
    </row>
    <row r="79" spans="4:6" x14ac:dyDescent="0.2">
      <c r="D79">
        <v>8490000000000</v>
      </c>
      <c r="F79" s="2">
        <f t="shared" si="3"/>
        <v>8490000000000</v>
      </c>
    </row>
    <row r="80" spans="4:6" x14ac:dyDescent="0.2">
      <c r="D80">
        <v>7940000000000</v>
      </c>
      <c r="F80" s="2">
        <f t="shared" si="3"/>
        <v>7940000000000</v>
      </c>
    </row>
    <row r="81" spans="4:6" x14ac:dyDescent="0.2">
      <c r="D81">
        <v>5340000000000</v>
      </c>
      <c r="F81" s="2">
        <f t="shared" si="3"/>
        <v>5340000000000</v>
      </c>
    </row>
    <row r="82" spans="4:6" x14ac:dyDescent="0.2">
      <c r="D82">
        <v>5680000000000</v>
      </c>
      <c r="F82" s="2">
        <f t="shared" si="3"/>
        <v>5680000000000</v>
      </c>
    </row>
    <row r="83" spans="4:6" x14ac:dyDescent="0.2">
      <c r="D83">
        <v>5670000000000</v>
      </c>
      <c r="F83" s="2">
        <f t="shared" si="3"/>
        <v>5670000000000</v>
      </c>
    </row>
    <row r="84" spans="4:6" x14ac:dyDescent="0.2">
      <c r="D84">
        <v>3690000000000</v>
      </c>
      <c r="F84" s="2">
        <f t="shared" si="3"/>
        <v>3690000000000</v>
      </c>
    </row>
    <row r="85" spans="4:6" x14ac:dyDescent="0.2">
      <c r="D85">
        <v>3610000000000</v>
      </c>
      <c r="F85" s="2">
        <f t="shared" si="3"/>
        <v>3610000000000</v>
      </c>
    </row>
    <row r="86" spans="4:6" x14ac:dyDescent="0.2">
      <c r="D86">
        <v>3460000000000</v>
      </c>
      <c r="F86" s="2">
        <f t="shared" si="3"/>
        <v>3460000000000</v>
      </c>
    </row>
    <row r="87" spans="4:6" x14ac:dyDescent="0.2">
      <c r="D87">
        <v>3730000000000</v>
      </c>
      <c r="F87" s="2">
        <f t="shared" si="3"/>
        <v>3730000000000</v>
      </c>
    </row>
    <row r="88" spans="4:6" x14ac:dyDescent="0.2">
      <c r="D88">
        <v>3750000000000</v>
      </c>
      <c r="F88" s="2">
        <f t="shared" si="3"/>
        <v>3750000000000</v>
      </c>
    </row>
    <row r="89" spans="4:6" x14ac:dyDescent="0.2">
      <c r="D89">
        <v>4350000000000</v>
      </c>
      <c r="F89" s="2">
        <f t="shared" si="3"/>
        <v>4350000000000</v>
      </c>
    </row>
    <row r="90" spans="4:6" x14ac:dyDescent="0.2">
      <c r="D90">
        <v>32500000000000</v>
      </c>
      <c r="F90" s="2">
        <f t="shared" si="3"/>
        <v>32500000000000</v>
      </c>
    </row>
    <row r="91" spans="4:6" x14ac:dyDescent="0.2">
      <c r="D91">
        <v>14400000000000</v>
      </c>
      <c r="F91" s="2">
        <f t="shared" si="3"/>
        <v>14400000000000</v>
      </c>
    </row>
    <row r="92" spans="4:6" x14ac:dyDescent="0.2">
      <c r="D92">
        <v>24700000000000</v>
      </c>
      <c r="F92" s="2">
        <f t="shared" si="3"/>
        <v>24700000000000</v>
      </c>
    </row>
    <row r="93" spans="4:6" x14ac:dyDescent="0.2">
      <c r="D93">
        <v>13400000000000</v>
      </c>
      <c r="F93" s="2">
        <f t="shared" si="3"/>
        <v>13400000000000</v>
      </c>
    </row>
    <row r="94" spans="4:6" x14ac:dyDescent="0.2">
      <c r="D94">
        <v>14200000000000</v>
      </c>
      <c r="F94" s="2">
        <f t="shared" si="3"/>
        <v>14200000000000</v>
      </c>
    </row>
    <row r="95" spans="4:6" x14ac:dyDescent="0.2">
      <c r="D95">
        <v>13000000000000</v>
      </c>
      <c r="F95" s="2">
        <f t="shared" si="3"/>
        <v>13000000000000</v>
      </c>
    </row>
    <row r="96" spans="4:6" x14ac:dyDescent="0.2">
      <c r="D96">
        <v>11400000000000</v>
      </c>
      <c r="F96" s="2">
        <f t="shared" si="3"/>
        <v>11400000000000</v>
      </c>
    </row>
    <row r="97" spans="4:6" x14ac:dyDescent="0.2">
      <c r="D97">
        <v>1190000000000</v>
      </c>
      <c r="F97" s="2">
        <f t="shared" si="3"/>
        <v>1190000000000</v>
      </c>
    </row>
    <row r="98" spans="4:6" x14ac:dyDescent="0.2">
      <c r="D98">
        <v>1460000000000</v>
      </c>
      <c r="F98" s="2">
        <f t="shared" si="3"/>
        <v>1460000000000</v>
      </c>
    </row>
    <row r="99" spans="4:6" x14ac:dyDescent="0.2">
      <c r="D99">
        <v>1250000000000</v>
      </c>
      <c r="F99" s="2">
        <f t="shared" si="3"/>
        <v>1250000000000</v>
      </c>
    </row>
    <row r="100" spans="4:6" x14ac:dyDescent="0.2">
      <c r="D100">
        <v>1830000000000</v>
      </c>
      <c r="F100" s="2">
        <f t="shared" si="3"/>
        <v>1830000000000</v>
      </c>
    </row>
    <row r="101" spans="4:6" x14ac:dyDescent="0.2">
      <c r="D101">
        <v>14900000000000</v>
      </c>
      <c r="F101" s="2">
        <f t="shared" si="3"/>
        <v>14900000000000</v>
      </c>
    </row>
    <row r="102" spans="4:6" x14ac:dyDescent="0.2">
      <c r="D102">
        <v>13600000000000</v>
      </c>
      <c r="F102" s="2">
        <f t="shared" si="3"/>
        <v>13600000000000</v>
      </c>
    </row>
    <row r="103" spans="4:6" x14ac:dyDescent="0.2">
      <c r="D103">
        <v>11100000000000</v>
      </c>
      <c r="F103" s="2">
        <f t="shared" si="3"/>
        <v>11100000000000</v>
      </c>
    </row>
    <row r="104" spans="4:6" x14ac:dyDescent="0.2">
      <c r="D104">
        <v>13400000000000</v>
      </c>
      <c r="F104" s="2">
        <f t="shared" ref="F104:F167" si="4">D104</f>
        <v>13400000000000</v>
      </c>
    </row>
    <row r="105" spans="4:6" x14ac:dyDescent="0.2">
      <c r="D105">
        <v>15900000000000</v>
      </c>
      <c r="F105" s="2">
        <f t="shared" si="4"/>
        <v>15900000000000</v>
      </c>
    </row>
    <row r="106" spans="4:6" x14ac:dyDescent="0.2">
      <c r="D106">
        <v>20900000000000</v>
      </c>
      <c r="F106" s="2">
        <f t="shared" si="4"/>
        <v>20900000000000</v>
      </c>
    </row>
    <row r="107" spans="4:6" x14ac:dyDescent="0.2">
      <c r="D107">
        <v>24500000000000</v>
      </c>
      <c r="F107" s="2">
        <f t="shared" si="4"/>
        <v>24500000000000</v>
      </c>
    </row>
    <row r="108" spans="4:6" x14ac:dyDescent="0.2">
      <c r="D108">
        <v>24300000000000</v>
      </c>
      <c r="F108" s="2">
        <f t="shared" si="4"/>
        <v>24300000000000</v>
      </c>
    </row>
    <row r="109" spans="4:6" x14ac:dyDescent="0.2">
      <c r="D109">
        <v>3760000000000</v>
      </c>
      <c r="F109" s="2">
        <f t="shared" si="4"/>
        <v>3760000000000</v>
      </c>
    </row>
    <row r="110" spans="4:6" x14ac:dyDescent="0.2">
      <c r="D110">
        <v>2320000000000</v>
      </c>
      <c r="F110" s="2">
        <f t="shared" si="4"/>
        <v>2320000000000</v>
      </c>
    </row>
    <row r="111" spans="4:6" x14ac:dyDescent="0.2">
      <c r="D111">
        <v>3320000000000</v>
      </c>
      <c r="F111" s="2">
        <f t="shared" si="4"/>
        <v>3320000000000</v>
      </c>
    </row>
    <row r="112" spans="4:6" x14ac:dyDescent="0.2">
      <c r="D112">
        <v>5870000000000</v>
      </c>
      <c r="F112" s="2">
        <f t="shared" si="4"/>
        <v>5870000000000</v>
      </c>
    </row>
    <row r="113" spans="4:6" x14ac:dyDescent="0.2">
      <c r="D113">
        <v>22200000000000</v>
      </c>
      <c r="F113" s="2">
        <f t="shared" si="4"/>
        <v>22200000000000</v>
      </c>
    </row>
    <row r="114" spans="4:6" x14ac:dyDescent="0.2">
      <c r="D114">
        <v>31300000000000</v>
      </c>
      <c r="F114" s="2">
        <f t="shared" si="4"/>
        <v>31300000000000</v>
      </c>
    </row>
    <row r="115" spans="4:6" x14ac:dyDescent="0.2">
      <c r="D115">
        <v>24100000000000</v>
      </c>
      <c r="F115" s="2">
        <f t="shared" si="4"/>
        <v>24100000000000</v>
      </c>
    </row>
    <row r="116" spans="4:6" x14ac:dyDescent="0.2">
      <c r="D116">
        <v>30800000000000</v>
      </c>
      <c r="F116" s="2">
        <f t="shared" si="4"/>
        <v>30800000000000</v>
      </c>
    </row>
    <row r="117" spans="4:6" x14ac:dyDescent="0.2">
      <c r="D117">
        <v>2530000000000</v>
      </c>
      <c r="F117" s="2">
        <f t="shared" si="4"/>
        <v>2530000000000</v>
      </c>
    </row>
    <row r="118" spans="4:6" x14ac:dyDescent="0.2">
      <c r="D118">
        <v>2570000000000</v>
      </c>
      <c r="F118" s="2">
        <f t="shared" si="4"/>
        <v>2570000000000</v>
      </c>
    </row>
    <row r="119" spans="4:6" x14ac:dyDescent="0.2">
      <c r="D119">
        <v>2800000000000</v>
      </c>
      <c r="F119" s="2">
        <f t="shared" si="4"/>
        <v>2800000000000</v>
      </c>
    </row>
    <row r="120" spans="4:6" x14ac:dyDescent="0.2">
      <c r="D120">
        <v>2580000000000</v>
      </c>
      <c r="F120" s="2">
        <f t="shared" si="4"/>
        <v>2580000000000</v>
      </c>
    </row>
    <row r="121" spans="4:6" x14ac:dyDescent="0.2">
      <c r="D121">
        <v>9670000000000</v>
      </c>
      <c r="F121" s="2">
        <f t="shared" si="4"/>
        <v>9670000000000</v>
      </c>
    </row>
    <row r="122" spans="4:6" x14ac:dyDescent="0.2">
      <c r="D122">
        <v>11900000000000</v>
      </c>
      <c r="F122" s="2">
        <f t="shared" si="4"/>
        <v>11900000000000</v>
      </c>
    </row>
    <row r="123" spans="4:6" x14ac:dyDescent="0.2">
      <c r="D123">
        <v>7840000000000</v>
      </c>
      <c r="F123" s="2">
        <f t="shared" si="4"/>
        <v>7840000000000</v>
      </c>
    </row>
    <row r="124" spans="4:6" x14ac:dyDescent="0.2">
      <c r="D124">
        <v>10300000000000</v>
      </c>
      <c r="F124" s="2">
        <f t="shared" si="4"/>
        <v>10300000000000</v>
      </c>
    </row>
    <row r="125" spans="4:6" x14ac:dyDescent="0.2">
      <c r="D125">
        <v>3540000000000</v>
      </c>
      <c r="F125" s="2">
        <f t="shared" si="4"/>
        <v>3540000000000</v>
      </c>
    </row>
    <row r="126" spans="4:6" x14ac:dyDescent="0.2">
      <c r="D126">
        <v>6460000000000</v>
      </c>
      <c r="F126" s="2">
        <f t="shared" si="4"/>
        <v>6460000000000</v>
      </c>
    </row>
    <row r="127" spans="4:6" x14ac:dyDescent="0.2">
      <c r="D127">
        <v>4910000000000</v>
      </c>
      <c r="F127" s="2">
        <f t="shared" si="4"/>
        <v>4910000000000</v>
      </c>
    </row>
    <row r="128" spans="4:6" x14ac:dyDescent="0.2">
      <c r="D128">
        <v>6660000000000</v>
      </c>
      <c r="F128" s="2">
        <f t="shared" si="4"/>
        <v>6660000000000</v>
      </c>
    </row>
    <row r="129" spans="4:6" x14ac:dyDescent="0.2">
      <c r="D129">
        <v>9850000000000</v>
      </c>
      <c r="F129" s="2">
        <f t="shared" si="4"/>
        <v>9850000000000</v>
      </c>
    </row>
    <row r="130" spans="4:6" x14ac:dyDescent="0.2">
      <c r="D130">
        <v>7050000000000</v>
      </c>
      <c r="F130" s="2">
        <f t="shared" si="4"/>
        <v>7050000000000</v>
      </c>
    </row>
    <row r="131" spans="4:6" x14ac:dyDescent="0.2">
      <c r="D131">
        <v>6620000000000</v>
      </c>
      <c r="F131" s="2">
        <f t="shared" si="4"/>
        <v>6620000000000</v>
      </c>
    </row>
    <row r="132" spans="4:6" x14ac:dyDescent="0.2">
      <c r="D132">
        <v>5870000000000</v>
      </c>
      <c r="F132" s="2">
        <f t="shared" si="4"/>
        <v>5870000000000</v>
      </c>
    </row>
    <row r="133" spans="4:6" x14ac:dyDescent="0.2">
      <c r="D133">
        <v>2630000000000</v>
      </c>
      <c r="F133" s="2">
        <f t="shared" si="4"/>
        <v>2630000000000</v>
      </c>
    </row>
    <row r="134" spans="4:6" x14ac:dyDescent="0.2">
      <c r="D134">
        <v>2320000000000</v>
      </c>
      <c r="F134" s="2">
        <f t="shared" si="4"/>
        <v>2320000000000</v>
      </c>
    </row>
    <row r="135" spans="4:6" x14ac:dyDescent="0.2">
      <c r="D135">
        <v>2280000000000</v>
      </c>
      <c r="F135" s="2">
        <f t="shared" si="4"/>
        <v>2280000000000</v>
      </c>
    </row>
    <row r="136" spans="4:6" x14ac:dyDescent="0.2">
      <c r="D136">
        <v>2670000000000</v>
      </c>
      <c r="F136" s="2">
        <f t="shared" si="4"/>
        <v>2670000000000</v>
      </c>
    </row>
    <row r="137" spans="4:6" x14ac:dyDescent="0.2">
      <c r="D137">
        <v>1721199113</v>
      </c>
      <c r="F137" s="2">
        <f t="shared" si="4"/>
        <v>1721199113</v>
      </c>
    </row>
    <row r="138" spans="4:6" x14ac:dyDescent="0.2">
      <c r="D138">
        <v>1262318370</v>
      </c>
      <c r="F138" s="2">
        <f t="shared" si="4"/>
        <v>1262318370</v>
      </c>
    </row>
    <row r="139" spans="4:6" x14ac:dyDescent="0.2">
      <c r="D139">
        <v>2669840224</v>
      </c>
      <c r="F139" s="2">
        <f t="shared" si="4"/>
        <v>2669840224</v>
      </c>
    </row>
    <row r="140" spans="4:6" x14ac:dyDescent="0.2">
      <c r="D140">
        <v>3363099227</v>
      </c>
      <c r="F140" s="2">
        <f t="shared" si="4"/>
        <v>3363099227</v>
      </c>
    </row>
    <row r="141" spans="4:6" x14ac:dyDescent="0.2">
      <c r="D141">
        <v>15640321603</v>
      </c>
      <c r="F141" s="2">
        <f t="shared" si="4"/>
        <v>15640321603</v>
      </c>
    </row>
    <row r="142" spans="4:6" x14ac:dyDescent="0.2">
      <c r="D142">
        <v>19089471342</v>
      </c>
      <c r="F142" s="2">
        <f t="shared" si="4"/>
        <v>19089471342</v>
      </c>
    </row>
    <row r="143" spans="4:6" x14ac:dyDescent="0.2">
      <c r="D143">
        <v>19240316908</v>
      </c>
      <c r="F143" s="2">
        <f t="shared" si="4"/>
        <v>19240316908</v>
      </c>
    </row>
    <row r="144" spans="4:6" x14ac:dyDescent="0.2">
      <c r="D144">
        <v>12876776623</v>
      </c>
      <c r="F144" s="2">
        <f t="shared" si="4"/>
        <v>12876776623</v>
      </c>
    </row>
    <row r="145" spans="4:6" x14ac:dyDescent="0.2">
      <c r="D145">
        <v>5269155333</v>
      </c>
      <c r="F145" s="2">
        <f t="shared" si="4"/>
        <v>5269155333</v>
      </c>
    </row>
    <row r="146" spans="4:6" x14ac:dyDescent="0.2">
      <c r="D146">
        <v>7736989234</v>
      </c>
      <c r="F146" s="2">
        <f t="shared" si="4"/>
        <v>7736989234</v>
      </c>
    </row>
    <row r="147" spans="4:6" x14ac:dyDescent="0.2">
      <c r="D147">
        <v>12563361358</v>
      </c>
      <c r="F147" s="2">
        <f t="shared" si="4"/>
        <v>12563361358</v>
      </c>
    </row>
    <row r="148" spans="4:6" x14ac:dyDescent="0.2">
      <c r="D148">
        <v>6967494645</v>
      </c>
      <c r="F148" s="2">
        <f t="shared" si="4"/>
        <v>6967494645</v>
      </c>
    </row>
    <row r="149" spans="4:6" x14ac:dyDescent="0.2">
      <c r="D149">
        <v>171000000000</v>
      </c>
      <c r="F149" s="2">
        <f t="shared" si="4"/>
        <v>171000000000</v>
      </c>
    </row>
    <row r="150" spans="4:6" x14ac:dyDescent="0.2">
      <c r="D150">
        <v>166000000000</v>
      </c>
      <c r="F150" s="2">
        <f t="shared" si="4"/>
        <v>166000000000</v>
      </c>
    </row>
    <row r="151" spans="4:6" x14ac:dyDescent="0.2">
      <c r="D151">
        <v>164000000000</v>
      </c>
      <c r="F151" s="2">
        <f t="shared" si="4"/>
        <v>164000000000</v>
      </c>
    </row>
    <row r="152" spans="4:6" x14ac:dyDescent="0.2">
      <c r="D152">
        <v>157000000000</v>
      </c>
      <c r="F152" s="2">
        <f t="shared" si="4"/>
        <v>157000000000</v>
      </c>
    </row>
    <row r="153" spans="4:6" x14ac:dyDescent="0.2">
      <c r="D153">
        <v>139000000000</v>
      </c>
      <c r="F153" s="2">
        <f t="shared" si="4"/>
        <v>139000000000</v>
      </c>
    </row>
    <row r="154" spans="4:6" x14ac:dyDescent="0.2">
      <c r="D154">
        <v>161000000000</v>
      </c>
      <c r="F154" s="2">
        <f t="shared" si="4"/>
        <v>161000000000</v>
      </c>
    </row>
    <row r="155" spans="4:6" x14ac:dyDescent="0.2">
      <c r="D155">
        <v>200000000000</v>
      </c>
      <c r="F155" s="2">
        <f t="shared" si="4"/>
        <v>200000000000</v>
      </c>
    </row>
    <row r="156" spans="4:6" x14ac:dyDescent="0.2">
      <c r="D156">
        <v>197000000000</v>
      </c>
      <c r="F156" s="2">
        <f t="shared" si="4"/>
        <v>197000000000</v>
      </c>
    </row>
    <row r="157" spans="4:6" x14ac:dyDescent="0.2">
      <c r="D157">
        <v>263000000000</v>
      </c>
      <c r="F157" s="2">
        <f t="shared" si="4"/>
        <v>263000000000</v>
      </c>
    </row>
    <row r="158" spans="4:6" x14ac:dyDescent="0.2">
      <c r="D158">
        <v>93589857782</v>
      </c>
      <c r="F158" s="2">
        <f t="shared" si="4"/>
        <v>93589857782</v>
      </c>
    </row>
    <row r="159" spans="4:6" x14ac:dyDescent="0.2">
      <c r="D159">
        <v>201000000000</v>
      </c>
      <c r="F159" s="2">
        <f t="shared" si="4"/>
        <v>201000000000</v>
      </c>
    </row>
    <row r="160" spans="4:6" x14ac:dyDescent="0.2">
      <c r="D160">
        <v>110000000000</v>
      </c>
      <c r="F160" s="2">
        <f t="shared" si="4"/>
        <v>110000000000</v>
      </c>
    </row>
    <row r="161" spans="4:6" x14ac:dyDescent="0.2">
      <c r="D161">
        <v>13811391500</v>
      </c>
      <c r="F161" s="2">
        <f t="shared" si="4"/>
        <v>13811391500</v>
      </c>
    </row>
    <row r="162" spans="4:6" x14ac:dyDescent="0.2">
      <c r="D162">
        <v>123000000000</v>
      </c>
      <c r="F162" s="2">
        <f t="shared" si="4"/>
        <v>123000000000</v>
      </c>
    </row>
    <row r="163" spans="4:6" x14ac:dyDescent="0.2">
      <c r="D163">
        <v>91756420607</v>
      </c>
      <c r="F163" s="2">
        <f t="shared" si="4"/>
        <v>91756420607</v>
      </c>
    </row>
    <row r="164" spans="4:6" x14ac:dyDescent="0.2">
      <c r="D164">
        <v>89131377186</v>
      </c>
      <c r="F164" s="2">
        <f t="shared" si="4"/>
        <v>89131377186</v>
      </c>
    </row>
    <row r="165" spans="4:6" x14ac:dyDescent="0.2">
      <c r="D165">
        <v>14813804855</v>
      </c>
      <c r="F165" s="2">
        <f t="shared" si="4"/>
        <v>14813804855</v>
      </c>
    </row>
    <row r="166" spans="4:6" x14ac:dyDescent="0.2">
      <c r="D166">
        <v>13731090376</v>
      </c>
      <c r="F166" s="2">
        <f t="shared" si="4"/>
        <v>13731090376</v>
      </c>
    </row>
    <row r="167" spans="4:6" x14ac:dyDescent="0.2">
      <c r="D167">
        <v>18012460448</v>
      </c>
      <c r="F167" s="2">
        <f t="shared" si="4"/>
        <v>18012460448</v>
      </c>
    </row>
    <row r="168" spans="4:6" x14ac:dyDescent="0.2">
      <c r="D168">
        <v>11025878552</v>
      </c>
      <c r="F168" s="2">
        <f t="shared" ref="F168:F231" si="5">D168</f>
        <v>11025878552</v>
      </c>
    </row>
    <row r="169" spans="4:6" x14ac:dyDescent="0.2">
      <c r="D169">
        <v>27961887266</v>
      </c>
      <c r="F169" s="2">
        <f t="shared" si="5"/>
        <v>27961887266</v>
      </c>
    </row>
    <row r="170" spans="4:6" x14ac:dyDescent="0.2">
      <c r="D170">
        <v>27906043865</v>
      </c>
      <c r="F170" s="2">
        <f t="shared" si="5"/>
        <v>27906043865</v>
      </c>
    </row>
    <row r="171" spans="4:6" x14ac:dyDescent="0.2">
      <c r="D171">
        <v>27453500914</v>
      </c>
      <c r="F171" s="2">
        <f t="shared" si="5"/>
        <v>27453500914</v>
      </c>
    </row>
    <row r="172" spans="4:6" x14ac:dyDescent="0.2">
      <c r="D172">
        <v>27944884596</v>
      </c>
      <c r="F172" s="2">
        <f t="shared" si="5"/>
        <v>27944884596</v>
      </c>
    </row>
    <row r="173" spans="4:6" x14ac:dyDescent="0.2">
      <c r="D173">
        <v>14391467067</v>
      </c>
      <c r="F173" s="2">
        <f t="shared" si="5"/>
        <v>14391467067</v>
      </c>
    </row>
    <row r="174" spans="4:6" x14ac:dyDescent="0.2">
      <c r="D174">
        <v>24151369448</v>
      </c>
      <c r="F174" s="2">
        <f t="shared" si="5"/>
        <v>24151369448</v>
      </c>
    </row>
    <row r="175" spans="4:6" x14ac:dyDescent="0.2">
      <c r="D175">
        <v>22186214836</v>
      </c>
      <c r="F175" s="2">
        <f t="shared" si="5"/>
        <v>22186214836</v>
      </c>
    </row>
    <row r="176" spans="4:6" x14ac:dyDescent="0.2">
      <c r="D176">
        <v>15009253919</v>
      </c>
      <c r="F176" s="2">
        <f t="shared" si="5"/>
        <v>15009253919</v>
      </c>
    </row>
    <row r="177" spans="4:6" x14ac:dyDescent="0.2">
      <c r="D177">
        <v>6968425868</v>
      </c>
      <c r="F177" s="2">
        <f t="shared" si="5"/>
        <v>6968425868</v>
      </c>
    </row>
    <row r="178" spans="4:6" x14ac:dyDescent="0.2">
      <c r="D178">
        <v>16790275384</v>
      </c>
      <c r="F178" s="2">
        <f t="shared" si="5"/>
        <v>16790275384</v>
      </c>
    </row>
    <row r="179" spans="4:6" x14ac:dyDescent="0.2">
      <c r="D179">
        <v>18602543209</v>
      </c>
      <c r="F179" s="2">
        <f t="shared" si="5"/>
        <v>18602543209</v>
      </c>
    </row>
    <row r="180" spans="4:6" x14ac:dyDescent="0.2">
      <c r="D180">
        <v>17235057427</v>
      </c>
      <c r="F180" s="2">
        <f t="shared" si="5"/>
        <v>17235057427</v>
      </c>
    </row>
    <row r="181" spans="4:6" x14ac:dyDescent="0.2">
      <c r="D181">
        <v>53024796765</v>
      </c>
      <c r="F181" s="2">
        <f t="shared" si="5"/>
        <v>53024796765</v>
      </c>
    </row>
    <row r="182" spans="4:6" x14ac:dyDescent="0.2">
      <c r="D182">
        <v>41178230124</v>
      </c>
      <c r="F182" s="2">
        <f t="shared" si="5"/>
        <v>41178230124</v>
      </c>
    </row>
    <row r="183" spans="4:6" x14ac:dyDescent="0.2">
      <c r="D183">
        <v>38761563111</v>
      </c>
      <c r="F183" s="2">
        <f t="shared" si="5"/>
        <v>38761563111</v>
      </c>
    </row>
    <row r="184" spans="4:6" x14ac:dyDescent="0.2">
      <c r="D184">
        <v>52524862088</v>
      </c>
      <c r="F184" s="2">
        <f t="shared" si="5"/>
        <v>52524862088</v>
      </c>
    </row>
    <row r="185" spans="4:6" x14ac:dyDescent="0.2">
      <c r="D185">
        <v>31400000000000</v>
      </c>
      <c r="F185" s="2">
        <f t="shared" si="5"/>
        <v>31400000000000</v>
      </c>
    </row>
    <row r="186" spans="4:6" x14ac:dyDescent="0.2">
      <c r="D186">
        <v>60800000000000</v>
      </c>
      <c r="F186" s="2">
        <f t="shared" si="5"/>
        <v>60800000000000</v>
      </c>
    </row>
    <row r="187" spans="4:6" x14ac:dyDescent="0.2">
      <c r="D187">
        <v>49700000000000</v>
      </c>
      <c r="F187" s="2">
        <f t="shared" si="5"/>
        <v>49700000000000</v>
      </c>
    </row>
    <row r="188" spans="4:6" x14ac:dyDescent="0.2">
      <c r="D188">
        <v>40100000000000</v>
      </c>
      <c r="F188" s="2">
        <f t="shared" si="5"/>
        <v>40100000000000</v>
      </c>
    </row>
    <row r="189" spans="4:6" x14ac:dyDescent="0.2">
      <c r="D189">
        <v>5140000000000</v>
      </c>
      <c r="F189" s="2">
        <f t="shared" si="5"/>
        <v>5140000000000</v>
      </c>
    </row>
    <row r="190" spans="4:6" x14ac:dyDescent="0.2">
      <c r="D190">
        <v>5150000000000</v>
      </c>
      <c r="F190" s="2">
        <f t="shared" si="5"/>
        <v>5150000000000</v>
      </c>
    </row>
    <row r="191" spans="4:6" x14ac:dyDescent="0.2">
      <c r="D191">
        <v>5220000000000</v>
      </c>
      <c r="F191" s="2">
        <f t="shared" si="5"/>
        <v>5220000000000</v>
      </c>
    </row>
    <row r="192" spans="4:6" x14ac:dyDescent="0.2">
      <c r="D192">
        <v>4800000000000</v>
      </c>
      <c r="F192" s="2">
        <f t="shared" si="5"/>
        <v>4800000000000</v>
      </c>
    </row>
    <row r="193" spans="4:6" x14ac:dyDescent="0.2">
      <c r="D193">
        <v>56678521128</v>
      </c>
      <c r="F193" s="2">
        <f t="shared" si="5"/>
        <v>56678521128</v>
      </c>
    </row>
    <row r="194" spans="4:6" x14ac:dyDescent="0.2">
      <c r="D194">
        <v>123000000000</v>
      </c>
      <c r="F194" s="2">
        <f t="shared" si="5"/>
        <v>123000000000</v>
      </c>
    </row>
    <row r="195" spans="4:6" x14ac:dyDescent="0.2">
      <c r="D195">
        <v>137000000000</v>
      </c>
      <c r="F195" s="2">
        <f t="shared" si="5"/>
        <v>137000000000</v>
      </c>
    </row>
    <row r="196" spans="4:6" x14ac:dyDescent="0.2">
      <c r="D196">
        <v>84752232880</v>
      </c>
      <c r="F196" s="2">
        <f t="shared" si="5"/>
        <v>84752232880</v>
      </c>
    </row>
    <row r="197" spans="4:6" x14ac:dyDescent="0.2">
      <c r="D197">
        <v>9590000000000</v>
      </c>
      <c r="F197" s="2">
        <f t="shared" si="5"/>
        <v>9590000000000</v>
      </c>
    </row>
    <row r="198" spans="4:6" x14ac:dyDescent="0.2">
      <c r="D198">
        <v>6790000000000</v>
      </c>
      <c r="F198" s="2">
        <f t="shared" si="5"/>
        <v>6790000000000</v>
      </c>
    </row>
    <row r="199" spans="4:6" x14ac:dyDescent="0.2">
      <c r="D199">
        <v>7000000000000</v>
      </c>
      <c r="F199" s="2">
        <f t="shared" si="5"/>
        <v>7000000000000</v>
      </c>
    </row>
    <row r="200" spans="4:6" x14ac:dyDescent="0.2">
      <c r="D200">
        <v>6940000000000</v>
      </c>
      <c r="F200" s="2">
        <f t="shared" si="5"/>
        <v>6940000000000</v>
      </c>
    </row>
    <row r="201" spans="4:6" x14ac:dyDescent="0.2">
      <c r="D201">
        <v>5390000000000</v>
      </c>
      <c r="F201" s="2">
        <f t="shared" si="5"/>
        <v>5390000000000</v>
      </c>
    </row>
    <row r="202" spans="4:6" x14ac:dyDescent="0.2">
      <c r="D202">
        <v>8090000000000</v>
      </c>
      <c r="F202" s="2">
        <f t="shared" si="5"/>
        <v>8090000000000</v>
      </c>
    </row>
    <row r="203" spans="4:6" x14ac:dyDescent="0.2">
      <c r="D203">
        <v>7990000000000</v>
      </c>
      <c r="F203" s="2">
        <f t="shared" si="5"/>
        <v>7990000000000</v>
      </c>
    </row>
    <row r="204" spans="4:6" x14ac:dyDescent="0.2">
      <c r="D204">
        <v>9380000000000</v>
      </c>
      <c r="F204" s="2">
        <f t="shared" si="5"/>
        <v>9380000000000</v>
      </c>
    </row>
    <row r="205" spans="4:6" x14ac:dyDescent="0.2">
      <c r="D205">
        <v>8660000000000</v>
      </c>
      <c r="F205" s="2">
        <f t="shared" si="5"/>
        <v>8660000000000</v>
      </c>
    </row>
    <row r="206" spans="4:6" x14ac:dyDescent="0.2">
      <c r="D206">
        <v>6880000000000</v>
      </c>
      <c r="F206" s="2">
        <f t="shared" si="5"/>
        <v>6880000000000</v>
      </c>
    </row>
    <row r="207" spans="4:6" x14ac:dyDescent="0.2">
      <c r="D207">
        <v>8160000000000</v>
      </c>
      <c r="F207" s="2">
        <f t="shared" si="5"/>
        <v>8160000000000</v>
      </c>
    </row>
    <row r="208" spans="4:6" x14ac:dyDescent="0.2">
      <c r="D208">
        <v>10800000000000</v>
      </c>
      <c r="F208" s="2">
        <f t="shared" si="5"/>
        <v>10800000000000</v>
      </c>
    </row>
    <row r="209" spans="4:6" x14ac:dyDescent="0.2">
      <c r="D209">
        <v>13800000000000</v>
      </c>
      <c r="F209" s="2">
        <f t="shared" si="5"/>
        <v>13800000000000</v>
      </c>
    </row>
    <row r="210" spans="4:6" x14ac:dyDescent="0.2">
      <c r="D210">
        <v>20300000000000</v>
      </c>
      <c r="F210" s="2">
        <f t="shared" si="5"/>
        <v>20300000000000</v>
      </c>
    </row>
    <row r="211" spans="4:6" x14ac:dyDescent="0.2">
      <c r="D211">
        <v>12400000000000</v>
      </c>
      <c r="F211" s="2">
        <f t="shared" si="5"/>
        <v>12400000000000</v>
      </c>
    </row>
    <row r="212" spans="4:6" x14ac:dyDescent="0.2">
      <c r="D212">
        <v>16500000000000</v>
      </c>
      <c r="F212" s="2">
        <f t="shared" si="5"/>
        <v>16500000000000</v>
      </c>
    </row>
    <row r="213" spans="4:6" x14ac:dyDescent="0.2">
      <c r="D213">
        <v>2090000000000</v>
      </c>
      <c r="F213" s="2">
        <f t="shared" si="5"/>
        <v>2090000000000</v>
      </c>
    </row>
    <row r="214" spans="4:6" x14ac:dyDescent="0.2">
      <c r="D214">
        <v>1790000000000</v>
      </c>
      <c r="F214" s="2">
        <f t="shared" si="5"/>
        <v>1790000000000</v>
      </c>
    </row>
    <row r="215" spans="4:6" x14ac:dyDescent="0.2">
      <c r="D215">
        <v>2110000000000</v>
      </c>
      <c r="F215" s="2">
        <f t="shared" si="5"/>
        <v>2110000000000</v>
      </c>
    </row>
    <row r="216" spans="4:6" x14ac:dyDescent="0.2">
      <c r="D216">
        <v>3180000000000</v>
      </c>
      <c r="F216" s="2">
        <f t="shared" si="5"/>
        <v>3180000000000</v>
      </c>
    </row>
    <row r="217" spans="4:6" x14ac:dyDescent="0.2">
      <c r="D217">
        <v>6310000000000</v>
      </c>
      <c r="F217" s="2">
        <f t="shared" si="5"/>
        <v>6310000000000</v>
      </c>
    </row>
    <row r="218" spans="4:6" x14ac:dyDescent="0.2">
      <c r="D218">
        <v>9430000000000</v>
      </c>
      <c r="F218" s="2">
        <f t="shared" si="5"/>
        <v>9430000000000</v>
      </c>
    </row>
    <row r="219" spans="4:6" x14ac:dyDescent="0.2">
      <c r="D219">
        <v>5540000000000</v>
      </c>
      <c r="F219" s="2">
        <f t="shared" si="5"/>
        <v>5540000000000</v>
      </c>
    </row>
    <row r="220" spans="4:6" x14ac:dyDescent="0.2">
      <c r="D220">
        <v>7320000000000</v>
      </c>
      <c r="F220" s="2">
        <f t="shared" si="5"/>
        <v>7320000000000</v>
      </c>
    </row>
    <row r="221" spans="4:6" x14ac:dyDescent="0.2">
      <c r="D221">
        <v>5270000000000</v>
      </c>
      <c r="F221" s="2">
        <f t="shared" si="5"/>
        <v>5270000000000</v>
      </c>
    </row>
    <row r="222" spans="4:6" x14ac:dyDescent="0.2">
      <c r="D222">
        <v>7850000000000</v>
      </c>
      <c r="F222" s="2">
        <f t="shared" si="5"/>
        <v>7850000000000</v>
      </c>
    </row>
    <row r="223" spans="4:6" x14ac:dyDescent="0.2">
      <c r="D223">
        <v>8440000000000</v>
      </c>
      <c r="F223" s="2">
        <f t="shared" si="5"/>
        <v>8440000000000</v>
      </c>
    </row>
    <row r="224" spans="4:6" x14ac:dyDescent="0.2">
      <c r="D224">
        <v>7810000000000</v>
      </c>
      <c r="F224" s="2">
        <f t="shared" si="5"/>
        <v>7810000000000</v>
      </c>
    </row>
    <row r="225" spans="4:6" x14ac:dyDescent="0.2">
      <c r="D225">
        <v>6060000000000</v>
      </c>
      <c r="F225" s="2">
        <f t="shared" si="5"/>
        <v>6060000000000</v>
      </c>
    </row>
    <row r="226" spans="4:6" x14ac:dyDescent="0.2">
      <c r="D226">
        <v>6250000000000</v>
      </c>
      <c r="F226" s="2">
        <f t="shared" si="5"/>
        <v>6250000000000</v>
      </c>
    </row>
    <row r="227" spans="4:6" x14ac:dyDescent="0.2">
      <c r="D227">
        <v>6690000000000</v>
      </c>
      <c r="F227" s="2">
        <f t="shared" si="5"/>
        <v>6690000000000</v>
      </c>
    </row>
    <row r="228" spans="4:6" x14ac:dyDescent="0.2">
      <c r="D228">
        <v>5220000000000</v>
      </c>
      <c r="F228" s="2">
        <f t="shared" si="5"/>
        <v>5220000000000</v>
      </c>
    </row>
    <row r="229" spans="4:6" x14ac:dyDescent="0.2">
      <c r="D229">
        <v>3130000000000</v>
      </c>
      <c r="F229" s="2">
        <f t="shared" si="5"/>
        <v>3130000000000</v>
      </c>
    </row>
    <row r="230" spans="4:6" x14ac:dyDescent="0.2">
      <c r="D230">
        <v>2690000000000</v>
      </c>
      <c r="F230" s="2">
        <f t="shared" si="5"/>
        <v>2690000000000</v>
      </c>
    </row>
    <row r="231" spans="4:6" x14ac:dyDescent="0.2">
      <c r="D231">
        <v>3030000000000</v>
      </c>
      <c r="F231" s="2">
        <f t="shared" si="5"/>
        <v>3030000000000</v>
      </c>
    </row>
    <row r="232" spans="4:6" x14ac:dyDescent="0.2">
      <c r="D232">
        <v>3380000000000</v>
      </c>
      <c r="F232" s="2">
        <f t="shared" ref="F232:F295" si="6">D232</f>
        <v>3380000000000</v>
      </c>
    </row>
    <row r="233" spans="4:6" x14ac:dyDescent="0.2">
      <c r="D233">
        <v>3280000000000</v>
      </c>
      <c r="F233" s="2">
        <f t="shared" si="6"/>
        <v>3280000000000</v>
      </c>
    </row>
    <row r="234" spans="4:6" x14ac:dyDescent="0.2">
      <c r="D234">
        <v>27500000000000</v>
      </c>
      <c r="F234" s="2">
        <f t="shared" si="6"/>
        <v>27500000000000</v>
      </c>
    </row>
    <row r="235" spans="4:6" x14ac:dyDescent="0.2">
      <c r="D235">
        <v>12600000000000</v>
      </c>
      <c r="F235" s="2">
        <f t="shared" si="6"/>
        <v>12600000000000</v>
      </c>
    </row>
    <row r="236" spans="4:6" x14ac:dyDescent="0.2">
      <c r="D236">
        <v>23500000000000</v>
      </c>
      <c r="F236" s="2">
        <f t="shared" si="6"/>
        <v>23500000000000</v>
      </c>
    </row>
    <row r="237" spans="4:6" x14ac:dyDescent="0.2">
      <c r="D237">
        <v>24800000000000</v>
      </c>
      <c r="F237" s="2">
        <f t="shared" si="6"/>
        <v>24800000000000</v>
      </c>
    </row>
    <row r="238" spans="4:6" x14ac:dyDescent="0.2">
      <c r="D238">
        <v>19500000000000</v>
      </c>
      <c r="F238" s="2">
        <f t="shared" si="6"/>
        <v>19500000000000</v>
      </c>
    </row>
    <row r="239" spans="4:6" x14ac:dyDescent="0.2">
      <c r="D239">
        <v>24400000000000</v>
      </c>
      <c r="F239" s="2">
        <f t="shared" si="6"/>
        <v>24400000000000</v>
      </c>
    </row>
    <row r="240" spans="4:6" x14ac:dyDescent="0.2">
      <c r="D240">
        <v>18700000000000</v>
      </c>
      <c r="F240" s="2">
        <f t="shared" si="6"/>
        <v>18700000000000</v>
      </c>
    </row>
    <row r="241" spans="4:6" x14ac:dyDescent="0.2">
      <c r="D241">
        <v>1340000000000</v>
      </c>
      <c r="F241" s="2">
        <f t="shared" si="6"/>
        <v>1340000000000</v>
      </c>
    </row>
    <row r="242" spans="4:6" x14ac:dyDescent="0.2">
      <c r="D242">
        <v>1930000000000</v>
      </c>
      <c r="F242" s="2">
        <f t="shared" si="6"/>
        <v>1930000000000</v>
      </c>
    </row>
    <row r="243" spans="4:6" x14ac:dyDescent="0.2">
      <c r="D243">
        <v>1890000000000</v>
      </c>
      <c r="F243" s="2">
        <f t="shared" si="6"/>
        <v>1890000000000</v>
      </c>
    </row>
    <row r="244" spans="4:6" x14ac:dyDescent="0.2">
      <c r="D244">
        <v>2450000000000</v>
      </c>
      <c r="F244" s="2">
        <f t="shared" si="6"/>
        <v>2450000000000</v>
      </c>
    </row>
    <row r="245" spans="4:6" x14ac:dyDescent="0.2">
      <c r="D245">
        <v>28100000000000</v>
      </c>
      <c r="F245" s="2">
        <f t="shared" si="6"/>
        <v>28100000000000</v>
      </c>
    </row>
    <row r="246" spans="4:6" x14ac:dyDescent="0.2">
      <c r="D246">
        <v>22500000000000</v>
      </c>
      <c r="F246" s="2">
        <f t="shared" si="6"/>
        <v>22500000000000</v>
      </c>
    </row>
    <row r="247" spans="4:6" x14ac:dyDescent="0.2">
      <c r="D247">
        <v>26100000000000</v>
      </c>
      <c r="F247" s="2">
        <f t="shared" si="6"/>
        <v>26100000000000</v>
      </c>
    </row>
    <row r="248" spans="4:6" x14ac:dyDescent="0.2">
      <c r="D248">
        <v>18500000000000</v>
      </c>
      <c r="F248" s="2">
        <f t="shared" si="6"/>
        <v>18500000000000</v>
      </c>
    </row>
    <row r="249" spans="4:6" x14ac:dyDescent="0.2">
      <c r="D249">
        <v>4760000000000</v>
      </c>
      <c r="F249" s="2">
        <f t="shared" si="6"/>
        <v>4760000000000</v>
      </c>
    </row>
    <row r="250" spans="4:6" x14ac:dyDescent="0.2">
      <c r="D250">
        <v>18500000000000</v>
      </c>
      <c r="F250" s="2">
        <f t="shared" si="6"/>
        <v>18500000000000</v>
      </c>
    </row>
    <row r="251" spans="4:6" x14ac:dyDescent="0.2">
      <c r="D251">
        <v>19600000000000</v>
      </c>
      <c r="F251" s="2">
        <f t="shared" si="6"/>
        <v>19600000000000</v>
      </c>
    </row>
    <row r="252" spans="4:6" x14ac:dyDescent="0.2">
      <c r="D252">
        <v>23500000000000</v>
      </c>
      <c r="F252" s="2">
        <f t="shared" si="6"/>
        <v>23500000000000</v>
      </c>
    </row>
    <row r="253" spans="4:6" x14ac:dyDescent="0.2">
      <c r="D253">
        <v>10700000000000</v>
      </c>
      <c r="F253" s="2">
        <f t="shared" si="6"/>
        <v>10700000000000</v>
      </c>
    </row>
    <row r="254" spans="4:6" x14ac:dyDescent="0.2">
      <c r="D254">
        <v>6380000000000</v>
      </c>
      <c r="F254" s="2">
        <f t="shared" si="6"/>
        <v>6380000000000</v>
      </c>
    </row>
    <row r="255" spans="4:6" x14ac:dyDescent="0.2">
      <c r="D255">
        <v>10800000000000</v>
      </c>
      <c r="F255" s="2">
        <f t="shared" si="6"/>
        <v>10800000000000</v>
      </c>
    </row>
    <row r="256" spans="4:6" x14ac:dyDescent="0.2">
      <c r="D256">
        <v>14200000000000</v>
      </c>
      <c r="F256" s="2">
        <f t="shared" si="6"/>
        <v>14200000000000</v>
      </c>
    </row>
    <row r="257" spans="4:6" x14ac:dyDescent="0.2">
      <c r="D257">
        <v>11400000000000</v>
      </c>
      <c r="F257" s="2">
        <f t="shared" si="6"/>
        <v>11400000000000</v>
      </c>
    </row>
    <row r="258" spans="4:6" x14ac:dyDescent="0.2">
      <c r="D258">
        <v>27300000000000</v>
      </c>
      <c r="F258" s="2">
        <f t="shared" si="6"/>
        <v>27300000000000</v>
      </c>
    </row>
    <row r="259" spans="4:6" x14ac:dyDescent="0.2">
      <c r="D259">
        <v>25900000000000</v>
      </c>
      <c r="F259" s="2">
        <f t="shared" si="6"/>
        <v>25900000000000</v>
      </c>
    </row>
    <row r="260" spans="4:6" x14ac:dyDescent="0.2">
      <c r="D260">
        <v>35100000000000</v>
      </c>
      <c r="F260" s="2">
        <f t="shared" si="6"/>
        <v>35100000000000</v>
      </c>
    </row>
    <row r="261" spans="4:6" x14ac:dyDescent="0.2">
      <c r="D261">
        <v>4580000000000</v>
      </c>
      <c r="F261" s="2">
        <f t="shared" si="6"/>
        <v>4580000000000</v>
      </c>
    </row>
    <row r="262" spans="4:6" x14ac:dyDescent="0.2">
      <c r="D262">
        <v>3450000000000</v>
      </c>
      <c r="F262" s="2">
        <f t="shared" si="6"/>
        <v>3450000000000</v>
      </c>
    </row>
    <row r="263" spans="4:6" x14ac:dyDescent="0.2">
      <c r="D263">
        <v>4400000000000</v>
      </c>
      <c r="F263" s="2">
        <f t="shared" si="6"/>
        <v>4400000000000</v>
      </c>
    </row>
    <row r="264" spans="4:6" x14ac:dyDescent="0.2">
      <c r="D264">
        <v>3260000000000</v>
      </c>
      <c r="F264" s="2">
        <f t="shared" si="6"/>
        <v>3260000000000</v>
      </c>
    </row>
    <row r="265" spans="4:6" x14ac:dyDescent="0.2">
      <c r="D265">
        <v>10600000000000</v>
      </c>
      <c r="F265" s="2">
        <f t="shared" si="6"/>
        <v>10600000000000</v>
      </c>
    </row>
    <row r="266" spans="4:6" x14ac:dyDescent="0.2">
      <c r="D266">
        <v>22500000000000</v>
      </c>
      <c r="F266" s="2">
        <f t="shared" si="6"/>
        <v>22500000000000</v>
      </c>
    </row>
    <row r="267" spans="4:6" x14ac:dyDescent="0.2">
      <c r="D267">
        <v>11900000000000</v>
      </c>
      <c r="F267" s="2">
        <f t="shared" si="6"/>
        <v>11900000000000</v>
      </c>
    </row>
    <row r="268" spans="4:6" x14ac:dyDescent="0.2">
      <c r="D268">
        <v>17600000000000</v>
      </c>
      <c r="F268" s="2">
        <f t="shared" si="6"/>
        <v>17600000000000</v>
      </c>
    </row>
    <row r="269" spans="4:6" x14ac:dyDescent="0.2">
      <c r="D269">
        <v>6920000000000</v>
      </c>
      <c r="F269" s="2">
        <f t="shared" si="6"/>
        <v>6920000000000</v>
      </c>
    </row>
    <row r="270" spans="4:6" x14ac:dyDescent="0.2">
      <c r="D270">
        <v>7290000000000</v>
      </c>
      <c r="F270" s="2">
        <f t="shared" si="6"/>
        <v>7290000000000</v>
      </c>
    </row>
    <row r="271" spans="4:6" x14ac:dyDescent="0.2">
      <c r="D271">
        <v>9170000000000</v>
      </c>
      <c r="F271" s="2">
        <f t="shared" si="6"/>
        <v>9170000000000</v>
      </c>
    </row>
    <row r="272" spans="4:6" x14ac:dyDescent="0.2">
      <c r="D272">
        <v>9140000000000</v>
      </c>
      <c r="F272" s="2">
        <f t="shared" si="6"/>
        <v>9140000000000</v>
      </c>
    </row>
    <row r="273" spans="4:6" x14ac:dyDescent="0.2">
      <c r="D273">
        <v>4070000000000</v>
      </c>
      <c r="F273" s="2">
        <f t="shared" si="6"/>
        <v>4070000000000</v>
      </c>
    </row>
    <row r="274" spans="4:6" x14ac:dyDescent="0.2">
      <c r="D274">
        <v>7850000000000</v>
      </c>
      <c r="F274" s="2">
        <f t="shared" si="6"/>
        <v>7850000000000</v>
      </c>
    </row>
    <row r="275" spans="4:6" x14ac:dyDescent="0.2">
      <c r="D275">
        <v>7380000000000</v>
      </c>
      <c r="F275" s="2">
        <f t="shared" si="6"/>
        <v>7380000000000</v>
      </c>
    </row>
    <row r="276" spans="4:6" x14ac:dyDescent="0.2">
      <c r="D276">
        <v>4340000000000</v>
      </c>
      <c r="F276" s="2">
        <f t="shared" si="6"/>
        <v>4340000000000</v>
      </c>
    </row>
    <row r="277" spans="4:6" x14ac:dyDescent="0.2">
      <c r="D277">
        <v>2720000000000</v>
      </c>
      <c r="F277" s="2">
        <f t="shared" si="6"/>
        <v>2720000000000</v>
      </c>
    </row>
    <row r="278" spans="4:6" x14ac:dyDescent="0.2">
      <c r="D278">
        <v>1850000000000</v>
      </c>
      <c r="F278" s="2">
        <f t="shared" si="6"/>
        <v>1850000000000</v>
      </c>
    </row>
    <row r="279" spans="4:6" x14ac:dyDescent="0.2">
      <c r="D279">
        <v>3320000000000</v>
      </c>
      <c r="F279" s="2">
        <f t="shared" si="6"/>
        <v>3320000000000</v>
      </c>
    </row>
    <row r="280" spans="4:6" x14ac:dyDescent="0.2">
      <c r="D280">
        <v>2470000000000</v>
      </c>
      <c r="F280" s="2">
        <f t="shared" si="6"/>
        <v>2470000000000</v>
      </c>
    </row>
    <row r="281" spans="4:6" x14ac:dyDescent="0.2">
      <c r="D281">
        <v>64400000000000</v>
      </c>
      <c r="F281" s="2">
        <f t="shared" si="6"/>
        <v>64400000000000</v>
      </c>
    </row>
    <row r="282" spans="4:6" x14ac:dyDescent="0.2">
      <c r="D282">
        <v>85100000000000</v>
      </c>
      <c r="F282" s="2">
        <f t="shared" si="6"/>
        <v>85100000000000</v>
      </c>
    </row>
    <row r="283" spans="4:6" x14ac:dyDescent="0.2">
      <c r="D283">
        <v>67400000000000</v>
      </c>
      <c r="F283" s="2">
        <f t="shared" si="6"/>
        <v>67400000000000</v>
      </c>
    </row>
    <row r="284" spans="4:6" x14ac:dyDescent="0.2">
      <c r="D284">
        <v>92200000000000</v>
      </c>
      <c r="F284" s="2">
        <f t="shared" si="6"/>
        <v>92200000000000</v>
      </c>
    </row>
    <row r="285" spans="4:6" x14ac:dyDescent="0.2">
      <c r="D285">
        <v>5250000000000</v>
      </c>
      <c r="F285" s="2">
        <f t="shared" si="6"/>
        <v>5250000000000</v>
      </c>
    </row>
    <row r="286" spans="4:6" x14ac:dyDescent="0.2">
      <c r="D286">
        <v>5690000000000</v>
      </c>
      <c r="F286" s="2">
        <f t="shared" si="6"/>
        <v>5690000000000</v>
      </c>
    </row>
    <row r="287" spans="4:6" x14ac:dyDescent="0.2">
      <c r="D287">
        <v>5720000000000</v>
      </c>
      <c r="F287" s="2">
        <f t="shared" si="6"/>
        <v>5720000000000</v>
      </c>
    </row>
    <row r="288" spans="4:6" x14ac:dyDescent="0.2">
      <c r="D288">
        <v>5510000000000</v>
      </c>
      <c r="F288" s="2">
        <f t="shared" si="6"/>
        <v>5510000000000</v>
      </c>
    </row>
    <row r="289" spans="4:6" x14ac:dyDescent="0.2">
      <c r="D289">
        <v>431000000000</v>
      </c>
      <c r="F289" s="2">
        <f t="shared" si="6"/>
        <v>431000000000</v>
      </c>
    </row>
    <row r="290" spans="4:6" x14ac:dyDescent="0.2">
      <c r="D290">
        <v>820000000000</v>
      </c>
      <c r="F290" s="2">
        <f t="shared" si="6"/>
        <v>820000000000</v>
      </c>
    </row>
    <row r="291" spans="4:6" x14ac:dyDescent="0.2">
      <c r="D291">
        <v>808000000000</v>
      </c>
      <c r="F291" s="2">
        <f t="shared" si="6"/>
        <v>808000000000</v>
      </c>
    </row>
    <row r="292" spans="4:6" x14ac:dyDescent="0.2">
      <c r="D292">
        <v>753000000000</v>
      </c>
      <c r="F292" s="2">
        <f t="shared" si="6"/>
        <v>753000000000</v>
      </c>
    </row>
    <row r="293" spans="4:6" x14ac:dyDescent="0.2">
      <c r="D293">
        <v>7780000000000</v>
      </c>
      <c r="F293" s="2">
        <f t="shared" si="6"/>
        <v>7780000000000</v>
      </c>
    </row>
    <row r="294" spans="4:6" x14ac:dyDescent="0.2">
      <c r="D294">
        <v>7660000000000</v>
      </c>
      <c r="F294" s="2">
        <f t="shared" si="6"/>
        <v>7660000000000</v>
      </c>
    </row>
    <row r="295" spans="4:6" x14ac:dyDescent="0.2">
      <c r="D295">
        <v>7630000000000</v>
      </c>
      <c r="F295" s="2">
        <f t="shared" si="6"/>
        <v>7630000000000</v>
      </c>
    </row>
    <row r="296" spans="4:6" x14ac:dyDescent="0.2">
      <c r="D296">
        <v>7260000000000</v>
      </c>
      <c r="F296" s="2">
        <f t="shared" ref="F296:F359" si="7">D296</f>
        <v>7260000000000</v>
      </c>
    </row>
    <row r="297" spans="4:6" x14ac:dyDescent="0.2">
      <c r="D297">
        <v>1600000000000</v>
      </c>
      <c r="F297" s="2">
        <f t="shared" si="7"/>
        <v>1600000000000</v>
      </c>
    </row>
    <row r="298" spans="4:6" x14ac:dyDescent="0.2">
      <c r="D298">
        <v>4430000000000</v>
      </c>
      <c r="F298" s="2">
        <f t="shared" si="7"/>
        <v>4430000000000</v>
      </c>
    </row>
    <row r="299" spans="4:6" x14ac:dyDescent="0.2">
      <c r="D299">
        <v>5020000000000</v>
      </c>
      <c r="F299" s="2">
        <f t="shared" si="7"/>
        <v>5020000000000</v>
      </c>
    </row>
    <row r="300" spans="4:6" x14ac:dyDescent="0.2">
      <c r="D300">
        <v>5580000000000</v>
      </c>
      <c r="F300" s="2">
        <f t="shared" si="7"/>
        <v>5580000000000</v>
      </c>
    </row>
    <row r="301" spans="4:6" x14ac:dyDescent="0.2">
      <c r="D301">
        <v>7550000000000</v>
      </c>
      <c r="F301" s="2">
        <f t="shared" si="7"/>
        <v>7550000000000</v>
      </c>
    </row>
    <row r="302" spans="4:6" x14ac:dyDescent="0.2">
      <c r="D302">
        <v>6380000000000</v>
      </c>
      <c r="F302" s="2">
        <f t="shared" si="7"/>
        <v>6380000000000</v>
      </c>
    </row>
    <row r="303" spans="4:6" x14ac:dyDescent="0.2">
      <c r="D303">
        <v>7640000000000</v>
      </c>
      <c r="F303" s="2">
        <f t="shared" si="7"/>
        <v>7640000000000</v>
      </c>
    </row>
    <row r="304" spans="4:6" x14ac:dyDescent="0.2">
      <c r="D304">
        <v>9610000000000</v>
      </c>
      <c r="F304" s="2">
        <f t="shared" si="7"/>
        <v>9610000000000</v>
      </c>
    </row>
    <row r="305" spans="4:6" x14ac:dyDescent="0.2">
      <c r="D305">
        <v>1970000000000</v>
      </c>
      <c r="F305" s="2">
        <f t="shared" si="7"/>
        <v>1970000000000</v>
      </c>
    </row>
    <row r="306" spans="4:6" x14ac:dyDescent="0.2">
      <c r="D306">
        <v>4710000000000</v>
      </c>
      <c r="F306" s="2">
        <f t="shared" si="7"/>
        <v>4710000000000</v>
      </c>
    </row>
    <row r="307" spans="4:6" x14ac:dyDescent="0.2">
      <c r="D307">
        <v>3910000000000</v>
      </c>
      <c r="F307" s="2">
        <f t="shared" si="7"/>
        <v>3910000000000</v>
      </c>
    </row>
    <row r="308" spans="4:6" x14ac:dyDescent="0.2">
      <c r="D308">
        <v>3480000000000</v>
      </c>
      <c r="F308" s="2">
        <f t="shared" si="7"/>
        <v>3480000000000</v>
      </c>
    </row>
    <row r="309" spans="4:6" x14ac:dyDescent="0.2">
      <c r="D309">
        <v>4180000000000</v>
      </c>
      <c r="F309" s="2">
        <f t="shared" si="7"/>
        <v>4180000000000</v>
      </c>
    </row>
    <row r="310" spans="4:6" x14ac:dyDescent="0.2">
      <c r="D310">
        <v>4560000000000</v>
      </c>
      <c r="F310" s="2">
        <f t="shared" si="7"/>
        <v>4560000000000</v>
      </c>
    </row>
    <row r="311" spans="4:6" x14ac:dyDescent="0.2">
      <c r="D311">
        <v>4110000000000</v>
      </c>
      <c r="F311" s="2">
        <f t="shared" si="7"/>
        <v>4110000000000</v>
      </c>
    </row>
    <row r="312" spans="4:6" x14ac:dyDescent="0.2">
      <c r="D312">
        <v>4840000000000</v>
      </c>
      <c r="F312" s="2">
        <f t="shared" si="7"/>
        <v>4840000000000</v>
      </c>
    </row>
    <row r="313" spans="4:6" x14ac:dyDescent="0.2">
      <c r="D313">
        <v>3230000000000</v>
      </c>
      <c r="F313" s="2">
        <f t="shared" si="7"/>
        <v>3230000000000</v>
      </c>
    </row>
    <row r="314" spans="4:6" x14ac:dyDescent="0.2">
      <c r="D314">
        <v>5980000000000</v>
      </c>
      <c r="F314" s="2">
        <f t="shared" si="7"/>
        <v>5980000000000</v>
      </c>
    </row>
    <row r="315" spans="4:6" x14ac:dyDescent="0.2">
      <c r="D315">
        <v>4420000000000</v>
      </c>
      <c r="F315" s="2">
        <f t="shared" si="7"/>
        <v>4420000000000</v>
      </c>
    </row>
    <row r="316" spans="4:6" x14ac:dyDescent="0.2">
      <c r="D316">
        <v>5650000000000</v>
      </c>
      <c r="F316" s="2">
        <f t="shared" si="7"/>
        <v>5650000000000</v>
      </c>
    </row>
    <row r="317" spans="4:6" x14ac:dyDescent="0.2">
      <c r="D317">
        <v>8070000000000</v>
      </c>
      <c r="F317" s="2">
        <f t="shared" si="7"/>
        <v>8070000000000</v>
      </c>
    </row>
    <row r="318" spans="4:6" x14ac:dyDescent="0.2">
      <c r="D318">
        <v>11400000000000</v>
      </c>
      <c r="F318" s="2">
        <f t="shared" si="7"/>
        <v>11400000000000</v>
      </c>
    </row>
    <row r="319" spans="4:6" x14ac:dyDescent="0.2">
      <c r="D319">
        <v>11600000000000</v>
      </c>
      <c r="F319" s="2">
        <f t="shared" si="7"/>
        <v>11600000000000</v>
      </c>
    </row>
    <row r="320" spans="4:6" x14ac:dyDescent="0.2">
      <c r="D320">
        <v>9180000000000</v>
      </c>
      <c r="F320" s="2">
        <f t="shared" si="7"/>
        <v>9180000000000</v>
      </c>
    </row>
    <row r="321" spans="4:6" x14ac:dyDescent="0.2">
      <c r="D321">
        <v>909000000000</v>
      </c>
      <c r="F321" s="2">
        <f t="shared" si="7"/>
        <v>909000000000</v>
      </c>
    </row>
    <row r="322" spans="4:6" x14ac:dyDescent="0.2">
      <c r="D322">
        <v>2430000000000</v>
      </c>
      <c r="F322" s="2">
        <f t="shared" si="7"/>
        <v>2430000000000</v>
      </c>
    </row>
    <row r="323" spans="4:6" x14ac:dyDescent="0.2">
      <c r="D323">
        <v>3490000000000</v>
      </c>
      <c r="F323" s="2">
        <f t="shared" si="7"/>
        <v>3490000000000</v>
      </c>
    </row>
    <row r="324" spans="4:6" x14ac:dyDescent="0.2">
      <c r="D324">
        <v>2300000000000</v>
      </c>
      <c r="F324" s="2">
        <f t="shared" si="7"/>
        <v>2300000000000</v>
      </c>
    </row>
    <row r="325" spans="4:6" x14ac:dyDescent="0.2">
      <c r="D325">
        <v>3640000000000</v>
      </c>
      <c r="F325" s="2">
        <f t="shared" si="7"/>
        <v>3640000000000</v>
      </c>
    </row>
    <row r="326" spans="4:6" x14ac:dyDescent="0.2">
      <c r="D326">
        <v>4190000000000</v>
      </c>
      <c r="F326" s="2">
        <f t="shared" si="7"/>
        <v>4190000000000</v>
      </c>
    </row>
    <row r="327" spans="4:6" x14ac:dyDescent="0.2">
      <c r="D327">
        <v>4250000000000</v>
      </c>
      <c r="F327" s="2">
        <f t="shared" si="7"/>
        <v>4250000000000</v>
      </c>
    </row>
    <row r="328" spans="4:6" x14ac:dyDescent="0.2">
      <c r="D328">
        <v>4200000000000</v>
      </c>
      <c r="F328" s="2">
        <f t="shared" si="7"/>
        <v>4200000000000</v>
      </c>
    </row>
    <row r="329" spans="4:6" x14ac:dyDescent="0.2">
      <c r="D329">
        <v>165000000000</v>
      </c>
      <c r="F329" s="2">
        <f t="shared" si="7"/>
        <v>165000000000</v>
      </c>
    </row>
    <row r="330" spans="4:6" x14ac:dyDescent="0.2">
      <c r="D330">
        <v>550000000000</v>
      </c>
      <c r="F330" s="2">
        <f t="shared" si="7"/>
        <v>550000000000</v>
      </c>
    </row>
    <row r="331" spans="4:6" x14ac:dyDescent="0.2">
      <c r="D331">
        <v>383000000000</v>
      </c>
      <c r="F331" s="2">
        <f t="shared" si="7"/>
        <v>383000000000</v>
      </c>
    </row>
    <row r="332" spans="4:6" x14ac:dyDescent="0.2">
      <c r="D332">
        <v>358000000000</v>
      </c>
      <c r="F332" s="2">
        <f t="shared" si="7"/>
        <v>358000000000</v>
      </c>
    </row>
    <row r="333" spans="4:6" x14ac:dyDescent="0.2">
      <c r="D333">
        <v>1010000000000</v>
      </c>
      <c r="F333" s="2">
        <f t="shared" si="7"/>
        <v>1010000000000</v>
      </c>
    </row>
    <row r="334" spans="4:6" x14ac:dyDescent="0.2">
      <c r="D334">
        <v>1120000000000</v>
      </c>
      <c r="F334" s="2">
        <f t="shared" si="7"/>
        <v>1120000000000</v>
      </c>
    </row>
    <row r="335" spans="4:6" x14ac:dyDescent="0.2">
      <c r="D335">
        <v>1090000000000</v>
      </c>
      <c r="F335" s="2">
        <f t="shared" si="7"/>
        <v>1090000000000</v>
      </c>
    </row>
    <row r="336" spans="4:6" x14ac:dyDescent="0.2">
      <c r="D336">
        <v>662000000000</v>
      </c>
      <c r="F336" s="2">
        <f t="shared" si="7"/>
        <v>662000000000</v>
      </c>
    </row>
    <row r="337" spans="4:6" x14ac:dyDescent="0.2">
      <c r="D337">
        <v>8960187672</v>
      </c>
      <c r="F337" s="2">
        <f t="shared" si="7"/>
        <v>8960187672</v>
      </c>
    </row>
    <row r="338" spans="4:6" x14ac:dyDescent="0.2">
      <c r="D338">
        <v>34327706578</v>
      </c>
      <c r="F338" s="2">
        <f t="shared" si="7"/>
        <v>34327706578</v>
      </c>
    </row>
    <row r="339" spans="4:6" x14ac:dyDescent="0.2">
      <c r="D339">
        <v>31500000000000</v>
      </c>
      <c r="F339" s="2">
        <f t="shared" si="7"/>
        <v>31500000000000</v>
      </c>
    </row>
    <row r="340" spans="4:6" x14ac:dyDescent="0.2">
      <c r="D340">
        <v>13900000000000</v>
      </c>
      <c r="F340" s="2">
        <f t="shared" si="7"/>
        <v>13900000000000</v>
      </c>
    </row>
    <row r="341" spans="4:6" x14ac:dyDescent="0.2">
      <c r="D341">
        <v>897000000000</v>
      </c>
      <c r="F341" s="2">
        <f t="shared" si="7"/>
        <v>897000000000</v>
      </c>
    </row>
    <row r="342" spans="4:6" x14ac:dyDescent="0.2">
      <c r="D342">
        <v>756000000000</v>
      </c>
      <c r="F342" s="2">
        <f t="shared" si="7"/>
        <v>756000000000</v>
      </c>
    </row>
    <row r="343" spans="4:6" x14ac:dyDescent="0.2">
      <c r="D343">
        <v>1420000000000</v>
      </c>
      <c r="F343" s="2">
        <f t="shared" si="7"/>
        <v>1420000000000</v>
      </c>
    </row>
    <row r="344" spans="4:6" x14ac:dyDescent="0.2">
      <c r="D344">
        <v>859000000000</v>
      </c>
      <c r="F344" s="2">
        <f t="shared" si="7"/>
        <v>859000000000</v>
      </c>
    </row>
    <row r="345" spans="4:6" x14ac:dyDescent="0.2">
      <c r="D345">
        <v>841000000000</v>
      </c>
      <c r="F345" s="2">
        <f t="shared" si="7"/>
        <v>841000000000</v>
      </c>
    </row>
    <row r="346" spans="4:6" x14ac:dyDescent="0.2">
      <c r="D346">
        <v>681000000000</v>
      </c>
      <c r="F346" s="2">
        <f t="shared" si="7"/>
        <v>681000000000</v>
      </c>
    </row>
    <row r="347" spans="4:6" x14ac:dyDescent="0.2">
      <c r="D347">
        <v>6130000000000</v>
      </c>
      <c r="F347" s="2">
        <f t="shared" si="7"/>
        <v>6130000000000</v>
      </c>
    </row>
    <row r="348" spans="4:6" x14ac:dyDescent="0.2">
      <c r="D348">
        <v>1620000000000</v>
      </c>
      <c r="F348" s="2">
        <f t="shared" si="7"/>
        <v>1620000000000</v>
      </c>
    </row>
    <row r="349" spans="4:6" x14ac:dyDescent="0.2">
      <c r="D349">
        <v>191000000000</v>
      </c>
      <c r="F349" s="2">
        <f t="shared" si="7"/>
        <v>191000000000</v>
      </c>
    </row>
    <row r="350" spans="4:6" x14ac:dyDescent="0.2">
      <c r="D350">
        <v>168000000000</v>
      </c>
      <c r="F350" s="2">
        <f t="shared" si="7"/>
        <v>168000000000</v>
      </c>
    </row>
    <row r="351" spans="4:6" x14ac:dyDescent="0.2">
      <c r="D351">
        <v>291000000000</v>
      </c>
      <c r="F351" s="2">
        <f t="shared" si="7"/>
        <v>291000000000</v>
      </c>
    </row>
    <row r="352" spans="4:6" x14ac:dyDescent="0.2">
      <c r="D352">
        <v>437000000000</v>
      </c>
      <c r="F352" s="2">
        <f t="shared" si="7"/>
        <v>437000000000</v>
      </c>
    </row>
    <row r="353" spans="4:6" x14ac:dyDescent="0.2">
      <c r="D353">
        <v>604000000000</v>
      </c>
      <c r="F353" s="2">
        <f t="shared" si="7"/>
        <v>604000000000</v>
      </c>
    </row>
    <row r="354" spans="4:6" x14ac:dyDescent="0.2">
      <c r="D354">
        <v>690000000000</v>
      </c>
      <c r="F354" s="2">
        <f t="shared" si="7"/>
        <v>690000000000</v>
      </c>
    </row>
    <row r="355" spans="4:6" x14ac:dyDescent="0.2">
      <c r="D355">
        <v>3420000000000</v>
      </c>
      <c r="F355" s="2">
        <f t="shared" si="7"/>
        <v>3420000000000</v>
      </c>
    </row>
    <row r="356" spans="4:6" x14ac:dyDescent="0.2">
      <c r="D356">
        <v>440000000000</v>
      </c>
      <c r="F356" s="2">
        <f t="shared" si="7"/>
        <v>440000000000</v>
      </c>
    </row>
    <row r="357" spans="4:6" x14ac:dyDescent="0.2">
      <c r="D357">
        <v>0</v>
      </c>
      <c r="F357" s="2">
        <f t="shared" si="7"/>
        <v>0</v>
      </c>
    </row>
    <row r="358" spans="4:6" x14ac:dyDescent="0.2">
      <c r="D358">
        <v>0</v>
      </c>
      <c r="F358" s="2">
        <f t="shared" si="7"/>
        <v>0</v>
      </c>
    </row>
    <row r="359" spans="4:6" x14ac:dyDescent="0.2">
      <c r="D359">
        <v>0</v>
      </c>
      <c r="F359" s="2">
        <f t="shared" si="7"/>
        <v>0</v>
      </c>
    </row>
    <row r="360" spans="4:6" x14ac:dyDescent="0.2">
      <c r="D360">
        <v>0</v>
      </c>
      <c r="F360" s="2">
        <f t="shared" ref="F360:F423" si="8">D360</f>
        <v>0</v>
      </c>
    </row>
    <row r="361" spans="4:6" x14ac:dyDescent="0.2">
      <c r="D361">
        <v>505000000000</v>
      </c>
      <c r="F361" s="2">
        <f t="shared" si="8"/>
        <v>505000000000</v>
      </c>
    </row>
    <row r="362" spans="4:6" x14ac:dyDescent="0.2">
      <c r="D362">
        <v>654000000000</v>
      </c>
      <c r="F362" s="2">
        <f t="shared" si="8"/>
        <v>654000000000</v>
      </c>
    </row>
    <row r="363" spans="4:6" x14ac:dyDescent="0.2">
      <c r="D363">
        <v>1090000000000</v>
      </c>
      <c r="F363" s="2">
        <f t="shared" si="8"/>
        <v>1090000000000</v>
      </c>
    </row>
    <row r="364" spans="4:6" x14ac:dyDescent="0.2">
      <c r="D364">
        <v>625000000000</v>
      </c>
      <c r="F364" s="2">
        <f t="shared" si="8"/>
        <v>625000000000</v>
      </c>
    </row>
    <row r="365" spans="4:6" x14ac:dyDescent="0.2">
      <c r="D365">
        <v>214000000000</v>
      </c>
      <c r="F365" s="2">
        <f t="shared" si="8"/>
        <v>214000000000</v>
      </c>
    </row>
    <row r="366" spans="4:6" x14ac:dyDescent="0.2">
      <c r="D366">
        <v>235000000000</v>
      </c>
      <c r="F366" s="2">
        <f t="shared" si="8"/>
        <v>235000000000</v>
      </c>
    </row>
    <row r="367" spans="4:6" x14ac:dyDescent="0.2">
      <c r="D367">
        <v>1040000000000</v>
      </c>
      <c r="F367" s="2">
        <f t="shared" si="8"/>
        <v>1040000000000</v>
      </c>
    </row>
    <row r="368" spans="4:6" x14ac:dyDescent="0.2">
      <c r="D368">
        <v>386000000000</v>
      </c>
      <c r="F368" s="2">
        <f t="shared" si="8"/>
        <v>386000000000</v>
      </c>
    </row>
    <row r="369" spans="4:6" x14ac:dyDescent="0.2">
      <c r="D369">
        <v>295000000000</v>
      </c>
      <c r="F369" s="2">
        <f t="shared" si="8"/>
        <v>295000000000</v>
      </c>
    </row>
    <row r="370" spans="4:6" x14ac:dyDescent="0.2">
      <c r="D370">
        <v>503000000000</v>
      </c>
      <c r="F370" s="2">
        <f t="shared" si="8"/>
        <v>503000000000</v>
      </c>
    </row>
    <row r="371" spans="4:6" x14ac:dyDescent="0.2">
      <c r="D371">
        <v>212000000000</v>
      </c>
      <c r="F371" s="2">
        <f t="shared" si="8"/>
        <v>212000000000</v>
      </c>
    </row>
    <row r="372" spans="4:6" x14ac:dyDescent="0.2">
      <c r="D372">
        <v>95661938275</v>
      </c>
      <c r="F372" s="2">
        <f t="shared" si="8"/>
        <v>95661938275</v>
      </c>
    </row>
    <row r="373" spans="4:6" x14ac:dyDescent="0.2">
      <c r="D373">
        <v>249000000000</v>
      </c>
      <c r="F373" s="2">
        <f t="shared" si="8"/>
        <v>249000000000</v>
      </c>
    </row>
    <row r="374" spans="4:6" x14ac:dyDescent="0.2">
      <c r="D374">
        <v>89612514981</v>
      </c>
      <c r="F374" s="2">
        <f t="shared" si="8"/>
        <v>89612514981</v>
      </c>
    </row>
    <row r="375" spans="4:6" x14ac:dyDescent="0.2">
      <c r="D375">
        <v>109000000000</v>
      </c>
      <c r="F375" s="2">
        <f t="shared" si="8"/>
        <v>109000000000</v>
      </c>
    </row>
    <row r="376" spans="4:6" x14ac:dyDescent="0.2">
      <c r="D376">
        <v>210000000000</v>
      </c>
      <c r="F376" s="2">
        <f t="shared" si="8"/>
        <v>210000000000</v>
      </c>
    </row>
    <row r="377" spans="4:6" x14ac:dyDescent="0.2">
      <c r="D377">
        <v>1750000000000</v>
      </c>
      <c r="F377" s="2">
        <f t="shared" si="8"/>
        <v>1750000000000</v>
      </c>
    </row>
    <row r="378" spans="4:6" x14ac:dyDescent="0.2">
      <c r="D378">
        <v>1060000000000</v>
      </c>
      <c r="F378" s="2">
        <f t="shared" si="8"/>
        <v>1060000000000</v>
      </c>
    </row>
    <row r="379" spans="4:6" x14ac:dyDescent="0.2">
      <c r="D379">
        <v>411000000000</v>
      </c>
      <c r="F379" s="2">
        <f t="shared" si="8"/>
        <v>411000000000</v>
      </c>
    </row>
    <row r="380" spans="4:6" x14ac:dyDescent="0.2">
      <c r="D380">
        <v>724000000000</v>
      </c>
      <c r="F380" s="2">
        <f t="shared" si="8"/>
        <v>724000000000</v>
      </c>
    </row>
    <row r="381" spans="4:6" x14ac:dyDescent="0.2">
      <c r="D381">
        <v>5010000000000</v>
      </c>
      <c r="F381" s="2">
        <f t="shared" si="8"/>
        <v>5010000000000</v>
      </c>
    </row>
    <row r="382" spans="4:6" x14ac:dyDescent="0.2">
      <c r="D382">
        <v>5550000000000</v>
      </c>
      <c r="F382" s="2">
        <f t="shared" si="8"/>
        <v>5550000000000</v>
      </c>
    </row>
    <row r="383" spans="4:6" x14ac:dyDescent="0.2">
      <c r="D383">
        <v>5300000000000</v>
      </c>
      <c r="F383" s="2">
        <f t="shared" si="8"/>
        <v>5300000000000</v>
      </c>
    </row>
    <row r="384" spans="4:6" x14ac:dyDescent="0.2">
      <c r="D384">
        <v>4970000000000</v>
      </c>
      <c r="F384" s="2">
        <f t="shared" si="8"/>
        <v>4970000000000</v>
      </c>
    </row>
    <row r="385" spans="4:6" x14ac:dyDescent="0.2">
      <c r="D385">
        <v>1570000000000</v>
      </c>
      <c r="F385" s="2">
        <f t="shared" si="8"/>
        <v>1570000000000</v>
      </c>
    </row>
    <row r="386" spans="4:6" x14ac:dyDescent="0.2">
      <c r="D386">
        <v>1740000000000</v>
      </c>
      <c r="F386" s="2">
        <f t="shared" si="8"/>
        <v>1740000000000</v>
      </c>
    </row>
    <row r="387" spans="4:6" x14ac:dyDescent="0.2">
      <c r="D387">
        <v>2740000000000</v>
      </c>
      <c r="F387" s="2">
        <f t="shared" si="8"/>
        <v>2740000000000</v>
      </c>
    </row>
    <row r="388" spans="4:6" x14ac:dyDescent="0.2">
      <c r="D388">
        <v>2030000000000</v>
      </c>
      <c r="F388" s="2">
        <f t="shared" si="8"/>
        <v>2030000000000</v>
      </c>
    </row>
    <row r="389" spans="4:6" x14ac:dyDescent="0.2">
      <c r="D389">
        <v>10600000000000</v>
      </c>
      <c r="F389" s="2">
        <f t="shared" si="8"/>
        <v>10600000000000</v>
      </c>
    </row>
    <row r="390" spans="4:6" x14ac:dyDescent="0.2">
      <c r="D390">
        <v>10600000000000</v>
      </c>
      <c r="F390" s="2">
        <f t="shared" si="8"/>
        <v>10600000000000</v>
      </c>
    </row>
    <row r="391" spans="4:6" x14ac:dyDescent="0.2">
      <c r="D391">
        <v>6790000000000</v>
      </c>
      <c r="F391" s="2">
        <f t="shared" si="8"/>
        <v>6790000000000</v>
      </c>
    </row>
    <row r="392" spans="4:6" x14ac:dyDescent="0.2">
      <c r="D392">
        <v>10900000000000</v>
      </c>
      <c r="F392" s="2">
        <f t="shared" si="8"/>
        <v>10900000000000</v>
      </c>
    </row>
    <row r="393" spans="4:6" x14ac:dyDescent="0.2">
      <c r="D393">
        <v>2540000000000</v>
      </c>
      <c r="F393" s="2">
        <f t="shared" si="8"/>
        <v>2540000000000</v>
      </c>
    </row>
    <row r="394" spans="4:6" x14ac:dyDescent="0.2">
      <c r="D394">
        <v>3570000000000</v>
      </c>
      <c r="F394" s="2">
        <f t="shared" si="8"/>
        <v>3570000000000</v>
      </c>
    </row>
    <row r="395" spans="4:6" x14ac:dyDescent="0.2">
      <c r="D395">
        <v>2850000000000</v>
      </c>
      <c r="F395" s="2">
        <f t="shared" si="8"/>
        <v>2850000000000</v>
      </c>
    </row>
    <row r="396" spans="4:6" x14ac:dyDescent="0.2">
      <c r="D396">
        <v>3170000000000</v>
      </c>
      <c r="F396" s="2">
        <f t="shared" si="8"/>
        <v>3170000000000</v>
      </c>
    </row>
    <row r="397" spans="4:6" x14ac:dyDescent="0.2">
      <c r="D397">
        <v>1190000000000</v>
      </c>
      <c r="F397" s="2">
        <f t="shared" si="8"/>
        <v>1190000000000</v>
      </c>
    </row>
    <row r="398" spans="4:6" x14ac:dyDescent="0.2">
      <c r="D398">
        <v>839000000000</v>
      </c>
      <c r="F398" s="2">
        <f t="shared" si="8"/>
        <v>839000000000</v>
      </c>
    </row>
    <row r="399" spans="4:6" x14ac:dyDescent="0.2">
      <c r="D399">
        <v>842000000000</v>
      </c>
      <c r="F399" s="2">
        <f t="shared" si="8"/>
        <v>842000000000</v>
      </c>
    </row>
    <row r="400" spans="4:6" x14ac:dyDescent="0.2">
      <c r="D400">
        <v>1370000000000</v>
      </c>
      <c r="F400" s="2">
        <f t="shared" si="8"/>
        <v>1370000000000</v>
      </c>
    </row>
    <row r="401" spans="4:6" x14ac:dyDescent="0.2">
      <c r="D401">
        <v>2230000000000</v>
      </c>
      <c r="F401" s="2">
        <f t="shared" si="8"/>
        <v>2230000000000</v>
      </c>
    </row>
    <row r="402" spans="4:6" x14ac:dyDescent="0.2">
      <c r="D402">
        <v>2300000000000</v>
      </c>
      <c r="F402" s="2">
        <f t="shared" si="8"/>
        <v>2300000000000</v>
      </c>
    </row>
    <row r="403" spans="4:6" x14ac:dyDescent="0.2">
      <c r="D403">
        <v>2010000000000</v>
      </c>
      <c r="F403" s="2">
        <f t="shared" si="8"/>
        <v>2010000000000</v>
      </c>
    </row>
    <row r="404" spans="4:6" x14ac:dyDescent="0.2">
      <c r="D404">
        <v>1710000000000</v>
      </c>
      <c r="F404" s="2">
        <f t="shared" si="8"/>
        <v>1710000000000</v>
      </c>
    </row>
    <row r="405" spans="4:6" x14ac:dyDescent="0.2">
      <c r="D405">
        <v>586000000000</v>
      </c>
      <c r="F405" s="2">
        <f t="shared" si="8"/>
        <v>586000000000</v>
      </c>
    </row>
    <row r="406" spans="4:6" x14ac:dyDescent="0.2">
      <c r="D406">
        <v>566000000000</v>
      </c>
      <c r="F406" s="2">
        <f t="shared" si="8"/>
        <v>566000000000</v>
      </c>
    </row>
    <row r="407" spans="4:6" x14ac:dyDescent="0.2">
      <c r="D407">
        <v>781000000000</v>
      </c>
      <c r="F407" s="2">
        <f t="shared" si="8"/>
        <v>781000000000</v>
      </c>
    </row>
    <row r="408" spans="4:6" x14ac:dyDescent="0.2">
      <c r="D408">
        <v>551000000000</v>
      </c>
      <c r="F408" s="2">
        <f t="shared" si="8"/>
        <v>551000000000</v>
      </c>
    </row>
    <row r="409" spans="4:6" x14ac:dyDescent="0.2">
      <c r="D409">
        <v>560000000000</v>
      </c>
      <c r="F409" s="2">
        <f t="shared" si="8"/>
        <v>560000000000</v>
      </c>
    </row>
    <row r="410" spans="4:6" x14ac:dyDescent="0.2">
      <c r="D410">
        <v>981000000000</v>
      </c>
      <c r="F410" s="2">
        <f t="shared" si="8"/>
        <v>981000000000</v>
      </c>
    </row>
    <row r="411" spans="4:6" x14ac:dyDescent="0.2">
      <c r="D411">
        <v>646000000000</v>
      </c>
      <c r="F411" s="2">
        <f t="shared" si="8"/>
        <v>646000000000</v>
      </c>
    </row>
    <row r="412" spans="4:6" x14ac:dyDescent="0.2">
      <c r="D412">
        <v>691000000000</v>
      </c>
      <c r="F412" s="2">
        <f t="shared" si="8"/>
        <v>691000000000</v>
      </c>
    </row>
    <row r="413" spans="4:6" x14ac:dyDescent="0.2">
      <c r="D413">
        <v>2850000000000</v>
      </c>
      <c r="F413" s="2">
        <f t="shared" si="8"/>
        <v>2850000000000</v>
      </c>
    </row>
    <row r="414" spans="4:6" x14ac:dyDescent="0.2">
      <c r="D414">
        <v>4270000000000</v>
      </c>
      <c r="F414" s="2">
        <f t="shared" si="8"/>
        <v>4270000000000</v>
      </c>
    </row>
    <row r="415" spans="4:6" x14ac:dyDescent="0.2">
      <c r="D415">
        <v>2960000000000</v>
      </c>
      <c r="F415" s="2">
        <f t="shared" si="8"/>
        <v>2960000000000</v>
      </c>
    </row>
    <row r="416" spans="4:6" x14ac:dyDescent="0.2">
      <c r="D416">
        <v>4200000000000</v>
      </c>
      <c r="F416" s="2">
        <f t="shared" si="8"/>
        <v>4200000000000</v>
      </c>
    </row>
    <row r="417" spans="4:6" x14ac:dyDescent="0.2">
      <c r="D417">
        <v>1030000000000</v>
      </c>
      <c r="F417" s="2">
        <f t="shared" si="8"/>
        <v>1030000000000</v>
      </c>
    </row>
    <row r="418" spans="4:6" x14ac:dyDescent="0.2">
      <c r="D418">
        <v>1640000000000</v>
      </c>
      <c r="F418" s="2">
        <f t="shared" si="8"/>
        <v>1640000000000</v>
      </c>
    </row>
    <row r="419" spans="4:6" x14ac:dyDescent="0.2">
      <c r="D419">
        <v>1740000000000</v>
      </c>
      <c r="F419" s="2">
        <f t="shared" si="8"/>
        <v>1740000000000</v>
      </c>
    </row>
    <row r="420" spans="4:6" x14ac:dyDescent="0.2">
      <c r="D420">
        <v>1320000000000</v>
      </c>
      <c r="F420" s="2">
        <f t="shared" si="8"/>
        <v>1320000000000</v>
      </c>
    </row>
    <row r="421" spans="4:6" x14ac:dyDescent="0.2">
      <c r="D421">
        <v>990000000000</v>
      </c>
      <c r="F421" s="2">
        <f t="shared" si="8"/>
        <v>990000000000</v>
      </c>
    </row>
    <row r="422" spans="4:6" x14ac:dyDescent="0.2">
      <c r="D422">
        <v>1030000000000</v>
      </c>
      <c r="F422" s="2">
        <f t="shared" si="8"/>
        <v>1030000000000</v>
      </c>
    </row>
    <row r="423" spans="4:6" x14ac:dyDescent="0.2">
      <c r="D423">
        <v>1080000000000</v>
      </c>
      <c r="F423" s="2">
        <f t="shared" si="8"/>
        <v>1080000000000</v>
      </c>
    </row>
    <row r="424" spans="4:6" x14ac:dyDescent="0.2">
      <c r="D424">
        <v>1370000000000</v>
      </c>
      <c r="F424" s="2">
        <f t="shared" ref="F424:F487" si="9">D424</f>
        <v>1370000000000</v>
      </c>
    </row>
    <row r="425" spans="4:6" x14ac:dyDescent="0.2">
      <c r="D425">
        <v>357000000000</v>
      </c>
      <c r="F425" s="2">
        <f t="shared" si="9"/>
        <v>357000000000</v>
      </c>
    </row>
    <row r="426" spans="4:6" x14ac:dyDescent="0.2">
      <c r="D426">
        <v>46435088381</v>
      </c>
      <c r="F426" s="2">
        <f t="shared" si="9"/>
        <v>46435088381</v>
      </c>
    </row>
    <row r="427" spans="4:6" x14ac:dyDescent="0.2">
      <c r="D427">
        <v>55219750993</v>
      </c>
      <c r="F427" s="2">
        <f t="shared" si="9"/>
        <v>55219750993</v>
      </c>
    </row>
    <row r="428" spans="4:6" x14ac:dyDescent="0.2">
      <c r="D428">
        <v>28394984089</v>
      </c>
      <c r="F428" s="2">
        <f t="shared" si="9"/>
        <v>28394984089</v>
      </c>
    </row>
    <row r="429" spans="4:6" x14ac:dyDescent="0.2">
      <c r="D429">
        <v>188000000000</v>
      </c>
      <c r="F429" s="2">
        <f t="shared" si="9"/>
        <v>188000000000</v>
      </c>
    </row>
    <row r="430" spans="4:6" x14ac:dyDescent="0.2">
      <c r="D430">
        <v>221000000000</v>
      </c>
      <c r="F430" s="2">
        <f t="shared" si="9"/>
        <v>221000000000</v>
      </c>
    </row>
    <row r="431" spans="4:6" x14ac:dyDescent="0.2">
      <c r="D431">
        <v>193000000000</v>
      </c>
      <c r="F431" s="2">
        <f t="shared" si="9"/>
        <v>193000000000</v>
      </c>
    </row>
    <row r="432" spans="4:6" x14ac:dyDescent="0.2">
      <c r="D432">
        <v>218000000000</v>
      </c>
      <c r="F432" s="2">
        <f t="shared" si="9"/>
        <v>218000000000</v>
      </c>
    </row>
    <row r="433" spans="4:6" x14ac:dyDescent="0.2">
      <c r="D433">
        <v>52073391412</v>
      </c>
      <c r="F433" s="2">
        <f t="shared" si="9"/>
        <v>52073391412</v>
      </c>
    </row>
    <row r="434" spans="4:6" x14ac:dyDescent="0.2">
      <c r="D434">
        <v>52756027578</v>
      </c>
      <c r="F434" s="2">
        <f t="shared" si="9"/>
        <v>52756027578</v>
      </c>
    </row>
    <row r="435" spans="4:6" x14ac:dyDescent="0.2">
      <c r="D435">
        <v>46661947675</v>
      </c>
      <c r="F435" s="2">
        <f t="shared" si="9"/>
        <v>46661947675</v>
      </c>
    </row>
    <row r="436" spans="4:6" x14ac:dyDescent="0.2">
      <c r="D436">
        <v>90141833592</v>
      </c>
      <c r="F436" s="2">
        <f t="shared" si="9"/>
        <v>90141833592</v>
      </c>
    </row>
    <row r="437" spans="4:6" x14ac:dyDescent="0.2">
      <c r="D437">
        <v>678000000000</v>
      </c>
      <c r="F437" s="2">
        <f t="shared" si="9"/>
        <v>678000000000</v>
      </c>
    </row>
    <row r="438" spans="4:6" x14ac:dyDescent="0.2">
      <c r="D438">
        <v>719000000000</v>
      </c>
      <c r="F438" s="2">
        <f t="shared" si="9"/>
        <v>719000000000</v>
      </c>
    </row>
    <row r="439" spans="4:6" x14ac:dyDescent="0.2">
      <c r="D439">
        <v>635000000000</v>
      </c>
      <c r="F439" s="2">
        <f t="shared" si="9"/>
        <v>635000000000</v>
      </c>
    </row>
    <row r="440" spans="4:6" x14ac:dyDescent="0.2">
      <c r="D440">
        <v>814000000000</v>
      </c>
      <c r="F440" s="2">
        <f t="shared" si="9"/>
        <v>814000000000</v>
      </c>
    </row>
    <row r="441" spans="4:6" x14ac:dyDescent="0.2">
      <c r="D441">
        <v>493000000000</v>
      </c>
      <c r="F441" s="2">
        <f t="shared" si="9"/>
        <v>493000000000</v>
      </c>
    </row>
    <row r="442" spans="4:6" x14ac:dyDescent="0.2">
      <c r="D442">
        <v>647000000000</v>
      </c>
      <c r="F442" s="2">
        <f t="shared" si="9"/>
        <v>647000000000</v>
      </c>
    </row>
    <row r="443" spans="4:6" x14ac:dyDescent="0.2">
      <c r="D443">
        <v>684000000000</v>
      </c>
      <c r="F443" s="2">
        <f t="shared" si="9"/>
        <v>684000000000</v>
      </c>
    </row>
    <row r="444" spans="4:6" x14ac:dyDescent="0.2">
      <c r="D444">
        <v>727000000000</v>
      </c>
      <c r="F444" s="2">
        <f t="shared" si="9"/>
        <v>727000000000</v>
      </c>
    </row>
    <row r="445" spans="4:6" x14ac:dyDescent="0.2">
      <c r="D445">
        <v>29568673894</v>
      </c>
      <c r="F445" s="2">
        <f t="shared" si="9"/>
        <v>29568673894</v>
      </c>
    </row>
    <row r="446" spans="4:6" x14ac:dyDescent="0.2">
      <c r="D446">
        <v>26242088800</v>
      </c>
      <c r="F446" s="2">
        <f t="shared" si="9"/>
        <v>26242088800</v>
      </c>
    </row>
    <row r="447" spans="4:6" x14ac:dyDescent="0.2">
      <c r="D447">
        <v>36449095192</v>
      </c>
      <c r="F447" s="2">
        <f t="shared" si="9"/>
        <v>36449095192</v>
      </c>
    </row>
    <row r="448" spans="4:6" x14ac:dyDescent="0.2">
      <c r="D448">
        <v>43706599067</v>
      </c>
      <c r="F448" s="2">
        <f t="shared" si="9"/>
        <v>43706599067</v>
      </c>
    </row>
    <row r="449" spans="4:6" x14ac:dyDescent="0.2">
      <c r="D449">
        <v>245000000000</v>
      </c>
      <c r="F449" s="2">
        <f t="shared" si="9"/>
        <v>245000000000</v>
      </c>
    </row>
    <row r="450" spans="4:6" x14ac:dyDescent="0.2">
      <c r="D450">
        <v>427000000000</v>
      </c>
      <c r="F450" s="2">
        <f t="shared" si="9"/>
        <v>427000000000</v>
      </c>
    </row>
    <row r="451" spans="4:6" x14ac:dyDescent="0.2">
      <c r="D451">
        <v>293000000000</v>
      </c>
      <c r="F451" s="2">
        <f t="shared" si="9"/>
        <v>293000000000</v>
      </c>
    </row>
    <row r="452" spans="4:6" x14ac:dyDescent="0.2">
      <c r="D452">
        <v>238000000000</v>
      </c>
      <c r="F452" s="2">
        <f t="shared" si="9"/>
        <v>238000000000</v>
      </c>
    </row>
    <row r="453" spans="4:6" x14ac:dyDescent="0.2">
      <c r="D453">
        <v>92431142296</v>
      </c>
      <c r="F453" s="2">
        <f t="shared" si="9"/>
        <v>92431142296</v>
      </c>
    </row>
    <row r="454" spans="4:6" x14ac:dyDescent="0.2">
      <c r="D454">
        <v>67707006576</v>
      </c>
      <c r="F454" s="2">
        <f t="shared" si="9"/>
        <v>67707006576</v>
      </c>
    </row>
    <row r="455" spans="4:6" x14ac:dyDescent="0.2">
      <c r="D455">
        <v>121000000000</v>
      </c>
      <c r="F455" s="2">
        <f t="shared" si="9"/>
        <v>121000000000</v>
      </c>
    </row>
    <row r="456" spans="4:6" x14ac:dyDescent="0.2">
      <c r="D456">
        <v>109000000000</v>
      </c>
      <c r="F456" s="2">
        <f t="shared" si="9"/>
        <v>109000000000</v>
      </c>
    </row>
    <row r="457" spans="4:6" x14ac:dyDescent="0.2">
      <c r="D457">
        <v>168000000000</v>
      </c>
      <c r="F457" s="2">
        <f t="shared" si="9"/>
        <v>168000000000</v>
      </c>
    </row>
    <row r="458" spans="4:6" x14ac:dyDescent="0.2">
      <c r="D458">
        <v>205000000000</v>
      </c>
      <c r="F458" s="2">
        <f t="shared" si="9"/>
        <v>205000000000</v>
      </c>
    </row>
    <row r="459" spans="4:6" x14ac:dyDescent="0.2">
      <c r="D459">
        <v>132000000000</v>
      </c>
      <c r="F459" s="2">
        <f t="shared" si="9"/>
        <v>132000000000</v>
      </c>
    </row>
    <row r="460" spans="4:6" x14ac:dyDescent="0.2">
      <c r="D460">
        <v>137000000000</v>
      </c>
      <c r="F460" s="2">
        <f t="shared" si="9"/>
        <v>137000000000</v>
      </c>
    </row>
    <row r="461" spans="4:6" x14ac:dyDescent="0.2">
      <c r="D461">
        <v>550000000000</v>
      </c>
      <c r="F461" s="2">
        <f t="shared" si="9"/>
        <v>550000000000</v>
      </c>
    </row>
    <row r="462" spans="4:6" x14ac:dyDescent="0.2">
      <c r="D462">
        <v>608000000000</v>
      </c>
      <c r="F462" s="2">
        <f t="shared" si="9"/>
        <v>608000000000</v>
      </c>
    </row>
    <row r="463" spans="4:6" x14ac:dyDescent="0.2">
      <c r="D463">
        <v>747000000000</v>
      </c>
      <c r="F463" s="2">
        <f t="shared" si="9"/>
        <v>747000000000</v>
      </c>
    </row>
    <row r="464" spans="4:6" x14ac:dyDescent="0.2">
      <c r="D464">
        <v>784000000000</v>
      </c>
      <c r="F464" s="2">
        <f t="shared" si="9"/>
        <v>784000000000</v>
      </c>
    </row>
    <row r="465" spans="4:6" x14ac:dyDescent="0.2">
      <c r="D465">
        <v>147000000000</v>
      </c>
      <c r="F465" s="2">
        <f t="shared" si="9"/>
        <v>147000000000</v>
      </c>
    </row>
    <row r="466" spans="4:6" x14ac:dyDescent="0.2">
      <c r="D466">
        <v>156000000000</v>
      </c>
      <c r="F466" s="2">
        <f t="shared" si="9"/>
        <v>156000000000</v>
      </c>
    </row>
    <row r="467" spans="4:6" x14ac:dyDescent="0.2">
      <c r="D467">
        <v>196000000000</v>
      </c>
      <c r="F467" s="2">
        <f t="shared" si="9"/>
        <v>196000000000</v>
      </c>
    </row>
    <row r="468" spans="4:6" x14ac:dyDescent="0.2">
      <c r="D468">
        <v>94696496954</v>
      </c>
      <c r="F468" s="2">
        <f t="shared" si="9"/>
        <v>94696496954</v>
      </c>
    </row>
    <row r="469" spans="4:6" x14ac:dyDescent="0.2">
      <c r="D469">
        <v>110000000000</v>
      </c>
      <c r="F469" s="2">
        <f t="shared" si="9"/>
        <v>110000000000</v>
      </c>
    </row>
    <row r="470" spans="4:6" x14ac:dyDescent="0.2">
      <c r="D470">
        <v>45666105861</v>
      </c>
      <c r="F470" s="2">
        <f t="shared" si="9"/>
        <v>45666105861</v>
      </c>
    </row>
    <row r="471" spans="4:6" x14ac:dyDescent="0.2">
      <c r="D471">
        <v>95441549987</v>
      </c>
      <c r="F471" s="2">
        <f t="shared" si="9"/>
        <v>95441549987</v>
      </c>
    </row>
    <row r="472" spans="4:6" x14ac:dyDescent="0.2">
      <c r="D472">
        <v>78522286768</v>
      </c>
      <c r="F472" s="2">
        <f t="shared" si="9"/>
        <v>78522286768</v>
      </c>
    </row>
    <row r="473" spans="4:6" x14ac:dyDescent="0.2">
      <c r="D473">
        <v>661000000000</v>
      </c>
      <c r="F473" s="2">
        <f t="shared" si="9"/>
        <v>661000000000</v>
      </c>
    </row>
    <row r="474" spans="4:6" x14ac:dyDescent="0.2">
      <c r="D474">
        <v>645000000000</v>
      </c>
      <c r="F474" s="2">
        <f t="shared" si="9"/>
        <v>645000000000</v>
      </c>
    </row>
    <row r="475" spans="4:6" x14ac:dyDescent="0.2">
      <c r="D475">
        <v>384000000000</v>
      </c>
      <c r="F475" s="2">
        <f t="shared" si="9"/>
        <v>384000000000</v>
      </c>
    </row>
    <row r="476" spans="4:6" x14ac:dyDescent="0.2">
      <c r="D476">
        <v>542000000000</v>
      </c>
      <c r="F476" s="2">
        <f t="shared" si="9"/>
        <v>542000000000</v>
      </c>
    </row>
    <row r="477" spans="4:6" x14ac:dyDescent="0.2">
      <c r="D477">
        <v>1500000000000</v>
      </c>
      <c r="F477" s="2">
        <f t="shared" si="9"/>
        <v>1500000000000</v>
      </c>
    </row>
    <row r="478" spans="4:6" x14ac:dyDescent="0.2">
      <c r="D478">
        <v>1510000000000</v>
      </c>
      <c r="F478" s="2">
        <f t="shared" si="9"/>
        <v>1510000000000</v>
      </c>
    </row>
    <row r="479" spans="4:6" x14ac:dyDescent="0.2">
      <c r="D479">
        <v>1530000000000</v>
      </c>
      <c r="F479" s="2">
        <f t="shared" si="9"/>
        <v>1530000000000</v>
      </c>
    </row>
    <row r="480" spans="4:6" x14ac:dyDescent="0.2">
      <c r="D480">
        <v>1730000000000</v>
      </c>
      <c r="F480" s="2">
        <f t="shared" si="9"/>
        <v>1730000000000</v>
      </c>
    </row>
    <row r="481" spans="4:6" x14ac:dyDescent="0.2">
      <c r="D481">
        <v>227000000000</v>
      </c>
      <c r="F481" s="2">
        <f t="shared" si="9"/>
        <v>227000000000</v>
      </c>
    </row>
    <row r="482" spans="4:6" x14ac:dyDescent="0.2">
      <c r="D482">
        <v>292000000000</v>
      </c>
      <c r="F482" s="2">
        <f t="shared" si="9"/>
        <v>292000000000</v>
      </c>
    </row>
    <row r="483" spans="4:6" x14ac:dyDescent="0.2">
      <c r="D483">
        <v>247000000000</v>
      </c>
      <c r="F483" s="2">
        <f t="shared" si="9"/>
        <v>247000000000</v>
      </c>
    </row>
    <row r="484" spans="4:6" x14ac:dyDescent="0.2">
      <c r="D484">
        <v>305000000000</v>
      </c>
      <c r="F484" s="2">
        <f t="shared" si="9"/>
        <v>305000000000</v>
      </c>
    </row>
    <row r="485" spans="4:6" x14ac:dyDescent="0.2">
      <c r="D485">
        <v>1720000000000</v>
      </c>
      <c r="F485" s="2">
        <f t="shared" si="9"/>
        <v>1720000000000</v>
      </c>
    </row>
    <row r="486" spans="4:6" x14ac:dyDescent="0.2">
      <c r="D486">
        <v>1510000000000</v>
      </c>
      <c r="F486" s="2">
        <f t="shared" si="9"/>
        <v>1510000000000</v>
      </c>
    </row>
    <row r="487" spans="4:6" x14ac:dyDescent="0.2">
      <c r="D487">
        <v>1420000000000</v>
      </c>
      <c r="F487" s="2">
        <f t="shared" si="9"/>
        <v>1420000000000</v>
      </c>
    </row>
    <row r="488" spans="4:6" x14ac:dyDescent="0.2">
      <c r="D488">
        <v>1370000000000</v>
      </c>
      <c r="F488" s="2">
        <f t="shared" ref="F488:F551" si="10">D488</f>
        <v>1370000000000</v>
      </c>
    </row>
    <row r="489" spans="4:6" x14ac:dyDescent="0.2">
      <c r="D489">
        <v>997000000000</v>
      </c>
      <c r="F489" s="2">
        <f t="shared" si="10"/>
        <v>997000000000</v>
      </c>
    </row>
    <row r="490" spans="4:6" x14ac:dyDescent="0.2">
      <c r="D490">
        <v>1300000000000</v>
      </c>
      <c r="F490" s="2">
        <f t="shared" si="10"/>
        <v>1300000000000</v>
      </c>
    </row>
    <row r="491" spans="4:6" x14ac:dyDescent="0.2">
      <c r="D491">
        <v>1410000000000</v>
      </c>
      <c r="F491" s="2">
        <f t="shared" si="10"/>
        <v>1410000000000</v>
      </c>
    </row>
    <row r="492" spans="4:6" x14ac:dyDescent="0.2">
      <c r="D492">
        <v>1480000000000</v>
      </c>
      <c r="F492" s="2">
        <f t="shared" si="10"/>
        <v>1480000000000</v>
      </c>
    </row>
    <row r="493" spans="4:6" x14ac:dyDescent="0.2">
      <c r="D493">
        <v>1490000000000</v>
      </c>
      <c r="F493" s="2">
        <f t="shared" si="10"/>
        <v>1490000000000</v>
      </c>
    </row>
    <row r="494" spans="4:6" x14ac:dyDescent="0.2">
      <c r="D494">
        <v>1110000000000</v>
      </c>
      <c r="F494" s="2">
        <f t="shared" si="10"/>
        <v>1110000000000</v>
      </c>
    </row>
    <row r="495" spans="4:6" x14ac:dyDescent="0.2">
      <c r="D495">
        <v>1360000000000</v>
      </c>
      <c r="F495" s="2">
        <f t="shared" si="10"/>
        <v>1360000000000</v>
      </c>
    </row>
    <row r="496" spans="4:6" x14ac:dyDescent="0.2">
      <c r="D496">
        <v>1430000000000</v>
      </c>
      <c r="F496" s="2">
        <f t="shared" si="10"/>
        <v>1430000000000</v>
      </c>
    </row>
    <row r="497" spans="4:6" x14ac:dyDescent="0.2">
      <c r="D497">
        <v>643000000000</v>
      </c>
      <c r="F497" s="2">
        <f t="shared" si="10"/>
        <v>643000000000</v>
      </c>
    </row>
    <row r="498" spans="4:6" x14ac:dyDescent="0.2">
      <c r="D498">
        <v>933000000000</v>
      </c>
      <c r="F498" s="2">
        <f t="shared" si="10"/>
        <v>933000000000</v>
      </c>
    </row>
    <row r="499" spans="4:6" x14ac:dyDescent="0.2">
      <c r="D499">
        <v>712000000000</v>
      </c>
      <c r="F499" s="2">
        <f t="shared" si="10"/>
        <v>712000000000</v>
      </c>
    </row>
    <row r="500" spans="4:6" x14ac:dyDescent="0.2">
      <c r="D500">
        <v>731000000000</v>
      </c>
      <c r="F500" s="2">
        <f t="shared" si="10"/>
        <v>731000000000</v>
      </c>
    </row>
    <row r="501" spans="4:6" x14ac:dyDescent="0.2">
      <c r="D501">
        <v>461000000000</v>
      </c>
      <c r="F501" s="2">
        <f t="shared" si="10"/>
        <v>461000000000</v>
      </c>
    </row>
    <row r="502" spans="4:6" x14ac:dyDescent="0.2">
      <c r="D502">
        <v>342000000000</v>
      </c>
      <c r="F502" s="2">
        <f t="shared" si="10"/>
        <v>342000000000</v>
      </c>
    </row>
    <row r="503" spans="4:6" x14ac:dyDescent="0.2">
      <c r="D503">
        <v>420000000000</v>
      </c>
      <c r="F503" s="2">
        <f t="shared" si="10"/>
        <v>420000000000</v>
      </c>
    </row>
    <row r="504" spans="4:6" x14ac:dyDescent="0.2">
      <c r="D504">
        <v>441000000000</v>
      </c>
      <c r="F504" s="2">
        <f t="shared" si="10"/>
        <v>441000000000</v>
      </c>
    </row>
    <row r="505" spans="4:6" x14ac:dyDescent="0.2">
      <c r="D505">
        <v>878000000000</v>
      </c>
      <c r="F505" s="2">
        <f t="shared" si="10"/>
        <v>878000000000</v>
      </c>
    </row>
    <row r="506" spans="4:6" x14ac:dyDescent="0.2">
      <c r="D506">
        <v>1240000000000</v>
      </c>
      <c r="F506" s="2">
        <f t="shared" si="10"/>
        <v>1240000000000</v>
      </c>
    </row>
    <row r="507" spans="4:6" x14ac:dyDescent="0.2">
      <c r="D507">
        <v>763000000000</v>
      </c>
      <c r="F507" s="2">
        <f t="shared" si="10"/>
        <v>763000000000</v>
      </c>
    </row>
    <row r="508" spans="4:6" x14ac:dyDescent="0.2">
      <c r="D508">
        <v>950000000000</v>
      </c>
      <c r="F508" s="2">
        <f t="shared" si="10"/>
        <v>950000000000</v>
      </c>
    </row>
    <row r="509" spans="4:6" x14ac:dyDescent="0.2">
      <c r="D509">
        <v>1460000000000</v>
      </c>
      <c r="F509" s="2">
        <f t="shared" si="10"/>
        <v>1460000000000</v>
      </c>
    </row>
    <row r="510" spans="4:6" x14ac:dyDescent="0.2">
      <c r="D510">
        <v>1470000000000</v>
      </c>
      <c r="F510" s="2">
        <f t="shared" si="10"/>
        <v>1470000000000</v>
      </c>
    </row>
    <row r="511" spans="4:6" x14ac:dyDescent="0.2">
      <c r="D511">
        <v>1540000000000</v>
      </c>
      <c r="F511" s="2">
        <f t="shared" si="10"/>
        <v>1540000000000</v>
      </c>
    </row>
    <row r="512" spans="4:6" x14ac:dyDescent="0.2">
      <c r="D512">
        <v>1750000000000</v>
      </c>
      <c r="F512" s="2">
        <f t="shared" si="10"/>
        <v>1750000000000</v>
      </c>
    </row>
    <row r="513" spans="4:6" x14ac:dyDescent="0.2">
      <c r="D513">
        <v>511000000000</v>
      </c>
      <c r="F513" s="2">
        <f t="shared" si="10"/>
        <v>511000000000</v>
      </c>
    </row>
    <row r="514" spans="4:6" x14ac:dyDescent="0.2">
      <c r="D514">
        <v>471000000000</v>
      </c>
      <c r="F514" s="2">
        <f t="shared" si="10"/>
        <v>471000000000</v>
      </c>
    </row>
    <row r="515" spans="4:6" x14ac:dyDescent="0.2">
      <c r="D515">
        <v>582000000000</v>
      </c>
      <c r="F515" s="2">
        <f t="shared" si="10"/>
        <v>582000000000</v>
      </c>
    </row>
    <row r="516" spans="4:6" x14ac:dyDescent="0.2">
      <c r="D516">
        <v>359000000000</v>
      </c>
      <c r="F516" s="2">
        <f t="shared" si="10"/>
        <v>359000000000</v>
      </c>
    </row>
    <row r="517" spans="4:6" x14ac:dyDescent="0.2">
      <c r="D517">
        <v>320000000000</v>
      </c>
      <c r="F517" s="2">
        <f t="shared" si="10"/>
        <v>320000000000</v>
      </c>
    </row>
    <row r="518" spans="4:6" x14ac:dyDescent="0.2">
      <c r="D518">
        <v>279000000000</v>
      </c>
      <c r="F518" s="2">
        <f t="shared" si="10"/>
        <v>279000000000</v>
      </c>
    </row>
    <row r="519" spans="4:6" x14ac:dyDescent="0.2">
      <c r="D519">
        <v>331000000000</v>
      </c>
      <c r="F519" s="2">
        <f t="shared" si="10"/>
        <v>331000000000</v>
      </c>
    </row>
    <row r="520" spans="4:6" x14ac:dyDescent="0.2">
      <c r="D520">
        <v>365000000000</v>
      </c>
      <c r="F520" s="2">
        <f t="shared" si="10"/>
        <v>365000000000</v>
      </c>
    </row>
    <row r="521" spans="4:6" x14ac:dyDescent="0.2">
      <c r="D521">
        <v>97641016893</v>
      </c>
      <c r="F521" s="2">
        <f t="shared" si="10"/>
        <v>97641016893</v>
      </c>
    </row>
    <row r="522" spans="4:6" x14ac:dyDescent="0.2">
      <c r="D522">
        <v>70060191236</v>
      </c>
      <c r="F522" s="2">
        <f t="shared" si="10"/>
        <v>70060191236</v>
      </c>
    </row>
    <row r="523" spans="4:6" x14ac:dyDescent="0.2">
      <c r="D523">
        <v>65991800300</v>
      </c>
      <c r="F523" s="2">
        <f t="shared" si="10"/>
        <v>65991800300</v>
      </c>
    </row>
    <row r="524" spans="4:6" x14ac:dyDescent="0.2">
      <c r="D524">
        <v>78223945973</v>
      </c>
      <c r="F524" s="2">
        <f t="shared" si="10"/>
        <v>78223945973</v>
      </c>
    </row>
    <row r="525" spans="4:6" x14ac:dyDescent="0.2">
      <c r="D525">
        <v>309000000000</v>
      </c>
      <c r="F525" s="2">
        <f t="shared" si="10"/>
        <v>309000000000</v>
      </c>
    </row>
    <row r="526" spans="4:6" x14ac:dyDescent="0.2">
      <c r="D526">
        <v>286000000000</v>
      </c>
      <c r="F526" s="2">
        <f t="shared" si="10"/>
        <v>286000000000</v>
      </c>
    </row>
    <row r="527" spans="4:6" x14ac:dyDescent="0.2">
      <c r="D527">
        <v>383000000000</v>
      </c>
      <c r="F527" s="2">
        <f t="shared" si="10"/>
        <v>383000000000</v>
      </c>
    </row>
    <row r="528" spans="4:6" x14ac:dyDescent="0.2">
      <c r="D528">
        <v>274000000000</v>
      </c>
      <c r="F528" s="2">
        <f t="shared" si="10"/>
        <v>274000000000</v>
      </c>
    </row>
    <row r="529" spans="4:6" x14ac:dyDescent="0.2">
      <c r="D529">
        <v>6429813461</v>
      </c>
      <c r="F529" s="2">
        <f t="shared" si="10"/>
        <v>6429813461</v>
      </c>
    </row>
    <row r="530" spans="4:6" x14ac:dyDescent="0.2">
      <c r="D530">
        <v>7930991702</v>
      </c>
      <c r="F530" s="2">
        <f t="shared" si="10"/>
        <v>7930991702</v>
      </c>
    </row>
    <row r="531" spans="4:6" x14ac:dyDescent="0.2">
      <c r="D531">
        <v>6726955909</v>
      </c>
      <c r="F531" s="2">
        <f t="shared" si="10"/>
        <v>6726955909</v>
      </c>
    </row>
    <row r="532" spans="4:6" x14ac:dyDescent="0.2">
      <c r="D532">
        <v>9561096153</v>
      </c>
      <c r="F532" s="2">
        <f t="shared" si="10"/>
        <v>9561096153</v>
      </c>
    </row>
    <row r="533" spans="4:6" x14ac:dyDescent="0.2">
      <c r="D533">
        <v>47103320533</v>
      </c>
      <c r="F533" s="2">
        <f t="shared" si="10"/>
        <v>47103320533</v>
      </c>
    </row>
    <row r="534" spans="4:6" x14ac:dyDescent="0.2">
      <c r="D534">
        <v>46111313933</v>
      </c>
      <c r="F534" s="2">
        <f t="shared" si="10"/>
        <v>46111313933</v>
      </c>
    </row>
    <row r="535" spans="4:6" x14ac:dyDescent="0.2">
      <c r="D535">
        <v>25012933532</v>
      </c>
      <c r="F535" s="2">
        <f t="shared" si="10"/>
        <v>25012933532</v>
      </c>
    </row>
    <row r="536" spans="4:6" x14ac:dyDescent="0.2">
      <c r="D536">
        <v>23560565376</v>
      </c>
      <c r="F536" s="2">
        <f t="shared" si="10"/>
        <v>23560565376</v>
      </c>
    </row>
    <row r="537" spans="4:6" x14ac:dyDescent="0.2">
      <c r="D537">
        <v>27189355082</v>
      </c>
      <c r="F537" s="2">
        <f t="shared" si="10"/>
        <v>27189355082</v>
      </c>
    </row>
    <row r="538" spans="4:6" x14ac:dyDescent="0.2">
      <c r="D538">
        <v>32553554207</v>
      </c>
      <c r="F538" s="2">
        <f t="shared" si="10"/>
        <v>32553554207</v>
      </c>
    </row>
    <row r="539" spans="4:6" x14ac:dyDescent="0.2">
      <c r="D539">
        <v>23295649195</v>
      </c>
      <c r="F539" s="2">
        <f t="shared" si="10"/>
        <v>23295649195</v>
      </c>
    </row>
    <row r="540" spans="4:6" x14ac:dyDescent="0.2">
      <c r="D540">
        <v>41161321548</v>
      </c>
      <c r="F540" s="2">
        <f t="shared" si="10"/>
        <v>41161321548</v>
      </c>
    </row>
    <row r="541" spans="4:6" x14ac:dyDescent="0.2">
      <c r="D541">
        <v>110000000000</v>
      </c>
      <c r="F541" s="2">
        <f t="shared" si="10"/>
        <v>110000000000</v>
      </c>
    </row>
    <row r="542" spans="4:6" x14ac:dyDescent="0.2">
      <c r="D542">
        <v>72626599572</v>
      </c>
      <c r="F542" s="2">
        <f t="shared" si="10"/>
        <v>72626599572</v>
      </c>
    </row>
    <row r="543" spans="4:6" x14ac:dyDescent="0.2">
      <c r="D543">
        <v>116000000000</v>
      </c>
      <c r="F543" s="2">
        <f t="shared" si="10"/>
        <v>116000000000</v>
      </c>
    </row>
    <row r="544" spans="4:6" x14ac:dyDescent="0.2">
      <c r="D544">
        <v>107000000000</v>
      </c>
      <c r="F544" s="2">
        <f t="shared" si="10"/>
        <v>107000000000</v>
      </c>
    </row>
    <row r="545" spans="4:6" x14ac:dyDescent="0.2">
      <c r="D545">
        <v>0</v>
      </c>
      <c r="F545" s="2">
        <f t="shared" si="10"/>
        <v>0</v>
      </c>
    </row>
    <row r="546" spans="4:6" x14ac:dyDescent="0.2">
      <c r="D546">
        <v>40866507869</v>
      </c>
      <c r="F546" s="2">
        <f t="shared" si="10"/>
        <v>40866507869</v>
      </c>
    </row>
    <row r="547" spans="4:6" x14ac:dyDescent="0.2">
      <c r="D547">
        <v>39578275763</v>
      </c>
      <c r="F547" s="2">
        <f t="shared" si="10"/>
        <v>39578275763</v>
      </c>
    </row>
    <row r="548" spans="4:6" x14ac:dyDescent="0.2">
      <c r="D548">
        <v>27474408664</v>
      </c>
      <c r="F548" s="2">
        <f t="shared" si="10"/>
        <v>27474408664</v>
      </c>
    </row>
    <row r="549" spans="4:6" x14ac:dyDescent="0.2">
      <c r="D549">
        <v>40003520095</v>
      </c>
      <c r="F549" s="2">
        <f t="shared" si="10"/>
        <v>40003520095</v>
      </c>
    </row>
    <row r="550" spans="4:6" x14ac:dyDescent="0.2">
      <c r="D550">
        <v>24241381534</v>
      </c>
      <c r="F550" s="2">
        <f t="shared" si="10"/>
        <v>24241381534</v>
      </c>
    </row>
    <row r="551" spans="4:6" x14ac:dyDescent="0.2">
      <c r="D551">
        <v>30667988991</v>
      </c>
      <c r="F551" s="2">
        <f t="shared" si="10"/>
        <v>30667988991</v>
      </c>
    </row>
    <row r="552" spans="4:6" x14ac:dyDescent="0.2">
      <c r="D552">
        <v>23717697271</v>
      </c>
      <c r="F552" s="2">
        <f t="shared" ref="F552:F568" si="11">D552</f>
        <v>23717697271</v>
      </c>
    </row>
    <row r="553" spans="4:6" x14ac:dyDescent="0.2">
      <c r="D553">
        <v>29162741743</v>
      </c>
      <c r="F553" s="2">
        <f t="shared" si="11"/>
        <v>29162741743</v>
      </c>
    </row>
    <row r="554" spans="4:6" x14ac:dyDescent="0.2">
      <c r="D554">
        <v>75932810287</v>
      </c>
      <c r="F554" s="2">
        <f t="shared" si="11"/>
        <v>75932810287</v>
      </c>
    </row>
    <row r="555" spans="4:6" x14ac:dyDescent="0.2">
      <c r="D555">
        <v>13448662117</v>
      </c>
      <c r="F555" s="2">
        <f t="shared" si="11"/>
        <v>13448662117</v>
      </c>
    </row>
    <row r="556" spans="4:6" x14ac:dyDescent="0.2">
      <c r="D556">
        <v>23599890889</v>
      </c>
      <c r="F556" s="2">
        <f t="shared" si="11"/>
        <v>23599890889</v>
      </c>
    </row>
    <row r="557" spans="4:6" x14ac:dyDescent="0.2">
      <c r="D557">
        <v>44670256215</v>
      </c>
      <c r="F557" s="2">
        <f t="shared" si="11"/>
        <v>44670256215</v>
      </c>
    </row>
    <row r="558" spans="4:6" x14ac:dyDescent="0.2">
      <c r="D558">
        <v>69159890349</v>
      </c>
      <c r="F558" s="2">
        <f t="shared" si="11"/>
        <v>69159890349</v>
      </c>
    </row>
    <row r="559" spans="4:6" x14ac:dyDescent="0.2">
      <c r="D559">
        <v>24342337064</v>
      </c>
      <c r="F559" s="2">
        <f t="shared" si="11"/>
        <v>24342337064</v>
      </c>
    </row>
    <row r="560" spans="4:6" x14ac:dyDescent="0.2">
      <c r="D560">
        <v>24072162194</v>
      </c>
      <c r="F560" s="2">
        <f t="shared" si="11"/>
        <v>24072162194</v>
      </c>
    </row>
    <row r="561" spans="1:8" x14ac:dyDescent="0.2">
      <c r="D561">
        <v>35269504380</v>
      </c>
      <c r="F561" s="2">
        <f t="shared" si="11"/>
        <v>35269504380</v>
      </c>
    </row>
    <row r="562" spans="1:8" x14ac:dyDescent="0.2">
      <c r="D562">
        <v>16254102569</v>
      </c>
      <c r="F562" s="2">
        <f t="shared" si="11"/>
        <v>16254102569</v>
      </c>
    </row>
    <row r="563" spans="1:8" x14ac:dyDescent="0.2">
      <c r="D563">
        <v>18637683475</v>
      </c>
      <c r="F563" s="2">
        <f t="shared" si="11"/>
        <v>18637683475</v>
      </c>
    </row>
    <row r="564" spans="1:8" x14ac:dyDescent="0.2">
      <c r="D564">
        <v>13338353847</v>
      </c>
      <c r="F564" s="2">
        <f t="shared" si="11"/>
        <v>13338353847</v>
      </c>
    </row>
    <row r="565" spans="1:8" x14ac:dyDescent="0.2">
      <c r="D565">
        <v>15974493866</v>
      </c>
      <c r="F565" s="2">
        <f t="shared" si="11"/>
        <v>15974493866</v>
      </c>
    </row>
    <row r="566" spans="1:8" x14ac:dyDescent="0.2">
      <c r="D566">
        <v>18177849467</v>
      </c>
      <c r="F566" s="2">
        <f t="shared" si="11"/>
        <v>18177849467</v>
      </c>
    </row>
    <row r="567" spans="1:8" x14ac:dyDescent="0.2">
      <c r="D567">
        <v>16183926526</v>
      </c>
      <c r="F567" s="2">
        <f t="shared" si="11"/>
        <v>16183926526</v>
      </c>
    </row>
    <row r="568" spans="1:8" x14ac:dyDescent="0.2">
      <c r="D568">
        <v>18572532151</v>
      </c>
      <c r="F568" s="2">
        <f t="shared" si="11"/>
        <v>18572532151</v>
      </c>
    </row>
    <row r="569" spans="1:8" x14ac:dyDescent="0.2">
      <c r="A569" t="s">
        <v>539</v>
      </c>
      <c r="B569">
        <v>2017</v>
      </c>
      <c r="C569" t="s">
        <v>270</v>
      </c>
      <c r="D569">
        <v>9.92</v>
      </c>
      <c r="E569" t="s">
        <v>540</v>
      </c>
      <c r="F569" s="2">
        <f t="shared" ref="F569:F608" si="12">10^D569</f>
        <v>8317637711.02672</v>
      </c>
      <c r="H569" t="s">
        <v>538</v>
      </c>
    </row>
    <row r="570" spans="1:8" x14ac:dyDescent="0.2">
      <c r="D570">
        <v>8.4499999999999993</v>
      </c>
      <c r="F570" s="2">
        <f t="shared" si="12"/>
        <v>281838293.12644565</v>
      </c>
    </row>
    <row r="571" spans="1:8" x14ac:dyDescent="0.2">
      <c r="D571">
        <v>7.36</v>
      </c>
      <c r="F571" s="2">
        <f t="shared" si="12"/>
        <v>22908676.527677748</v>
      </c>
    </row>
    <row r="572" spans="1:8" x14ac:dyDescent="0.2">
      <c r="D572">
        <v>5.22</v>
      </c>
      <c r="F572" s="2">
        <f t="shared" si="12"/>
        <v>165958.69074375604</v>
      </c>
    </row>
    <row r="573" spans="1:8" x14ac:dyDescent="0.2">
      <c r="D573">
        <v>7.73</v>
      </c>
      <c r="F573" s="2">
        <f t="shared" si="12"/>
        <v>53703179.637025505</v>
      </c>
    </row>
    <row r="574" spans="1:8" x14ac:dyDescent="0.2">
      <c r="D574">
        <v>8.92</v>
      </c>
      <c r="F574" s="2">
        <f t="shared" si="12"/>
        <v>831763771.10267103</v>
      </c>
    </row>
    <row r="575" spans="1:8" x14ac:dyDescent="0.2">
      <c r="D575">
        <v>7.51</v>
      </c>
      <c r="F575" s="2">
        <f t="shared" si="12"/>
        <v>32359365.692962918</v>
      </c>
    </row>
    <row r="576" spans="1:8" x14ac:dyDescent="0.2">
      <c r="D576">
        <v>6.78</v>
      </c>
      <c r="F576" s="2">
        <f t="shared" si="12"/>
        <v>6025595.8607435944</v>
      </c>
    </row>
    <row r="577" spans="4:6" x14ac:dyDescent="0.2">
      <c r="D577">
        <v>7.37</v>
      </c>
      <c r="F577" s="2">
        <f t="shared" si="12"/>
        <v>23442288.153199237</v>
      </c>
    </row>
    <row r="578" spans="4:6" x14ac:dyDescent="0.2">
      <c r="D578">
        <v>6.7</v>
      </c>
      <c r="F578" s="2">
        <f t="shared" si="12"/>
        <v>5011872.3362727314</v>
      </c>
    </row>
    <row r="579" spans="4:6" x14ac:dyDescent="0.2">
      <c r="D579">
        <v>5.61</v>
      </c>
      <c r="F579" s="2">
        <f t="shared" si="12"/>
        <v>407380.27780411334</v>
      </c>
    </row>
    <row r="580" spans="4:6" x14ac:dyDescent="0.2">
      <c r="D580">
        <v>4.42</v>
      </c>
      <c r="F580" s="2">
        <f t="shared" si="12"/>
        <v>26302.679918953829</v>
      </c>
    </row>
    <row r="581" spans="4:6" x14ac:dyDescent="0.2">
      <c r="D581">
        <v>6.49</v>
      </c>
      <c r="F581" s="2">
        <f t="shared" si="12"/>
        <v>3090295.4325135965</v>
      </c>
    </row>
    <row r="582" spans="4:6" x14ac:dyDescent="0.2">
      <c r="D582">
        <v>8.34</v>
      </c>
      <c r="F582" s="2">
        <f t="shared" si="12"/>
        <v>218776162.39495569</v>
      </c>
    </row>
    <row r="583" spans="4:6" x14ac:dyDescent="0.2">
      <c r="D583">
        <v>5.19</v>
      </c>
      <c r="F583" s="2">
        <f t="shared" si="12"/>
        <v>154881.66189124843</v>
      </c>
    </row>
    <row r="584" spans="4:6" x14ac:dyDescent="0.2">
      <c r="D584">
        <v>4.68</v>
      </c>
      <c r="F584" s="2">
        <f t="shared" si="12"/>
        <v>47863.009232263823</v>
      </c>
    </row>
    <row r="585" spans="4:6" x14ac:dyDescent="0.2">
      <c r="D585">
        <v>10.58</v>
      </c>
      <c r="F585" s="2">
        <f t="shared" si="12"/>
        <v>38018939632.05619</v>
      </c>
    </row>
    <row r="586" spans="4:6" x14ac:dyDescent="0.2">
      <c r="D586">
        <v>8.89</v>
      </c>
      <c r="F586" s="2">
        <f t="shared" si="12"/>
        <v>776247116.62869477</v>
      </c>
    </row>
    <row r="587" spans="4:6" x14ac:dyDescent="0.2">
      <c r="D587">
        <v>7.82</v>
      </c>
      <c r="F587" s="2">
        <f t="shared" si="12"/>
        <v>66069344.80075983</v>
      </c>
    </row>
    <row r="588" spans="4:6" x14ac:dyDescent="0.2">
      <c r="D588">
        <v>5.7</v>
      </c>
      <c r="F588" s="2">
        <f t="shared" si="12"/>
        <v>501187.23362727347</v>
      </c>
    </row>
    <row r="589" spans="4:6" x14ac:dyDescent="0.2">
      <c r="D589">
        <v>8.26</v>
      </c>
      <c r="F589" s="2">
        <f t="shared" si="12"/>
        <v>181970085.86099887</v>
      </c>
    </row>
    <row r="590" spans="4:6" x14ac:dyDescent="0.2">
      <c r="D590">
        <v>9.65</v>
      </c>
      <c r="F590" s="2">
        <f t="shared" si="12"/>
        <v>4466835921.5096483</v>
      </c>
    </row>
    <row r="591" spans="4:6" x14ac:dyDescent="0.2">
      <c r="D591">
        <v>7.32</v>
      </c>
      <c r="F591" s="2">
        <f t="shared" si="12"/>
        <v>20892961.308540419</v>
      </c>
    </row>
    <row r="592" spans="4:6" x14ac:dyDescent="0.2">
      <c r="D592">
        <v>7.42</v>
      </c>
      <c r="F592" s="2">
        <f t="shared" si="12"/>
        <v>26302679.918953825</v>
      </c>
    </row>
    <row r="593" spans="4:6" x14ac:dyDescent="0.2">
      <c r="D593">
        <v>9.32</v>
      </c>
      <c r="F593" s="2">
        <f t="shared" si="12"/>
        <v>2089296130.8540463</v>
      </c>
    </row>
    <row r="594" spans="4:6" x14ac:dyDescent="0.2">
      <c r="D594">
        <v>7.88</v>
      </c>
      <c r="F594" s="2">
        <f t="shared" si="12"/>
        <v>75857757.502918601</v>
      </c>
    </row>
    <row r="595" spans="4:6" x14ac:dyDescent="0.2">
      <c r="D595">
        <v>6.74</v>
      </c>
      <c r="F595" s="2">
        <f t="shared" si="12"/>
        <v>5495408.7385762529</v>
      </c>
    </row>
    <row r="596" spans="4:6" x14ac:dyDescent="0.2">
      <c r="D596">
        <v>4.66</v>
      </c>
      <c r="F596" s="2">
        <f t="shared" si="12"/>
        <v>45708.818961487581</v>
      </c>
    </row>
    <row r="597" spans="4:6" x14ac:dyDescent="0.2">
      <c r="D597">
        <v>7.14</v>
      </c>
      <c r="F597" s="2">
        <f t="shared" si="12"/>
        <v>13803842.646028839</v>
      </c>
    </row>
    <row r="598" spans="4:6" x14ac:dyDescent="0.2">
      <c r="D598">
        <v>7.82</v>
      </c>
      <c r="F598" s="2">
        <f t="shared" si="12"/>
        <v>66069344.80075983</v>
      </c>
    </row>
    <row r="599" spans="4:6" x14ac:dyDescent="0.2">
      <c r="D599">
        <v>5.81</v>
      </c>
      <c r="F599" s="2">
        <f t="shared" si="12"/>
        <v>645654.22903465526</v>
      </c>
    </row>
    <row r="600" spans="4:6" x14ac:dyDescent="0.2">
      <c r="D600">
        <v>6.17</v>
      </c>
      <c r="F600" s="2">
        <f t="shared" si="12"/>
        <v>1479108.3881682095</v>
      </c>
    </row>
    <row r="601" spans="4:6" x14ac:dyDescent="0.2">
      <c r="D601">
        <v>8.42</v>
      </c>
      <c r="F601" s="2">
        <f t="shared" si="12"/>
        <v>263026799.18953854</v>
      </c>
    </row>
    <row r="602" spans="4:6" x14ac:dyDescent="0.2">
      <c r="D602">
        <v>7.37</v>
      </c>
      <c r="F602" s="2">
        <f t="shared" si="12"/>
        <v>23442288.153199237</v>
      </c>
    </row>
    <row r="603" spans="4:6" x14ac:dyDescent="0.2">
      <c r="D603">
        <v>6.32</v>
      </c>
      <c r="F603" s="2">
        <f t="shared" si="12"/>
        <v>2089296.1308540432</v>
      </c>
    </row>
    <row r="604" spans="4:6" x14ac:dyDescent="0.2">
      <c r="D604">
        <v>4.12</v>
      </c>
      <c r="F604" s="2">
        <f t="shared" si="12"/>
        <v>13182.567385564091</v>
      </c>
    </row>
    <row r="605" spans="4:6" x14ac:dyDescent="0.2">
      <c r="D605">
        <v>9.2200000000000006</v>
      </c>
      <c r="F605" s="2">
        <f t="shared" si="12"/>
        <v>1659586907.4375677</v>
      </c>
    </row>
    <row r="606" spans="4:6" x14ac:dyDescent="0.2">
      <c r="D606">
        <v>7.84</v>
      </c>
      <c r="F606" s="2">
        <f t="shared" si="12"/>
        <v>69183097.091893628</v>
      </c>
    </row>
    <row r="607" spans="4:6" x14ac:dyDescent="0.2">
      <c r="D607">
        <v>6.04</v>
      </c>
      <c r="F607" s="2">
        <f t="shared" si="12"/>
        <v>1096478.196143186</v>
      </c>
    </row>
    <row r="608" spans="4:6" x14ac:dyDescent="0.2">
      <c r="D608">
        <v>5.33</v>
      </c>
      <c r="F608" s="2">
        <f t="shared" si="12"/>
        <v>213796.20895022334</v>
      </c>
    </row>
    <row r="609" spans="1:8" x14ac:dyDescent="0.2">
      <c r="A609" t="s">
        <v>543</v>
      </c>
      <c r="B609">
        <v>2020</v>
      </c>
      <c r="C609" t="s">
        <v>270</v>
      </c>
      <c r="D609" s="2">
        <v>19000000</v>
      </c>
      <c r="E609" t="s">
        <v>541</v>
      </c>
      <c r="F609" s="2">
        <f t="shared" ref="F609:F616" si="13">D609</f>
        <v>19000000</v>
      </c>
      <c r="H609" t="s">
        <v>542</v>
      </c>
    </row>
    <row r="610" spans="1:8" x14ac:dyDescent="0.2">
      <c r="D610" s="2">
        <v>130000000</v>
      </c>
      <c r="F610" s="2">
        <f t="shared" si="13"/>
        <v>130000000</v>
      </c>
    </row>
    <row r="611" spans="1:8" x14ac:dyDescent="0.2">
      <c r="D611" s="2">
        <v>12000</v>
      </c>
      <c r="F611" s="2">
        <f t="shared" si="13"/>
        <v>12000</v>
      </c>
    </row>
    <row r="612" spans="1:8" x14ac:dyDescent="0.2">
      <c r="D612" s="2">
        <v>120000000</v>
      </c>
      <c r="F612" s="2">
        <f t="shared" si="13"/>
        <v>120000000</v>
      </c>
    </row>
    <row r="613" spans="1:8" x14ac:dyDescent="0.2">
      <c r="D613" s="2">
        <v>23000000</v>
      </c>
      <c r="F613" s="2">
        <f t="shared" si="13"/>
        <v>23000000</v>
      </c>
    </row>
    <row r="614" spans="1:8" x14ac:dyDescent="0.2">
      <c r="D614" s="2">
        <v>240000000</v>
      </c>
      <c r="F614" s="2">
        <f t="shared" si="13"/>
        <v>240000000</v>
      </c>
    </row>
    <row r="615" spans="1:8" x14ac:dyDescent="0.2">
      <c r="D615" s="2">
        <v>390000</v>
      </c>
      <c r="F615" s="2">
        <f t="shared" si="13"/>
        <v>390000</v>
      </c>
    </row>
    <row r="616" spans="1:8" x14ac:dyDescent="0.2">
      <c r="D616" s="2">
        <v>1400000</v>
      </c>
      <c r="F616" s="2">
        <f t="shared" si="13"/>
        <v>1400000</v>
      </c>
    </row>
    <row r="617" spans="1:8" x14ac:dyDescent="0.2">
      <c r="A617" t="s">
        <v>547</v>
      </c>
      <c r="B617">
        <v>2025</v>
      </c>
      <c r="C617" t="s">
        <v>44</v>
      </c>
      <c r="D617" s="2">
        <v>1</v>
      </c>
      <c r="E617" t="s">
        <v>545</v>
      </c>
      <c r="F617" s="2">
        <f t="shared" ref="F617:F648" si="14">D617/1.225/1000</f>
        <v>8.1632653061224482E-4</v>
      </c>
      <c r="H617" t="s">
        <v>546</v>
      </c>
    </row>
    <row r="618" spans="1:8" x14ac:dyDescent="0.2">
      <c r="D618" s="2">
        <v>10000</v>
      </c>
      <c r="F618" s="2">
        <f t="shared" si="14"/>
        <v>8.1632653061224474</v>
      </c>
    </row>
    <row r="619" spans="1:8" x14ac:dyDescent="0.2">
      <c r="D619" s="2">
        <v>1</v>
      </c>
      <c r="F619" s="2">
        <f t="shared" si="14"/>
        <v>8.1632653061224482E-4</v>
      </c>
    </row>
    <row r="620" spans="1:8" x14ac:dyDescent="0.2">
      <c r="D620" s="2">
        <v>1000</v>
      </c>
      <c r="F620" s="2">
        <f t="shared" si="14"/>
        <v>0.81632653061224481</v>
      </c>
    </row>
    <row r="621" spans="1:8" x14ac:dyDescent="0.2">
      <c r="D621" s="2">
        <v>100000</v>
      </c>
      <c r="F621" s="2">
        <f t="shared" si="14"/>
        <v>81.632653061224488</v>
      </c>
    </row>
    <row r="622" spans="1:8" x14ac:dyDescent="0.2">
      <c r="D622" s="2">
        <v>10000000</v>
      </c>
      <c r="F622" s="2">
        <f t="shared" si="14"/>
        <v>8163.2653061224482</v>
      </c>
    </row>
    <row r="623" spans="1:8" x14ac:dyDescent="0.2">
      <c r="D623" s="2">
        <v>100000</v>
      </c>
      <c r="F623" s="2">
        <f t="shared" si="14"/>
        <v>81.632653061224488</v>
      </c>
    </row>
    <row r="624" spans="1:8" x14ac:dyDescent="0.2">
      <c r="D624" s="2">
        <v>10000000</v>
      </c>
      <c r="F624" s="2">
        <f t="shared" si="14"/>
        <v>8163.2653061224482</v>
      </c>
    </row>
    <row r="625" spans="4:6" x14ac:dyDescent="0.2">
      <c r="D625" s="2">
        <v>100000</v>
      </c>
      <c r="F625" s="2">
        <f t="shared" si="14"/>
        <v>81.632653061224488</v>
      </c>
    </row>
    <row r="626" spans="4:6" x14ac:dyDescent="0.2">
      <c r="D626" s="2">
        <v>10000000</v>
      </c>
      <c r="F626" s="2">
        <f t="shared" si="14"/>
        <v>8163.2653061224482</v>
      </c>
    </row>
    <row r="627" spans="4:6" x14ac:dyDescent="0.2">
      <c r="D627" s="2">
        <v>1000</v>
      </c>
      <c r="F627" s="2">
        <f t="shared" si="14"/>
        <v>0.81632653061224481</v>
      </c>
    </row>
    <row r="628" spans="4:6" x14ac:dyDescent="0.2">
      <c r="D628" s="2">
        <v>10000</v>
      </c>
      <c r="F628" s="2">
        <f t="shared" si="14"/>
        <v>8.1632653061224474</v>
      </c>
    </row>
    <row r="629" spans="4:6" x14ac:dyDescent="0.2">
      <c r="D629" s="2">
        <v>100000</v>
      </c>
      <c r="F629" s="2">
        <f t="shared" si="14"/>
        <v>81.632653061224488</v>
      </c>
    </row>
    <row r="630" spans="4:6" x14ac:dyDescent="0.2">
      <c r="D630" s="2">
        <v>1000</v>
      </c>
      <c r="F630" s="2">
        <f t="shared" si="14"/>
        <v>0.81632653061224481</v>
      </c>
    </row>
    <row r="631" spans="4:6" x14ac:dyDescent="0.2">
      <c r="D631" s="2">
        <v>1000</v>
      </c>
      <c r="F631" s="2">
        <f t="shared" si="14"/>
        <v>0.81632653061224481</v>
      </c>
    </row>
    <row r="632" spans="4:6" x14ac:dyDescent="0.2">
      <c r="D632" s="2">
        <v>10000</v>
      </c>
      <c r="F632" s="2">
        <f t="shared" si="14"/>
        <v>8.1632653061224474</v>
      </c>
    </row>
    <row r="633" spans="4:6" x14ac:dyDescent="0.2">
      <c r="D633" s="2">
        <v>1000</v>
      </c>
      <c r="F633" s="2">
        <f t="shared" si="14"/>
        <v>0.81632653061224481</v>
      </c>
    </row>
    <row r="634" spans="4:6" x14ac:dyDescent="0.2">
      <c r="D634" s="2">
        <v>1000</v>
      </c>
      <c r="F634" s="2">
        <f t="shared" si="14"/>
        <v>0.81632653061224481</v>
      </c>
    </row>
    <row r="635" spans="4:6" x14ac:dyDescent="0.2">
      <c r="D635" s="2">
        <v>100</v>
      </c>
      <c r="F635" s="2">
        <f t="shared" si="14"/>
        <v>8.1632653061224483E-2</v>
      </c>
    </row>
    <row r="636" spans="4:6" x14ac:dyDescent="0.2">
      <c r="D636" s="2">
        <v>1000</v>
      </c>
      <c r="F636" s="2">
        <f t="shared" si="14"/>
        <v>0.81632653061224481</v>
      </c>
    </row>
    <row r="637" spans="4:6" x14ac:dyDescent="0.2">
      <c r="D637" s="2">
        <v>100000</v>
      </c>
      <c r="F637" s="2">
        <f t="shared" si="14"/>
        <v>81.632653061224488</v>
      </c>
    </row>
    <row r="638" spans="4:6" x14ac:dyDescent="0.2">
      <c r="D638" s="2">
        <v>10000</v>
      </c>
      <c r="F638" s="2">
        <f t="shared" si="14"/>
        <v>8.1632653061224474</v>
      </c>
    </row>
    <row r="639" spans="4:6" x14ac:dyDescent="0.2">
      <c r="D639" s="2">
        <v>1000</v>
      </c>
      <c r="F639" s="2">
        <f t="shared" si="14"/>
        <v>0.81632653061224481</v>
      </c>
    </row>
    <row r="640" spans="4:6" x14ac:dyDescent="0.2">
      <c r="D640" s="2">
        <v>10000</v>
      </c>
      <c r="F640" s="2">
        <f t="shared" si="14"/>
        <v>8.1632653061224474</v>
      </c>
    </row>
    <row r="641" spans="1:8" x14ac:dyDescent="0.2">
      <c r="D641" s="2">
        <v>1000</v>
      </c>
      <c r="F641" s="2">
        <f t="shared" si="14"/>
        <v>0.81632653061224481</v>
      </c>
    </row>
    <row r="642" spans="1:8" x14ac:dyDescent="0.2">
      <c r="D642" s="2">
        <v>10000</v>
      </c>
      <c r="F642" s="2">
        <f t="shared" si="14"/>
        <v>8.1632653061224474</v>
      </c>
    </row>
    <row r="643" spans="1:8" x14ac:dyDescent="0.2">
      <c r="D643" s="2">
        <v>1000</v>
      </c>
      <c r="F643" s="2">
        <f t="shared" si="14"/>
        <v>0.81632653061224481</v>
      </c>
    </row>
    <row r="644" spans="1:8" x14ac:dyDescent="0.2">
      <c r="D644" s="2">
        <v>100</v>
      </c>
      <c r="F644" s="2">
        <f t="shared" si="14"/>
        <v>8.1632653061224483E-2</v>
      </c>
    </row>
    <row r="645" spans="1:8" x14ac:dyDescent="0.2">
      <c r="D645" s="2">
        <v>1000</v>
      </c>
      <c r="F645" s="2">
        <f t="shared" si="14"/>
        <v>0.81632653061224481</v>
      </c>
    </row>
    <row r="646" spans="1:8" x14ac:dyDescent="0.2">
      <c r="D646" s="2">
        <v>1000</v>
      </c>
      <c r="F646" s="2">
        <f t="shared" si="14"/>
        <v>0.81632653061224481</v>
      </c>
    </row>
    <row r="647" spans="1:8" x14ac:dyDescent="0.2">
      <c r="A647" t="s">
        <v>291</v>
      </c>
      <c r="B647">
        <v>2018</v>
      </c>
      <c r="C647" t="s">
        <v>44</v>
      </c>
      <c r="D647" s="2">
        <v>100</v>
      </c>
      <c r="E647" t="s">
        <v>545</v>
      </c>
      <c r="F647" s="2">
        <f t="shared" si="14"/>
        <v>8.1632653061224483E-2</v>
      </c>
      <c r="H647" t="s">
        <v>548</v>
      </c>
    </row>
    <row r="648" spans="1:8" x14ac:dyDescent="0.2">
      <c r="D648" s="2">
        <v>200</v>
      </c>
      <c r="F648" s="2">
        <f t="shared" si="14"/>
        <v>0.16326530612244897</v>
      </c>
    </row>
    <row r="649" spans="1:8" x14ac:dyDescent="0.2">
      <c r="D649" s="2">
        <v>100</v>
      </c>
      <c r="F649" s="2">
        <f t="shared" ref="F649:F675" si="15">D649/1.225/1000</f>
        <v>8.1632653061224483E-2</v>
      </c>
    </row>
    <row r="650" spans="1:8" x14ac:dyDescent="0.2">
      <c r="D650" s="2">
        <v>400</v>
      </c>
      <c r="F650" s="2">
        <f t="shared" si="15"/>
        <v>0.32653061224489793</v>
      </c>
    </row>
    <row r="651" spans="1:8" x14ac:dyDescent="0.2">
      <c r="A651" t="s">
        <v>550</v>
      </c>
      <c r="B651">
        <v>2017</v>
      </c>
      <c r="C651" t="s">
        <v>44</v>
      </c>
      <c r="D651" s="2">
        <v>15</v>
      </c>
      <c r="E651" t="s">
        <v>545</v>
      </c>
      <c r="F651" s="2">
        <f t="shared" si="15"/>
        <v>1.2244897959183673E-2</v>
      </c>
      <c r="H651" t="s">
        <v>549</v>
      </c>
    </row>
    <row r="652" spans="1:8" x14ac:dyDescent="0.2">
      <c r="D652" s="2">
        <v>5300</v>
      </c>
      <c r="F652" s="2">
        <f t="shared" si="15"/>
        <v>4.3265306122448974</v>
      </c>
    </row>
    <row r="653" spans="1:8" x14ac:dyDescent="0.2">
      <c r="D653" s="2">
        <v>140</v>
      </c>
      <c r="F653" s="2">
        <f t="shared" si="15"/>
        <v>0.11428571428571428</v>
      </c>
    </row>
    <row r="654" spans="1:8" x14ac:dyDescent="0.2">
      <c r="D654" s="2">
        <v>720</v>
      </c>
      <c r="F654" s="2">
        <f t="shared" si="15"/>
        <v>0.58775510204081627</v>
      </c>
    </row>
    <row r="655" spans="1:8" x14ac:dyDescent="0.2">
      <c r="D655" s="2">
        <v>16</v>
      </c>
      <c r="F655" s="2">
        <f t="shared" si="15"/>
        <v>1.3061224489795917E-2</v>
      </c>
    </row>
    <row r="656" spans="1:8" x14ac:dyDescent="0.2">
      <c r="D656" s="2">
        <v>160</v>
      </c>
      <c r="F656" s="2">
        <f t="shared" si="15"/>
        <v>0.1306122448979592</v>
      </c>
    </row>
    <row r="657" spans="1:8" x14ac:dyDescent="0.2">
      <c r="D657" s="2">
        <v>1.7000000000000001E-2</v>
      </c>
      <c r="F657" s="2">
        <f t="shared" si="15"/>
        <v>1.3877551020408163E-5</v>
      </c>
    </row>
    <row r="658" spans="1:8" x14ac:dyDescent="0.2">
      <c r="D658" s="2">
        <v>2</v>
      </c>
      <c r="F658" s="2">
        <f t="shared" si="15"/>
        <v>1.6326530612244896E-3</v>
      </c>
    </row>
    <row r="659" spans="1:8" x14ac:dyDescent="0.2">
      <c r="A659" t="s">
        <v>221</v>
      </c>
      <c r="B659">
        <v>2019</v>
      </c>
      <c r="C659" t="s">
        <v>44</v>
      </c>
      <c r="D659" s="2">
        <v>1000</v>
      </c>
      <c r="E659" t="s">
        <v>545</v>
      </c>
      <c r="F659" s="2">
        <f t="shared" si="15"/>
        <v>0.81632653061224481</v>
      </c>
      <c r="H659" t="s">
        <v>551</v>
      </c>
    </row>
    <row r="660" spans="1:8" x14ac:dyDescent="0.2">
      <c r="D660" s="2">
        <v>1.6000000000000001E-3</v>
      </c>
      <c r="F660" s="2">
        <f t="shared" si="15"/>
        <v>1.3061224489795919E-6</v>
      </c>
    </row>
    <row r="661" spans="1:8" x14ac:dyDescent="0.2">
      <c r="D661" s="2">
        <v>1000000</v>
      </c>
      <c r="F661" s="2">
        <f t="shared" si="15"/>
        <v>816.32653061224482</v>
      </c>
    </row>
    <row r="662" spans="1:8" x14ac:dyDescent="0.2">
      <c r="D662" s="2">
        <v>10000000</v>
      </c>
      <c r="F662" s="2">
        <f t="shared" si="15"/>
        <v>8163.2653061224482</v>
      </c>
    </row>
    <row r="663" spans="1:8" x14ac:dyDescent="0.2">
      <c r="D663" s="2">
        <v>100</v>
      </c>
      <c r="F663" s="2">
        <f t="shared" si="15"/>
        <v>8.1632653061224483E-2</v>
      </c>
    </row>
    <row r="664" spans="1:8" x14ac:dyDescent="0.2">
      <c r="D664" s="2">
        <v>400</v>
      </c>
      <c r="F664" s="2">
        <f t="shared" si="15"/>
        <v>0.32653061224489793</v>
      </c>
    </row>
    <row r="665" spans="1:8" x14ac:dyDescent="0.2">
      <c r="D665" s="2">
        <v>100</v>
      </c>
      <c r="F665" s="2">
        <f t="shared" si="15"/>
        <v>8.1632653061224483E-2</v>
      </c>
    </row>
    <row r="666" spans="1:8" x14ac:dyDescent="0.2">
      <c r="D666" s="2">
        <v>200</v>
      </c>
      <c r="F666" s="2">
        <f t="shared" si="15"/>
        <v>0.16326530612244897</v>
      </c>
    </row>
    <row r="667" spans="1:8" x14ac:dyDescent="0.2">
      <c r="D667" s="2">
        <v>1200</v>
      </c>
      <c r="F667" s="2">
        <f t="shared" si="15"/>
        <v>0.97959183673469385</v>
      </c>
    </row>
    <row r="668" spans="1:8" x14ac:dyDescent="0.2">
      <c r="D668" s="2">
        <v>1</v>
      </c>
      <c r="F668" s="2">
        <f t="shared" si="15"/>
        <v>8.1632653061224482E-4</v>
      </c>
    </row>
    <row r="669" spans="1:8" x14ac:dyDescent="0.2">
      <c r="D669" s="2">
        <v>1000</v>
      </c>
      <c r="F669" s="2">
        <f t="shared" si="15"/>
        <v>0.81632653061224481</v>
      </c>
    </row>
    <row r="670" spans="1:8" x14ac:dyDescent="0.2">
      <c r="D670" s="2">
        <v>1400</v>
      </c>
      <c r="F670" s="2">
        <f t="shared" si="15"/>
        <v>1.1428571428571426</v>
      </c>
    </row>
    <row r="671" spans="1:8" x14ac:dyDescent="0.2">
      <c r="D671" s="2">
        <v>1400000</v>
      </c>
      <c r="F671" s="2">
        <f t="shared" si="15"/>
        <v>1142.8571428571427</v>
      </c>
    </row>
    <row r="672" spans="1:8" x14ac:dyDescent="0.2">
      <c r="D672" s="2">
        <v>510</v>
      </c>
      <c r="F672" s="2">
        <f t="shared" si="15"/>
        <v>0.41632653061224489</v>
      </c>
    </row>
    <row r="673" spans="1:22" x14ac:dyDescent="0.2">
      <c r="D673" s="2">
        <v>95000</v>
      </c>
      <c r="F673" s="2">
        <f t="shared" si="15"/>
        <v>77.551020408163254</v>
      </c>
    </row>
    <row r="674" spans="1:22" x14ac:dyDescent="0.2">
      <c r="D674" s="2">
        <v>9100</v>
      </c>
      <c r="F674" s="2">
        <f t="shared" si="15"/>
        <v>7.4285714285714288</v>
      </c>
    </row>
    <row r="675" spans="1:22" x14ac:dyDescent="0.2">
      <c r="D675" s="2">
        <v>388</v>
      </c>
      <c r="F675" s="2">
        <f t="shared" si="15"/>
        <v>0.31673469387755104</v>
      </c>
    </row>
    <row r="676" spans="1:22" x14ac:dyDescent="0.2">
      <c r="A676" t="s">
        <v>553</v>
      </c>
      <c r="B676">
        <v>2021</v>
      </c>
      <c r="C676" t="s">
        <v>44</v>
      </c>
      <c r="D676" s="2">
        <v>6.3</v>
      </c>
      <c r="E676" t="s">
        <v>554</v>
      </c>
      <c r="F676" s="2">
        <f>10^D676/1.225/1000</f>
        <v>1628.7855632399021</v>
      </c>
      <c r="H676" t="s">
        <v>552</v>
      </c>
    </row>
    <row r="677" spans="1:22" x14ac:dyDescent="0.2">
      <c r="A677" t="s">
        <v>556</v>
      </c>
      <c r="B677">
        <v>2021</v>
      </c>
      <c r="C677" t="s">
        <v>44</v>
      </c>
      <c r="D677" s="2">
        <v>507000</v>
      </c>
      <c r="E677" t="s">
        <v>545</v>
      </c>
      <c r="F677" s="2">
        <f t="shared" ref="F677:F740" si="16">D677/1.225/1000</f>
        <v>413.87755102040813</v>
      </c>
      <c r="H677" t="s">
        <v>555</v>
      </c>
    </row>
    <row r="678" spans="1:22" x14ac:dyDescent="0.2">
      <c r="D678" s="2">
        <v>158000</v>
      </c>
      <c r="F678" s="2">
        <f t="shared" si="16"/>
        <v>128.9795918367347</v>
      </c>
    </row>
    <row r="679" spans="1:22" x14ac:dyDescent="0.2">
      <c r="D679" s="2">
        <v>15800</v>
      </c>
      <c r="F679" s="2">
        <f t="shared" si="16"/>
        <v>12.897959183673469</v>
      </c>
    </row>
    <row r="680" spans="1:22" x14ac:dyDescent="0.2">
      <c r="D680" s="2">
        <v>514000</v>
      </c>
      <c r="F680" s="2">
        <f t="shared" si="16"/>
        <v>419.59183673469386</v>
      </c>
    </row>
    <row r="681" spans="1:22" x14ac:dyDescent="0.2">
      <c r="D681" s="2">
        <v>546000</v>
      </c>
      <c r="F681" s="2">
        <f t="shared" si="16"/>
        <v>445.71428571428567</v>
      </c>
    </row>
    <row r="682" spans="1:22" x14ac:dyDescent="0.2">
      <c r="D682" s="2">
        <v>484000</v>
      </c>
      <c r="F682" s="2">
        <f t="shared" si="16"/>
        <v>395.10204081632651</v>
      </c>
    </row>
    <row r="683" spans="1:22" x14ac:dyDescent="0.2">
      <c r="D683" s="2">
        <v>523000</v>
      </c>
      <c r="F683" s="2">
        <f t="shared" si="16"/>
        <v>426.93877551020404</v>
      </c>
    </row>
    <row r="684" spans="1:22" x14ac:dyDescent="0.2">
      <c r="D684" s="2">
        <v>479000</v>
      </c>
      <c r="F684" s="2">
        <f t="shared" si="16"/>
        <v>391.02040816326524</v>
      </c>
    </row>
    <row r="685" spans="1:22" x14ac:dyDescent="0.2">
      <c r="D685" s="2">
        <v>529000</v>
      </c>
      <c r="F685" s="2">
        <f t="shared" si="16"/>
        <v>431.83673469387753</v>
      </c>
    </row>
    <row r="686" spans="1:22" x14ac:dyDescent="0.2">
      <c r="D686" s="2">
        <v>679000</v>
      </c>
      <c r="F686" s="2">
        <f t="shared" si="16"/>
        <v>554.28571428571422</v>
      </c>
    </row>
    <row r="687" spans="1:22" x14ac:dyDescent="0.2">
      <c r="D687" s="2">
        <v>556000</v>
      </c>
      <c r="F687" s="2">
        <f t="shared" si="16"/>
        <v>453.87755102040813</v>
      </c>
    </row>
    <row r="688" spans="1:22" x14ac:dyDescent="0.2">
      <c r="B688" s="2"/>
      <c r="D688" s="2">
        <v>1390000</v>
      </c>
      <c r="F688" s="2">
        <f t="shared" si="16"/>
        <v>1134.6938775510203</v>
      </c>
      <c r="S688" s="2"/>
      <c r="T688" s="2"/>
      <c r="U688" s="2"/>
      <c r="V688" s="2"/>
    </row>
    <row r="689" spans="2:22" x14ac:dyDescent="0.2">
      <c r="B689" s="2"/>
      <c r="D689" s="2">
        <v>667000</v>
      </c>
      <c r="F689" s="2">
        <f t="shared" si="16"/>
        <v>544.48979591836735</v>
      </c>
      <c r="S689" s="2"/>
      <c r="T689" s="2"/>
      <c r="U689" s="2"/>
      <c r="V689" s="2"/>
    </row>
    <row r="690" spans="2:22" x14ac:dyDescent="0.2">
      <c r="B690" s="2"/>
      <c r="D690" s="2">
        <v>1950000</v>
      </c>
      <c r="F690" s="2">
        <f t="shared" si="16"/>
        <v>1591.8367346938774</v>
      </c>
      <c r="S690" s="2"/>
      <c r="T690" s="2"/>
      <c r="U690" s="2"/>
      <c r="V690" s="2"/>
    </row>
    <row r="691" spans="2:22" x14ac:dyDescent="0.2">
      <c r="B691" s="2"/>
      <c r="D691" s="2">
        <v>2180000</v>
      </c>
      <c r="F691" s="2">
        <f t="shared" si="16"/>
        <v>1779.5918367346937</v>
      </c>
      <c r="S691" s="2"/>
      <c r="T691" s="2"/>
      <c r="U691" s="2"/>
      <c r="V691" s="2"/>
    </row>
    <row r="692" spans="2:22" x14ac:dyDescent="0.2">
      <c r="B692" s="2"/>
      <c r="D692" s="2">
        <v>795000</v>
      </c>
      <c r="F692" s="2">
        <f t="shared" si="16"/>
        <v>648.9795918367347</v>
      </c>
      <c r="S692" s="2"/>
      <c r="T692" s="2"/>
      <c r="U692" s="2"/>
      <c r="V692" s="2"/>
    </row>
    <row r="693" spans="2:22" x14ac:dyDescent="0.2">
      <c r="B693" s="2"/>
      <c r="D693" s="2">
        <v>839000</v>
      </c>
      <c r="F693" s="2">
        <f t="shared" si="16"/>
        <v>684.89795918367338</v>
      </c>
      <c r="S693" s="2"/>
      <c r="T693" s="2"/>
      <c r="U693" s="2"/>
      <c r="V693" s="2"/>
    </row>
    <row r="694" spans="2:22" x14ac:dyDescent="0.2">
      <c r="B694" s="2"/>
      <c r="D694" s="2">
        <v>711000</v>
      </c>
      <c r="F694" s="2">
        <f t="shared" si="16"/>
        <v>580.40816326530603</v>
      </c>
      <c r="S694" s="2"/>
      <c r="T694" s="2"/>
      <c r="U694" s="2"/>
      <c r="V694" s="2"/>
    </row>
    <row r="695" spans="2:22" x14ac:dyDescent="0.2">
      <c r="B695" s="2"/>
      <c r="D695" s="2">
        <v>570000</v>
      </c>
      <c r="F695" s="2">
        <f t="shared" si="16"/>
        <v>465.30612244897958</v>
      </c>
      <c r="S695" s="2"/>
      <c r="T695" s="2"/>
      <c r="U695" s="2"/>
      <c r="V695" s="2"/>
    </row>
    <row r="696" spans="2:22" x14ac:dyDescent="0.2">
      <c r="B696" s="2"/>
      <c r="D696" s="2">
        <v>544000</v>
      </c>
      <c r="F696" s="2">
        <f t="shared" si="16"/>
        <v>444.08163265306121</v>
      </c>
      <c r="S696" s="2"/>
      <c r="T696" s="2"/>
      <c r="U696" s="2"/>
      <c r="V696" s="2"/>
    </row>
    <row r="697" spans="2:22" x14ac:dyDescent="0.2">
      <c r="B697" s="2"/>
      <c r="D697" s="2">
        <v>528000</v>
      </c>
      <c r="F697" s="2">
        <f t="shared" si="16"/>
        <v>431.02040816326524</v>
      </c>
      <c r="S697" s="2"/>
      <c r="T697" s="2"/>
      <c r="U697" s="2"/>
      <c r="V697" s="2"/>
    </row>
    <row r="698" spans="2:22" x14ac:dyDescent="0.2">
      <c r="B698" s="2"/>
      <c r="D698" s="2">
        <v>1230000</v>
      </c>
      <c r="F698" s="2">
        <f t="shared" si="16"/>
        <v>1004.0816326530612</v>
      </c>
      <c r="S698" s="2"/>
      <c r="T698" s="2"/>
      <c r="U698" s="2"/>
      <c r="V698" s="2"/>
    </row>
    <row r="699" spans="2:22" x14ac:dyDescent="0.2">
      <c r="B699" s="2"/>
      <c r="D699" s="2">
        <v>562000</v>
      </c>
      <c r="F699" s="2">
        <f t="shared" si="16"/>
        <v>458.77551020408157</v>
      </c>
      <c r="S699" s="2"/>
      <c r="T699" s="2"/>
      <c r="U699" s="2"/>
      <c r="V699" s="2"/>
    </row>
    <row r="700" spans="2:22" x14ac:dyDescent="0.2">
      <c r="B700" s="2"/>
      <c r="D700" s="2">
        <v>485000</v>
      </c>
      <c r="F700" s="2">
        <f t="shared" si="16"/>
        <v>395.91836734693874</v>
      </c>
      <c r="S700" s="2"/>
      <c r="T700" s="2"/>
      <c r="U700" s="2"/>
      <c r="V700" s="2"/>
    </row>
    <row r="701" spans="2:22" x14ac:dyDescent="0.2">
      <c r="B701" s="2"/>
      <c r="D701" s="2">
        <v>1630000</v>
      </c>
      <c r="F701" s="2">
        <f t="shared" si="16"/>
        <v>1330.612244897959</v>
      </c>
      <c r="S701" s="2"/>
      <c r="T701" s="2"/>
      <c r="U701" s="2"/>
      <c r="V701" s="2"/>
    </row>
    <row r="702" spans="2:22" x14ac:dyDescent="0.2">
      <c r="B702" s="2"/>
      <c r="D702" s="2">
        <v>546000</v>
      </c>
      <c r="F702" s="2">
        <f t="shared" si="16"/>
        <v>445.71428571428567</v>
      </c>
      <c r="S702" s="2"/>
      <c r="T702" s="2"/>
      <c r="U702" s="2"/>
      <c r="V702" s="2"/>
    </row>
    <row r="703" spans="2:22" x14ac:dyDescent="0.2">
      <c r="B703" s="2"/>
      <c r="D703" s="2">
        <v>524000</v>
      </c>
      <c r="F703" s="2">
        <f t="shared" si="16"/>
        <v>427.75510204081627</v>
      </c>
      <c r="S703" s="2"/>
      <c r="T703" s="2"/>
      <c r="U703" s="2"/>
      <c r="V703" s="2"/>
    </row>
    <row r="704" spans="2:22" x14ac:dyDescent="0.2">
      <c r="B704" s="2"/>
      <c r="D704" s="2">
        <v>295</v>
      </c>
      <c r="F704" s="2">
        <f t="shared" si="16"/>
        <v>0.24081632653061222</v>
      </c>
      <c r="S704" s="2"/>
      <c r="T704" s="2"/>
      <c r="U704" s="2"/>
      <c r="V704" s="2"/>
    </row>
    <row r="705" spans="2:22" x14ac:dyDescent="0.2">
      <c r="B705" s="2"/>
      <c r="D705" s="2">
        <v>19900</v>
      </c>
      <c r="F705" s="2">
        <f t="shared" si="16"/>
        <v>16.244897959183671</v>
      </c>
      <c r="S705" s="2"/>
      <c r="T705" s="2"/>
      <c r="U705" s="2"/>
      <c r="V705" s="2"/>
    </row>
    <row r="706" spans="2:22" x14ac:dyDescent="0.2">
      <c r="B706" s="2"/>
      <c r="D706" s="2">
        <v>35600</v>
      </c>
      <c r="F706" s="2">
        <f t="shared" si="16"/>
        <v>29.061224489795919</v>
      </c>
      <c r="S706" s="2"/>
      <c r="T706" s="2"/>
      <c r="U706" s="2"/>
      <c r="V706" s="2"/>
    </row>
    <row r="707" spans="2:22" x14ac:dyDescent="0.2">
      <c r="B707" s="2"/>
      <c r="D707" s="2">
        <v>1520</v>
      </c>
      <c r="F707" s="2">
        <f t="shared" si="16"/>
        <v>1.240816326530612</v>
      </c>
      <c r="S707" s="2"/>
      <c r="T707" s="2"/>
      <c r="U707" s="2"/>
      <c r="V707" s="2"/>
    </row>
    <row r="708" spans="2:22" x14ac:dyDescent="0.2">
      <c r="B708" s="2"/>
      <c r="D708" s="2">
        <v>2190000</v>
      </c>
      <c r="F708" s="2">
        <f t="shared" si="16"/>
        <v>1787.7551020408162</v>
      </c>
      <c r="S708" s="2"/>
      <c r="T708" s="2"/>
      <c r="U708" s="2"/>
      <c r="V708" s="2"/>
    </row>
    <row r="709" spans="2:22" x14ac:dyDescent="0.2">
      <c r="B709" s="2"/>
      <c r="D709" s="2">
        <v>321</v>
      </c>
      <c r="F709" s="2">
        <f t="shared" si="16"/>
        <v>0.26204081632653059</v>
      </c>
      <c r="S709" s="2"/>
      <c r="T709" s="2"/>
      <c r="U709" s="2"/>
      <c r="V709" s="2"/>
    </row>
    <row r="710" spans="2:22" x14ac:dyDescent="0.2">
      <c r="B710" s="2"/>
      <c r="D710" s="2">
        <v>1510</v>
      </c>
      <c r="F710" s="2">
        <f t="shared" si="16"/>
        <v>1.2326530612244897</v>
      </c>
      <c r="S710" s="2"/>
      <c r="T710" s="2"/>
      <c r="U710" s="2"/>
      <c r="V710" s="2"/>
    </row>
    <row r="711" spans="2:22" x14ac:dyDescent="0.2">
      <c r="B711" s="2"/>
      <c r="D711" s="2">
        <v>4170</v>
      </c>
      <c r="F711" s="2">
        <f t="shared" si="16"/>
        <v>3.4040816326530607</v>
      </c>
      <c r="S711" s="2"/>
      <c r="T711" s="2"/>
      <c r="U711" s="2"/>
      <c r="V711" s="2"/>
    </row>
    <row r="712" spans="2:22" x14ac:dyDescent="0.2">
      <c r="B712" s="2"/>
      <c r="D712" s="2">
        <v>1200</v>
      </c>
      <c r="F712" s="2">
        <f t="shared" si="16"/>
        <v>0.97959183673469385</v>
      </c>
      <c r="S712" s="2"/>
      <c r="T712" s="2"/>
      <c r="U712" s="2"/>
      <c r="V712" s="2"/>
    </row>
    <row r="713" spans="2:22" x14ac:dyDescent="0.2">
      <c r="B713" s="2"/>
      <c r="D713" s="2">
        <v>2730</v>
      </c>
      <c r="F713" s="2">
        <f t="shared" si="16"/>
        <v>2.2285714285714286</v>
      </c>
      <c r="S713" s="2"/>
      <c r="T713" s="2"/>
      <c r="U713" s="2"/>
      <c r="V713" s="2"/>
    </row>
    <row r="714" spans="2:22" x14ac:dyDescent="0.2">
      <c r="B714" s="2"/>
      <c r="D714" s="2">
        <v>757</v>
      </c>
      <c r="F714" s="2">
        <f t="shared" si="16"/>
        <v>0.61795918367346936</v>
      </c>
      <c r="S714" s="2"/>
      <c r="T714" s="2"/>
      <c r="U714" s="2"/>
      <c r="V714" s="2"/>
    </row>
    <row r="715" spans="2:22" x14ac:dyDescent="0.2">
      <c r="D715" s="2">
        <v>112</v>
      </c>
      <c r="F715" s="2">
        <f t="shared" si="16"/>
        <v>9.1428571428571415E-2</v>
      </c>
    </row>
    <row r="716" spans="2:22" x14ac:dyDescent="0.2">
      <c r="D716" s="2">
        <v>189</v>
      </c>
      <c r="F716" s="2">
        <f t="shared" si="16"/>
        <v>0.15428571428571428</v>
      </c>
    </row>
    <row r="717" spans="2:22" x14ac:dyDescent="0.2">
      <c r="D717" s="2">
        <v>62.6</v>
      </c>
      <c r="F717" s="2">
        <f t="shared" si="16"/>
        <v>5.1102040816326529E-2</v>
      </c>
    </row>
    <row r="718" spans="2:22" x14ac:dyDescent="0.2">
      <c r="D718" s="2">
        <v>107</v>
      </c>
      <c r="F718" s="2">
        <f t="shared" si="16"/>
        <v>8.7346938775510197E-2</v>
      </c>
    </row>
    <row r="719" spans="2:22" x14ac:dyDescent="0.2">
      <c r="D719" s="2">
        <v>64.2</v>
      </c>
      <c r="F719" s="2">
        <f t="shared" si="16"/>
        <v>5.2408163265306125E-2</v>
      </c>
    </row>
    <row r="720" spans="2:22" x14ac:dyDescent="0.2">
      <c r="D720" s="2">
        <v>627</v>
      </c>
      <c r="F720" s="2">
        <f t="shared" si="16"/>
        <v>0.51183673469387758</v>
      </c>
    </row>
    <row r="721" spans="4:6" x14ac:dyDescent="0.2">
      <c r="D721" s="2">
        <v>2670</v>
      </c>
      <c r="F721" s="2">
        <f t="shared" si="16"/>
        <v>2.1795918367346934</v>
      </c>
    </row>
    <row r="722" spans="4:6" x14ac:dyDescent="0.2">
      <c r="D722" s="2">
        <v>1130</v>
      </c>
      <c r="F722" s="2">
        <f t="shared" si="16"/>
        <v>0.92244897959183658</v>
      </c>
    </row>
    <row r="723" spans="4:6" x14ac:dyDescent="0.2">
      <c r="D723" s="2">
        <v>10800</v>
      </c>
      <c r="F723" s="2">
        <f t="shared" si="16"/>
        <v>8.816326530612244</v>
      </c>
    </row>
    <row r="724" spans="4:6" x14ac:dyDescent="0.2">
      <c r="D724" s="2">
        <v>2370</v>
      </c>
      <c r="F724" s="2">
        <f t="shared" si="16"/>
        <v>1.9346938775510203</v>
      </c>
    </row>
    <row r="725" spans="4:6" x14ac:dyDescent="0.2">
      <c r="D725" s="2">
        <v>255</v>
      </c>
      <c r="F725" s="2">
        <f t="shared" si="16"/>
        <v>0.20816326530612245</v>
      </c>
    </row>
    <row r="726" spans="4:6" x14ac:dyDescent="0.2">
      <c r="D726" s="2">
        <v>367</v>
      </c>
      <c r="F726" s="2">
        <f t="shared" si="16"/>
        <v>0.29959183673469386</v>
      </c>
    </row>
    <row r="727" spans="4:6" x14ac:dyDescent="0.2">
      <c r="D727" s="2">
        <v>210</v>
      </c>
      <c r="F727" s="2">
        <f t="shared" si="16"/>
        <v>0.17142857142857143</v>
      </c>
    </row>
    <row r="728" spans="4:6" x14ac:dyDescent="0.2">
      <c r="D728" s="2">
        <v>21.3</v>
      </c>
      <c r="F728" s="2">
        <f t="shared" si="16"/>
        <v>1.7387755102040818E-2</v>
      </c>
    </row>
    <row r="729" spans="4:6" x14ac:dyDescent="0.2">
      <c r="D729" s="2">
        <v>954</v>
      </c>
      <c r="F729" s="2">
        <f t="shared" si="16"/>
        <v>0.77877551020408153</v>
      </c>
    </row>
    <row r="730" spans="4:6" x14ac:dyDescent="0.2">
      <c r="D730" s="2">
        <v>1750</v>
      </c>
      <c r="F730" s="2">
        <f t="shared" si="16"/>
        <v>1.4285714285714284</v>
      </c>
    </row>
    <row r="731" spans="4:6" x14ac:dyDescent="0.2">
      <c r="D731" s="2">
        <v>10300</v>
      </c>
      <c r="F731" s="2">
        <f t="shared" si="16"/>
        <v>8.408163265306122</v>
      </c>
    </row>
    <row r="732" spans="4:6" x14ac:dyDescent="0.2">
      <c r="D732" s="2">
        <v>1990000</v>
      </c>
      <c r="F732" s="2">
        <f t="shared" si="16"/>
        <v>1624.4897959183672</v>
      </c>
    </row>
    <row r="733" spans="4:6" x14ac:dyDescent="0.2">
      <c r="D733" s="2">
        <v>3370000</v>
      </c>
      <c r="F733" s="2">
        <f t="shared" si="16"/>
        <v>2751.0204081632655</v>
      </c>
    </row>
    <row r="734" spans="4:6" x14ac:dyDescent="0.2">
      <c r="D734" s="2">
        <v>9360</v>
      </c>
      <c r="F734" s="2">
        <f t="shared" si="16"/>
        <v>7.6408163265306124</v>
      </c>
    </row>
    <row r="735" spans="4:6" x14ac:dyDescent="0.2">
      <c r="D735" s="2">
        <v>4220</v>
      </c>
      <c r="F735" s="2">
        <f t="shared" si="16"/>
        <v>3.4448979591836735</v>
      </c>
    </row>
    <row r="736" spans="4:6" x14ac:dyDescent="0.2">
      <c r="D736" s="2">
        <v>3690</v>
      </c>
      <c r="F736" s="2">
        <f t="shared" si="16"/>
        <v>3.0122448979591838</v>
      </c>
    </row>
    <row r="737" spans="4:6" x14ac:dyDescent="0.2">
      <c r="D737" s="2">
        <v>42900</v>
      </c>
      <c r="F737" s="2">
        <f t="shared" si="16"/>
        <v>35.020408163265301</v>
      </c>
    </row>
    <row r="738" spans="4:6" x14ac:dyDescent="0.2">
      <c r="D738" s="2">
        <v>5590</v>
      </c>
      <c r="F738" s="2">
        <f t="shared" si="16"/>
        <v>4.5632653061224486</v>
      </c>
    </row>
    <row r="739" spans="4:6" x14ac:dyDescent="0.2">
      <c r="D739" s="2">
        <v>23100</v>
      </c>
      <c r="F739" s="2">
        <f t="shared" si="16"/>
        <v>18.857142857142854</v>
      </c>
    </row>
    <row r="740" spans="4:6" x14ac:dyDescent="0.2">
      <c r="D740" s="2">
        <v>16900</v>
      </c>
      <c r="F740" s="2">
        <f t="shared" si="16"/>
        <v>13.795918367346937</v>
      </c>
    </row>
    <row r="741" spans="4:6" x14ac:dyDescent="0.2">
      <c r="D741" s="2">
        <v>17100</v>
      </c>
      <c r="F741" s="2">
        <f t="shared" ref="F741:F804" si="17">D741/1.225/1000</f>
        <v>13.959183673469386</v>
      </c>
    </row>
    <row r="742" spans="4:6" x14ac:dyDescent="0.2">
      <c r="D742" s="2">
        <v>102000</v>
      </c>
      <c r="F742" s="2">
        <f t="shared" si="17"/>
        <v>83.265306122448976</v>
      </c>
    </row>
    <row r="743" spans="4:6" x14ac:dyDescent="0.2">
      <c r="D743" s="2">
        <v>5710</v>
      </c>
      <c r="F743" s="2">
        <f t="shared" si="17"/>
        <v>4.6612244897959183</v>
      </c>
    </row>
    <row r="744" spans="4:6" x14ac:dyDescent="0.2">
      <c r="D744" s="2">
        <v>35500</v>
      </c>
      <c r="F744" s="2">
        <f t="shared" si="17"/>
        <v>28.979591836734691</v>
      </c>
    </row>
    <row r="745" spans="4:6" x14ac:dyDescent="0.2">
      <c r="D745" s="2">
        <v>109000</v>
      </c>
      <c r="F745" s="2">
        <f t="shared" si="17"/>
        <v>88.979591836734684</v>
      </c>
    </row>
    <row r="746" spans="4:6" x14ac:dyDescent="0.2">
      <c r="D746" s="2">
        <v>569000</v>
      </c>
      <c r="F746" s="2">
        <f t="shared" si="17"/>
        <v>464.48979591836735</v>
      </c>
    </row>
    <row r="747" spans="4:6" x14ac:dyDescent="0.2">
      <c r="D747" s="2">
        <v>92100</v>
      </c>
      <c r="F747" s="2">
        <f t="shared" si="17"/>
        <v>75.183673469387756</v>
      </c>
    </row>
    <row r="748" spans="4:6" x14ac:dyDescent="0.2">
      <c r="D748" s="2">
        <v>291000</v>
      </c>
      <c r="F748" s="2">
        <f t="shared" si="17"/>
        <v>237.55102040816325</v>
      </c>
    </row>
    <row r="749" spans="4:6" x14ac:dyDescent="0.2">
      <c r="D749" s="2">
        <v>102000</v>
      </c>
      <c r="F749" s="2">
        <f t="shared" si="17"/>
        <v>83.265306122448976</v>
      </c>
    </row>
    <row r="750" spans="4:6" x14ac:dyDescent="0.2">
      <c r="D750" s="2">
        <v>605000</v>
      </c>
      <c r="F750" s="2">
        <f t="shared" si="17"/>
        <v>493.87755102040813</v>
      </c>
    </row>
    <row r="751" spans="4:6" x14ac:dyDescent="0.2">
      <c r="D751" s="2">
        <v>358000</v>
      </c>
      <c r="F751" s="2">
        <f t="shared" si="17"/>
        <v>292.24489795918367</v>
      </c>
    </row>
    <row r="752" spans="4:6" x14ac:dyDescent="0.2">
      <c r="D752" s="2">
        <v>57000</v>
      </c>
      <c r="F752" s="2">
        <f t="shared" si="17"/>
        <v>46.530612244897959</v>
      </c>
    </row>
    <row r="753" spans="4:6" x14ac:dyDescent="0.2">
      <c r="D753" s="2">
        <v>707000</v>
      </c>
      <c r="F753" s="2">
        <f t="shared" si="17"/>
        <v>577.142857142857</v>
      </c>
    </row>
    <row r="754" spans="4:6" x14ac:dyDescent="0.2">
      <c r="D754" s="2">
        <v>95300</v>
      </c>
      <c r="F754" s="2">
        <f t="shared" si="17"/>
        <v>77.795918367346943</v>
      </c>
    </row>
    <row r="755" spans="4:6" x14ac:dyDescent="0.2">
      <c r="D755" s="2">
        <v>288000</v>
      </c>
      <c r="F755" s="2">
        <f t="shared" si="17"/>
        <v>235.10204081632651</v>
      </c>
    </row>
    <row r="756" spans="4:6" x14ac:dyDescent="0.2">
      <c r="D756" s="2">
        <v>1080000</v>
      </c>
      <c r="F756" s="2">
        <f t="shared" si="17"/>
        <v>881.63265306122435</v>
      </c>
    </row>
    <row r="757" spans="4:6" x14ac:dyDescent="0.2">
      <c r="D757" s="2">
        <v>2050000</v>
      </c>
      <c r="F757" s="2">
        <f t="shared" si="17"/>
        <v>1673.4693877551019</v>
      </c>
    </row>
    <row r="758" spans="4:6" x14ac:dyDescent="0.2">
      <c r="D758" s="2">
        <v>114</v>
      </c>
      <c r="F758" s="2">
        <f t="shared" si="17"/>
        <v>9.3061224489795924E-2</v>
      </c>
    </row>
    <row r="759" spans="4:6" x14ac:dyDescent="0.2">
      <c r="D759" s="2">
        <v>872</v>
      </c>
      <c r="F759" s="2">
        <f t="shared" si="17"/>
        <v>0.71183673469387743</v>
      </c>
    </row>
    <row r="760" spans="4:6" x14ac:dyDescent="0.2">
      <c r="D760" s="2">
        <v>2280</v>
      </c>
      <c r="F760" s="2">
        <f t="shared" si="17"/>
        <v>1.8612244897959183</v>
      </c>
    </row>
    <row r="761" spans="4:6" x14ac:dyDescent="0.2">
      <c r="D761" s="2">
        <v>49.6</v>
      </c>
      <c r="F761" s="2">
        <f t="shared" si="17"/>
        <v>4.0489795918367343E-2</v>
      </c>
    </row>
    <row r="762" spans="4:6" x14ac:dyDescent="0.2">
      <c r="D762" s="2">
        <v>150</v>
      </c>
      <c r="F762" s="2">
        <f t="shared" si="17"/>
        <v>0.12244897959183673</v>
      </c>
    </row>
    <row r="763" spans="4:6" x14ac:dyDescent="0.2">
      <c r="D763" s="2">
        <v>68.099999999999994</v>
      </c>
      <c r="F763" s="2">
        <f t="shared" si="17"/>
        <v>5.5591836734693874E-2</v>
      </c>
    </row>
    <row r="764" spans="4:6" x14ac:dyDescent="0.2">
      <c r="D764" s="2">
        <v>59.3</v>
      </c>
      <c r="F764" s="2">
        <f t="shared" si="17"/>
        <v>4.8408163265306114E-2</v>
      </c>
    </row>
    <row r="765" spans="4:6" x14ac:dyDescent="0.2">
      <c r="D765" s="2">
        <v>48.8</v>
      </c>
      <c r="F765" s="2">
        <f t="shared" si="17"/>
        <v>3.9836734693877544E-2</v>
      </c>
    </row>
    <row r="766" spans="4:6" x14ac:dyDescent="0.2">
      <c r="D766" s="2">
        <v>597</v>
      </c>
      <c r="F766" s="2">
        <f t="shared" si="17"/>
        <v>0.48734693877551016</v>
      </c>
    </row>
    <row r="767" spans="4:6" x14ac:dyDescent="0.2">
      <c r="D767" s="2">
        <v>107</v>
      </c>
      <c r="F767" s="2">
        <f t="shared" si="17"/>
        <v>8.7346938775510197E-2</v>
      </c>
    </row>
    <row r="768" spans="4:6" x14ac:dyDescent="0.2">
      <c r="D768" s="2">
        <v>150</v>
      </c>
      <c r="F768" s="2">
        <f t="shared" si="17"/>
        <v>0.12244897959183673</v>
      </c>
    </row>
    <row r="769" spans="4:6" x14ac:dyDescent="0.2">
      <c r="D769" s="2">
        <v>90.3</v>
      </c>
      <c r="F769" s="2">
        <f t="shared" si="17"/>
        <v>7.3714285714285704E-2</v>
      </c>
    </row>
    <row r="770" spans="4:6" x14ac:dyDescent="0.2">
      <c r="D770" s="2">
        <v>79.400000000000006</v>
      </c>
      <c r="F770" s="2">
        <f t="shared" si="17"/>
        <v>6.4816326530612242E-2</v>
      </c>
    </row>
    <row r="771" spans="4:6" x14ac:dyDescent="0.2">
      <c r="D771" s="2">
        <v>129</v>
      </c>
      <c r="F771" s="2">
        <f t="shared" si="17"/>
        <v>0.10530612244897958</v>
      </c>
    </row>
    <row r="772" spans="4:6" x14ac:dyDescent="0.2">
      <c r="D772" s="2">
        <v>103</v>
      </c>
      <c r="F772" s="2">
        <f t="shared" si="17"/>
        <v>8.408163265306122E-2</v>
      </c>
    </row>
    <row r="773" spans="4:6" x14ac:dyDescent="0.2">
      <c r="D773" s="2">
        <v>162</v>
      </c>
      <c r="F773" s="2">
        <f t="shared" si="17"/>
        <v>0.13224489795918368</v>
      </c>
    </row>
    <row r="774" spans="4:6" x14ac:dyDescent="0.2">
      <c r="D774" s="2">
        <v>122</v>
      </c>
      <c r="F774" s="2">
        <f t="shared" si="17"/>
        <v>9.9591836734693864E-2</v>
      </c>
    </row>
    <row r="775" spans="4:6" x14ac:dyDescent="0.2">
      <c r="D775" s="2">
        <v>274</v>
      </c>
      <c r="F775" s="2">
        <f t="shared" si="17"/>
        <v>0.22367346938775509</v>
      </c>
    </row>
    <row r="776" spans="4:6" x14ac:dyDescent="0.2">
      <c r="D776" s="2">
        <v>114</v>
      </c>
      <c r="F776" s="2">
        <f t="shared" si="17"/>
        <v>9.3061224489795924E-2</v>
      </c>
    </row>
    <row r="777" spans="4:6" x14ac:dyDescent="0.2">
      <c r="D777" s="2">
        <v>274</v>
      </c>
      <c r="F777" s="2">
        <f t="shared" si="17"/>
        <v>0.22367346938775509</v>
      </c>
    </row>
    <row r="778" spans="4:6" x14ac:dyDescent="0.2">
      <c r="D778" s="2">
        <v>1560</v>
      </c>
      <c r="F778" s="2">
        <f t="shared" si="17"/>
        <v>1.273469387755102</v>
      </c>
    </row>
    <row r="779" spans="4:6" x14ac:dyDescent="0.2">
      <c r="D779" s="2">
        <v>79.599999999999994</v>
      </c>
      <c r="F779" s="2">
        <f t="shared" si="17"/>
        <v>6.4979591836734685E-2</v>
      </c>
    </row>
    <row r="780" spans="4:6" x14ac:dyDescent="0.2">
      <c r="D780" s="2">
        <v>136</v>
      </c>
      <c r="F780" s="2">
        <f t="shared" si="17"/>
        <v>0.11102040816326531</v>
      </c>
    </row>
    <row r="781" spans="4:6" x14ac:dyDescent="0.2">
      <c r="D781" s="2">
        <v>1000</v>
      </c>
      <c r="F781" s="2">
        <f t="shared" si="17"/>
        <v>0.81632653061224481</v>
      </c>
    </row>
    <row r="782" spans="4:6" x14ac:dyDescent="0.2">
      <c r="D782" s="2">
        <v>102</v>
      </c>
      <c r="F782" s="2">
        <f t="shared" si="17"/>
        <v>8.3265306122448979E-2</v>
      </c>
    </row>
    <row r="783" spans="4:6" x14ac:dyDescent="0.2">
      <c r="D783" s="2">
        <v>95.3</v>
      </c>
      <c r="F783" s="2">
        <f t="shared" si="17"/>
        <v>7.7795918367346922E-2</v>
      </c>
    </row>
    <row r="784" spans="4:6" x14ac:dyDescent="0.2">
      <c r="D784" s="2">
        <v>319</v>
      </c>
      <c r="F784" s="2">
        <f t="shared" si="17"/>
        <v>0.26040816326530608</v>
      </c>
    </row>
    <row r="785" spans="4:6" x14ac:dyDescent="0.2">
      <c r="D785" s="2">
        <v>3780</v>
      </c>
      <c r="F785" s="2">
        <f t="shared" si="17"/>
        <v>3.0857142857142854</v>
      </c>
    </row>
    <row r="786" spans="4:6" x14ac:dyDescent="0.2">
      <c r="D786" s="2">
        <v>1620</v>
      </c>
      <c r="F786" s="2">
        <f t="shared" si="17"/>
        <v>1.3224489795918366</v>
      </c>
    </row>
    <row r="787" spans="4:6" x14ac:dyDescent="0.2">
      <c r="D787" s="2">
        <v>1680</v>
      </c>
      <c r="F787" s="2">
        <f t="shared" si="17"/>
        <v>1.3714285714285714</v>
      </c>
    </row>
    <row r="788" spans="4:6" x14ac:dyDescent="0.2">
      <c r="D788" s="2">
        <v>3260</v>
      </c>
      <c r="F788" s="2">
        <f t="shared" si="17"/>
        <v>2.6612244897959183</v>
      </c>
    </row>
    <row r="789" spans="4:6" x14ac:dyDescent="0.2">
      <c r="D789" s="2">
        <v>1450</v>
      </c>
      <c r="F789" s="2">
        <f t="shared" si="17"/>
        <v>1.1836734693877549</v>
      </c>
    </row>
    <row r="790" spans="4:6" x14ac:dyDescent="0.2">
      <c r="D790" s="2">
        <v>3260</v>
      </c>
      <c r="F790" s="2">
        <f t="shared" si="17"/>
        <v>2.6612244897959183</v>
      </c>
    </row>
    <row r="791" spans="4:6" x14ac:dyDescent="0.2">
      <c r="D791" s="2">
        <v>6010</v>
      </c>
      <c r="F791" s="2">
        <f t="shared" si="17"/>
        <v>4.9061224489795912</v>
      </c>
    </row>
    <row r="792" spans="4:6" x14ac:dyDescent="0.2">
      <c r="D792" s="2">
        <v>3010</v>
      </c>
      <c r="F792" s="2">
        <f t="shared" si="17"/>
        <v>2.4571428571428569</v>
      </c>
    </row>
    <row r="793" spans="4:6" x14ac:dyDescent="0.2">
      <c r="D793" s="2">
        <v>3690</v>
      </c>
      <c r="F793" s="2">
        <f t="shared" si="17"/>
        <v>3.0122448979591838</v>
      </c>
    </row>
    <row r="794" spans="4:6" x14ac:dyDescent="0.2">
      <c r="D794" s="2">
        <v>3070</v>
      </c>
      <c r="F794" s="2">
        <f t="shared" si="17"/>
        <v>2.5061224489795917</v>
      </c>
    </row>
    <row r="795" spans="4:6" x14ac:dyDescent="0.2">
      <c r="D795" s="2">
        <v>3650</v>
      </c>
      <c r="F795" s="2">
        <f t="shared" si="17"/>
        <v>2.9795918367346936</v>
      </c>
    </row>
    <row r="796" spans="4:6" x14ac:dyDescent="0.2">
      <c r="D796" s="2">
        <v>2880</v>
      </c>
      <c r="F796" s="2">
        <f t="shared" si="17"/>
        <v>2.3510204081632651</v>
      </c>
    </row>
    <row r="797" spans="4:6" x14ac:dyDescent="0.2">
      <c r="D797" s="2">
        <v>3760</v>
      </c>
      <c r="F797" s="2">
        <f t="shared" si="17"/>
        <v>3.0693877551020403</v>
      </c>
    </row>
    <row r="798" spans="4:6" x14ac:dyDescent="0.2">
      <c r="D798" s="2">
        <v>3760</v>
      </c>
      <c r="F798" s="2">
        <f t="shared" si="17"/>
        <v>3.0693877551020403</v>
      </c>
    </row>
    <row r="799" spans="4:6" x14ac:dyDescent="0.2">
      <c r="D799" s="2">
        <v>3570</v>
      </c>
      <c r="F799" s="2">
        <f t="shared" si="17"/>
        <v>2.9142857142857141</v>
      </c>
    </row>
    <row r="800" spans="4:6" x14ac:dyDescent="0.2">
      <c r="D800" s="2">
        <v>3600</v>
      </c>
      <c r="F800" s="2">
        <f t="shared" si="17"/>
        <v>2.9387755102040813</v>
      </c>
    </row>
    <row r="801" spans="4:6" x14ac:dyDescent="0.2">
      <c r="D801" s="2">
        <v>3130</v>
      </c>
      <c r="F801" s="2">
        <f t="shared" si="17"/>
        <v>2.5551020408163261</v>
      </c>
    </row>
    <row r="802" spans="4:6" x14ac:dyDescent="0.2">
      <c r="D802" s="2">
        <v>4480</v>
      </c>
      <c r="F802" s="2">
        <f t="shared" si="17"/>
        <v>3.657142857142857</v>
      </c>
    </row>
    <row r="803" spans="4:6" x14ac:dyDescent="0.2">
      <c r="D803" s="2">
        <v>3400</v>
      </c>
      <c r="F803" s="2">
        <f t="shared" si="17"/>
        <v>2.7755102040816322</v>
      </c>
    </row>
    <row r="804" spans="4:6" x14ac:dyDescent="0.2">
      <c r="D804" s="2">
        <v>3900</v>
      </c>
      <c r="F804" s="2">
        <f t="shared" si="17"/>
        <v>3.1836734693877546</v>
      </c>
    </row>
    <row r="805" spans="4:6" x14ac:dyDescent="0.2">
      <c r="D805" s="2">
        <v>3270</v>
      </c>
      <c r="F805" s="2">
        <f t="shared" ref="F805:F868" si="18">D805/1.225/1000</f>
        <v>2.6693877551020404</v>
      </c>
    </row>
    <row r="806" spans="4:6" x14ac:dyDescent="0.2">
      <c r="D806" s="2">
        <v>3140</v>
      </c>
      <c r="F806" s="2">
        <f t="shared" si="18"/>
        <v>2.5632653061224486</v>
      </c>
    </row>
    <row r="807" spans="4:6" x14ac:dyDescent="0.2">
      <c r="D807" s="2">
        <v>3610</v>
      </c>
      <c r="F807" s="2">
        <f t="shared" si="18"/>
        <v>2.9469387755102039</v>
      </c>
    </row>
    <row r="808" spans="4:6" x14ac:dyDescent="0.2">
      <c r="D808" s="2">
        <v>3910</v>
      </c>
      <c r="F808" s="2">
        <f t="shared" si="18"/>
        <v>3.1918367346938772</v>
      </c>
    </row>
    <row r="809" spans="4:6" x14ac:dyDescent="0.2">
      <c r="D809" s="2">
        <v>4170</v>
      </c>
      <c r="F809" s="2">
        <f t="shared" si="18"/>
        <v>3.4040816326530607</v>
      </c>
    </row>
    <row r="810" spans="4:6" x14ac:dyDescent="0.2">
      <c r="D810" s="2">
        <v>3670</v>
      </c>
      <c r="F810" s="2">
        <f t="shared" si="18"/>
        <v>2.9959183673469383</v>
      </c>
    </row>
    <row r="811" spans="4:6" x14ac:dyDescent="0.2">
      <c r="D811" s="2">
        <v>8200</v>
      </c>
      <c r="F811" s="2">
        <f t="shared" si="18"/>
        <v>6.6938775510204076</v>
      </c>
    </row>
    <row r="812" spans="4:6" x14ac:dyDescent="0.2">
      <c r="D812" s="2">
        <v>1750</v>
      </c>
      <c r="F812" s="2">
        <f t="shared" si="18"/>
        <v>1.4285714285714284</v>
      </c>
    </row>
    <row r="813" spans="4:6" x14ac:dyDescent="0.2">
      <c r="D813" s="2">
        <v>7700</v>
      </c>
      <c r="F813" s="2">
        <f t="shared" si="18"/>
        <v>6.2857142857142856</v>
      </c>
    </row>
    <row r="814" spans="4:6" x14ac:dyDescent="0.2">
      <c r="D814" s="2">
        <v>13500</v>
      </c>
      <c r="F814" s="2">
        <f t="shared" si="18"/>
        <v>11.020408163265305</v>
      </c>
    </row>
    <row r="815" spans="4:6" x14ac:dyDescent="0.2">
      <c r="D815" s="2">
        <v>11200</v>
      </c>
      <c r="F815" s="2">
        <f t="shared" si="18"/>
        <v>9.1428571428571406</v>
      </c>
    </row>
    <row r="816" spans="4:6" x14ac:dyDescent="0.2">
      <c r="D816" s="2">
        <v>106000</v>
      </c>
      <c r="F816" s="2">
        <f t="shared" si="18"/>
        <v>86.530612244897952</v>
      </c>
    </row>
    <row r="817" spans="4:6" x14ac:dyDescent="0.2">
      <c r="D817" s="2">
        <v>1970</v>
      </c>
      <c r="F817" s="2">
        <f t="shared" si="18"/>
        <v>1.6081632653061224</v>
      </c>
    </row>
    <row r="818" spans="4:6" x14ac:dyDescent="0.2">
      <c r="D818" s="2">
        <v>7890</v>
      </c>
      <c r="F818" s="2">
        <f t="shared" si="18"/>
        <v>6.4408163265306122</v>
      </c>
    </row>
    <row r="819" spans="4:6" x14ac:dyDescent="0.2">
      <c r="D819" s="2">
        <v>1090</v>
      </c>
      <c r="F819" s="2">
        <f t="shared" si="18"/>
        <v>0.88979591836734684</v>
      </c>
    </row>
    <row r="820" spans="4:6" x14ac:dyDescent="0.2">
      <c r="D820" s="2">
        <v>3870</v>
      </c>
      <c r="F820" s="2">
        <f t="shared" si="18"/>
        <v>3.1591836734693874</v>
      </c>
    </row>
    <row r="821" spans="4:6" x14ac:dyDescent="0.2">
      <c r="D821" s="2">
        <v>2980</v>
      </c>
      <c r="F821" s="2">
        <f t="shared" si="18"/>
        <v>2.4326530612244897</v>
      </c>
    </row>
    <row r="822" spans="4:6" x14ac:dyDescent="0.2">
      <c r="D822" s="2">
        <v>1610</v>
      </c>
      <c r="F822" s="2">
        <f t="shared" si="18"/>
        <v>1.3142857142857143</v>
      </c>
    </row>
    <row r="823" spans="4:6" x14ac:dyDescent="0.2">
      <c r="D823" s="2">
        <v>2110</v>
      </c>
      <c r="F823" s="2">
        <f t="shared" si="18"/>
        <v>1.7224489795918367</v>
      </c>
    </row>
    <row r="824" spans="4:6" x14ac:dyDescent="0.2">
      <c r="D824" s="2">
        <v>2130</v>
      </c>
      <c r="F824" s="2">
        <f t="shared" si="18"/>
        <v>1.7387755102040814</v>
      </c>
    </row>
    <row r="825" spans="4:6" x14ac:dyDescent="0.2">
      <c r="D825" s="2">
        <v>1210</v>
      </c>
      <c r="F825" s="2">
        <f t="shared" si="18"/>
        <v>0.98775510204081629</v>
      </c>
    </row>
    <row r="826" spans="4:6" x14ac:dyDescent="0.2">
      <c r="D826" s="2">
        <v>1760</v>
      </c>
      <c r="F826" s="2">
        <f t="shared" si="18"/>
        <v>1.4367346938775509</v>
      </c>
    </row>
    <row r="827" spans="4:6" x14ac:dyDescent="0.2">
      <c r="D827" s="2">
        <v>2140</v>
      </c>
      <c r="F827" s="2">
        <f t="shared" si="18"/>
        <v>1.7469387755102039</v>
      </c>
    </row>
    <row r="828" spans="4:6" x14ac:dyDescent="0.2">
      <c r="D828" s="2">
        <v>2120</v>
      </c>
      <c r="F828" s="2">
        <f t="shared" si="18"/>
        <v>1.7306122448979591</v>
      </c>
    </row>
    <row r="829" spans="4:6" x14ac:dyDescent="0.2">
      <c r="D829" s="2">
        <v>2590</v>
      </c>
      <c r="F829" s="2">
        <f t="shared" si="18"/>
        <v>2.1142857142857143</v>
      </c>
    </row>
    <row r="830" spans="4:6" x14ac:dyDescent="0.2">
      <c r="D830" s="2">
        <v>1590</v>
      </c>
      <c r="F830" s="2">
        <f t="shared" si="18"/>
        <v>1.2979591836734694</v>
      </c>
    </row>
    <row r="831" spans="4:6" x14ac:dyDescent="0.2">
      <c r="D831" s="2">
        <v>1840</v>
      </c>
      <c r="F831" s="2">
        <f t="shared" si="18"/>
        <v>1.5020408163265306</v>
      </c>
    </row>
    <row r="832" spans="4:6" x14ac:dyDescent="0.2">
      <c r="D832" s="2">
        <v>39700</v>
      </c>
      <c r="F832" s="2">
        <f t="shared" si="18"/>
        <v>32.408163265306122</v>
      </c>
    </row>
    <row r="833" spans="4:6" x14ac:dyDescent="0.2">
      <c r="D833" s="2">
        <v>46000</v>
      </c>
      <c r="F833" s="2">
        <f t="shared" si="18"/>
        <v>37.551020408163261</v>
      </c>
    </row>
    <row r="834" spans="4:6" x14ac:dyDescent="0.2">
      <c r="D834" s="2">
        <v>2260</v>
      </c>
      <c r="F834" s="2">
        <f t="shared" si="18"/>
        <v>1.8448979591836732</v>
      </c>
    </row>
    <row r="835" spans="4:6" x14ac:dyDescent="0.2">
      <c r="D835" s="2">
        <v>1660</v>
      </c>
      <c r="F835" s="2">
        <f t="shared" si="18"/>
        <v>1.3551020408163266</v>
      </c>
    </row>
    <row r="836" spans="4:6" x14ac:dyDescent="0.2">
      <c r="D836" s="2">
        <v>2310</v>
      </c>
      <c r="F836" s="2">
        <f t="shared" si="18"/>
        <v>1.8857142857142855</v>
      </c>
    </row>
    <row r="837" spans="4:6" x14ac:dyDescent="0.2">
      <c r="D837" s="2">
        <v>1850</v>
      </c>
      <c r="F837" s="2">
        <f t="shared" si="18"/>
        <v>1.510204081632653</v>
      </c>
    </row>
    <row r="838" spans="4:6" x14ac:dyDescent="0.2">
      <c r="D838" s="2">
        <v>2300</v>
      </c>
      <c r="F838" s="2">
        <f t="shared" si="18"/>
        <v>1.8775510204081631</v>
      </c>
    </row>
    <row r="839" spans="4:6" x14ac:dyDescent="0.2">
      <c r="D839" s="2">
        <v>187</v>
      </c>
      <c r="F839" s="2">
        <f t="shared" si="18"/>
        <v>0.15265306122448979</v>
      </c>
    </row>
    <row r="840" spans="4:6" x14ac:dyDescent="0.2">
      <c r="D840" s="2">
        <v>1960</v>
      </c>
      <c r="F840" s="2">
        <f t="shared" si="18"/>
        <v>1.5999999999999999</v>
      </c>
    </row>
    <row r="841" spans="4:6" x14ac:dyDescent="0.2">
      <c r="D841" s="2">
        <v>3910</v>
      </c>
      <c r="F841" s="2">
        <f t="shared" si="18"/>
        <v>3.1918367346938772</v>
      </c>
    </row>
    <row r="842" spans="4:6" x14ac:dyDescent="0.2">
      <c r="D842" s="2">
        <v>120</v>
      </c>
      <c r="F842" s="2">
        <f t="shared" si="18"/>
        <v>9.7959183673469383E-2</v>
      </c>
    </row>
    <row r="843" spans="4:6" x14ac:dyDescent="0.2">
      <c r="D843" s="2">
        <v>119000</v>
      </c>
      <c r="F843" s="2">
        <f t="shared" si="18"/>
        <v>97.142857142857125</v>
      </c>
    </row>
    <row r="844" spans="4:6" x14ac:dyDescent="0.2">
      <c r="D844" s="2">
        <v>339</v>
      </c>
      <c r="F844" s="2">
        <f t="shared" si="18"/>
        <v>0.27673469387755101</v>
      </c>
    </row>
    <row r="845" spans="4:6" x14ac:dyDescent="0.2">
      <c r="D845" s="2">
        <v>1610</v>
      </c>
      <c r="F845" s="2">
        <f t="shared" si="18"/>
        <v>1.3142857142857143</v>
      </c>
    </row>
    <row r="846" spans="4:6" x14ac:dyDescent="0.2">
      <c r="D846" s="2">
        <v>3250</v>
      </c>
      <c r="F846" s="2">
        <f t="shared" si="18"/>
        <v>2.6530612244897958</v>
      </c>
    </row>
    <row r="847" spans="4:6" x14ac:dyDescent="0.2">
      <c r="D847" s="2">
        <v>507</v>
      </c>
      <c r="F847" s="2">
        <f t="shared" si="18"/>
        <v>0.41387755102040813</v>
      </c>
    </row>
    <row r="848" spans="4:6" x14ac:dyDescent="0.2">
      <c r="D848" s="2">
        <v>327</v>
      </c>
      <c r="F848" s="2">
        <f t="shared" si="18"/>
        <v>0.26693877551020406</v>
      </c>
    </row>
    <row r="849" spans="4:6" x14ac:dyDescent="0.2">
      <c r="D849" s="2">
        <v>312</v>
      </c>
      <c r="F849" s="2">
        <f t="shared" si="18"/>
        <v>0.25469387755102041</v>
      </c>
    </row>
    <row r="850" spans="4:6" x14ac:dyDescent="0.2">
      <c r="D850" s="2">
        <v>454</v>
      </c>
      <c r="F850" s="2">
        <f t="shared" si="18"/>
        <v>0.37061224489795913</v>
      </c>
    </row>
    <row r="851" spans="4:6" x14ac:dyDescent="0.2">
      <c r="D851" s="2">
        <v>399</v>
      </c>
      <c r="F851" s="2">
        <f t="shared" si="18"/>
        <v>0.32571428571428568</v>
      </c>
    </row>
    <row r="852" spans="4:6" x14ac:dyDescent="0.2">
      <c r="D852" s="2">
        <v>581</v>
      </c>
      <c r="F852" s="2">
        <f t="shared" si="18"/>
        <v>0.47428571428571425</v>
      </c>
    </row>
    <row r="853" spans="4:6" x14ac:dyDescent="0.2">
      <c r="D853" s="2">
        <v>6270</v>
      </c>
      <c r="F853" s="2">
        <f t="shared" si="18"/>
        <v>5.1183673469387747</v>
      </c>
    </row>
    <row r="854" spans="4:6" x14ac:dyDescent="0.2">
      <c r="D854" s="2">
        <v>1060</v>
      </c>
      <c r="F854" s="2">
        <f t="shared" si="18"/>
        <v>0.86530612244897953</v>
      </c>
    </row>
    <row r="855" spans="4:6" x14ac:dyDescent="0.2">
      <c r="D855" s="2">
        <v>442</v>
      </c>
      <c r="F855" s="2">
        <f t="shared" si="18"/>
        <v>0.36081632653061224</v>
      </c>
    </row>
    <row r="856" spans="4:6" x14ac:dyDescent="0.2">
      <c r="D856" s="2">
        <v>816</v>
      </c>
      <c r="F856" s="2">
        <f t="shared" si="18"/>
        <v>0.66612244897959183</v>
      </c>
    </row>
    <row r="857" spans="4:6" x14ac:dyDescent="0.2">
      <c r="D857" s="2">
        <v>566</v>
      </c>
      <c r="F857" s="2">
        <f t="shared" si="18"/>
        <v>0.4620408163265306</v>
      </c>
    </row>
    <row r="858" spans="4:6" x14ac:dyDescent="0.2">
      <c r="D858" s="2">
        <v>288</v>
      </c>
      <c r="F858" s="2">
        <f t="shared" si="18"/>
        <v>0.23510204081632652</v>
      </c>
    </row>
    <row r="859" spans="4:6" x14ac:dyDescent="0.2">
      <c r="D859" s="2">
        <v>232</v>
      </c>
      <c r="F859" s="2">
        <f t="shared" si="18"/>
        <v>0.18938775510204081</v>
      </c>
    </row>
    <row r="860" spans="4:6" x14ac:dyDescent="0.2">
      <c r="D860" s="2">
        <v>881</v>
      </c>
      <c r="F860" s="2">
        <f t="shared" si="18"/>
        <v>0.71918367346938772</v>
      </c>
    </row>
    <row r="861" spans="4:6" x14ac:dyDescent="0.2">
      <c r="D861" s="2">
        <v>434</v>
      </c>
      <c r="F861" s="2">
        <f t="shared" si="18"/>
        <v>0.35428571428571426</v>
      </c>
    </row>
    <row r="862" spans="4:6" x14ac:dyDescent="0.2">
      <c r="D862" s="2">
        <v>757</v>
      </c>
      <c r="F862" s="2">
        <f t="shared" si="18"/>
        <v>0.61795918367346936</v>
      </c>
    </row>
    <row r="863" spans="4:6" x14ac:dyDescent="0.2">
      <c r="D863" s="2">
        <v>2080</v>
      </c>
      <c r="F863" s="2">
        <f t="shared" si="18"/>
        <v>1.6979591836734691</v>
      </c>
    </row>
    <row r="864" spans="4:6" x14ac:dyDescent="0.2">
      <c r="D864" s="2">
        <v>457</v>
      </c>
      <c r="F864" s="2">
        <f t="shared" si="18"/>
        <v>0.3730612244897959</v>
      </c>
    </row>
    <row r="865" spans="4:6" x14ac:dyDescent="0.2">
      <c r="D865" s="2">
        <v>437</v>
      </c>
      <c r="F865" s="2">
        <f t="shared" si="18"/>
        <v>0.35673469387755097</v>
      </c>
    </row>
    <row r="866" spans="4:6" x14ac:dyDescent="0.2">
      <c r="D866" s="2">
        <v>7130</v>
      </c>
      <c r="F866" s="2">
        <f t="shared" si="18"/>
        <v>5.8204081632653057</v>
      </c>
    </row>
    <row r="867" spans="4:6" x14ac:dyDescent="0.2">
      <c r="D867" s="2">
        <v>412000</v>
      </c>
      <c r="F867" s="2">
        <f t="shared" si="18"/>
        <v>336.32653061224488</v>
      </c>
    </row>
    <row r="868" spans="4:6" x14ac:dyDescent="0.2">
      <c r="D868" s="2">
        <v>684000</v>
      </c>
      <c r="F868" s="2">
        <f t="shared" si="18"/>
        <v>558.36734693877554</v>
      </c>
    </row>
    <row r="869" spans="4:6" x14ac:dyDescent="0.2">
      <c r="D869" s="2">
        <v>7760</v>
      </c>
      <c r="F869" s="2">
        <f t="shared" ref="F869:F932" si="19">D869/1.225/1000</f>
        <v>6.33469387755102</v>
      </c>
    </row>
    <row r="870" spans="4:6" x14ac:dyDescent="0.2">
      <c r="D870" s="2">
        <v>7510</v>
      </c>
      <c r="F870" s="2">
        <f t="shared" si="19"/>
        <v>6.130612244897959</v>
      </c>
    </row>
    <row r="871" spans="4:6" x14ac:dyDescent="0.2">
      <c r="D871" s="2">
        <v>10900</v>
      </c>
      <c r="F871" s="2">
        <f t="shared" si="19"/>
        <v>8.8979591836734695</v>
      </c>
    </row>
    <row r="872" spans="4:6" x14ac:dyDescent="0.2">
      <c r="D872" s="2">
        <v>7190</v>
      </c>
      <c r="F872" s="2">
        <f t="shared" si="19"/>
        <v>5.8693877551020401</v>
      </c>
    </row>
    <row r="873" spans="4:6" x14ac:dyDescent="0.2">
      <c r="D873" s="2">
        <v>27000</v>
      </c>
      <c r="F873" s="2">
        <f t="shared" si="19"/>
        <v>22.04081632653061</v>
      </c>
    </row>
    <row r="874" spans="4:6" x14ac:dyDescent="0.2">
      <c r="D874" s="2">
        <v>6530</v>
      </c>
      <c r="F874" s="2">
        <f t="shared" si="19"/>
        <v>5.3306122448979583</v>
      </c>
    </row>
    <row r="875" spans="4:6" x14ac:dyDescent="0.2">
      <c r="D875" s="2">
        <v>15300</v>
      </c>
      <c r="F875" s="2">
        <f t="shared" si="19"/>
        <v>12.489795918367346</v>
      </c>
    </row>
    <row r="876" spans="4:6" x14ac:dyDescent="0.2">
      <c r="D876" s="2">
        <v>7880</v>
      </c>
      <c r="F876" s="2">
        <f t="shared" si="19"/>
        <v>6.4326530612244897</v>
      </c>
    </row>
    <row r="877" spans="4:6" x14ac:dyDescent="0.2">
      <c r="D877" s="2">
        <v>10300</v>
      </c>
      <c r="F877" s="2">
        <f t="shared" si="19"/>
        <v>8.408163265306122</v>
      </c>
    </row>
    <row r="878" spans="4:6" x14ac:dyDescent="0.2">
      <c r="D878" s="2">
        <v>9530</v>
      </c>
      <c r="F878" s="2">
        <f t="shared" si="19"/>
        <v>7.779591836734693</v>
      </c>
    </row>
    <row r="879" spans="4:6" x14ac:dyDescent="0.2">
      <c r="D879" s="2">
        <v>21100</v>
      </c>
      <c r="F879" s="2">
        <f t="shared" si="19"/>
        <v>17.224489795918366</v>
      </c>
    </row>
    <row r="880" spans="4:6" x14ac:dyDescent="0.2">
      <c r="D880" s="2">
        <v>47300</v>
      </c>
      <c r="F880" s="2">
        <f t="shared" si="19"/>
        <v>38.612244897959179</v>
      </c>
    </row>
    <row r="881" spans="4:6" x14ac:dyDescent="0.2">
      <c r="D881" s="2">
        <v>14600</v>
      </c>
      <c r="F881" s="2">
        <f t="shared" si="19"/>
        <v>11.918367346938775</v>
      </c>
    </row>
    <row r="882" spans="4:6" x14ac:dyDescent="0.2">
      <c r="D882" s="2">
        <v>9020</v>
      </c>
      <c r="F882" s="2">
        <f t="shared" si="19"/>
        <v>7.3632653061224485</v>
      </c>
    </row>
    <row r="883" spans="4:6" x14ac:dyDescent="0.2">
      <c r="D883" s="2">
        <v>18200</v>
      </c>
      <c r="F883" s="2">
        <f t="shared" si="19"/>
        <v>14.857142857142858</v>
      </c>
    </row>
    <row r="884" spans="4:6" x14ac:dyDescent="0.2">
      <c r="D884" s="2">
        <v>13300</v>
      </c>
      <c r="F884" s="2">
        <f t="shared" si="19"/>
        <v>10.857142857142858</v>
      </c>
    </row>
    <row r="885" spans="4:6" x14ac:dyDescent="0.2">
      <c r="D885" s="2">
        <v>10100</v>
      </c>
      <c r="F885" s="2">
        <f t="shared" si="19"/>
        <v>8.2448979591836729</v>
      </c>
    </row>
    <row r="886" spans="4:6" x14ac:dyDescent="0.2">
      <c r="D886" s="2">
        <v>8730</v>
      </c>
      <c r="F886" s="2">
        <f t="shared" si="19"/>
        <v>7.1265306122448973</v>
      </c>
    </row>
    <row r="887" spans="4:6" x14ac:dyDescent="0.2">
      <c r="D887" s="2">
        <v>14100</v>
      </c>
      <c r="F887" s="2">
        <f t="shared" si="19"/>
        <v>11.510204081632653</v>
      </c>
    </row>
    <row r="888" spans="4:6" x14ac:dyDescent="0.2">
      <c r="D888" s="2">
        <v>9400</v>
      </c>
      <c r="F888" s="2">
        <f t="shared" si="19"/>
        <v>7.6734693877551017</v>
      </c>
    </row>
    <row r="889" spans="4:6" x14ac:dyDescent="0.2">
      <c r="D889" s="2">
        <v>42600</v>
      </c>
      <c r="F889" s="2">
        <f t="shared" si="19"/>
        <v>34.775510204081627</v>
      </c>
    </row>
    <row r="890" spans="4:6" x14ac:dyDescent="0.2">
      <c r="D890" s="2">
        <v>12000</v>
      </c>
      <c r="F890" s="2">
        <f t="shared" si="19"/>
        <v>9.7959183673469372</v>
      </c>
    </row>
    <row r="891" spans="4:6" x14ac:dyDescent="0.2">
      <c r="D891" s="2">
        <v>13900</v>
      </c>
      <c r="F891" s="2">
        <f t="shared" si="19"/>
        <v>11.346938775510203</v>
      </c>
    </row>
    <row r="892" spans="4:6" x14ac:dyDescent="0.2">
      <c r="D892" s="2">
        <v>21400</v>
      </c>
      <c r="F892" s="2">
        <f t="shared" si="19"/>
        <v>17.469387755102037</v>
      </c>
    </row>
    <row r="893" spans="4:6" x14ac:dyDescent="0.2">
      <c r="D893" s="2">
        <v>56.2</v>
      </c>
      <c r="F893" s="2">
        <f t="shared" si="19"/>
        <v>4.5877551020408164E-2</v>
      </c>
    </row>
    <row r="894" spans="4:6" x14ac:dyDescent="0.2">
      <c r="D894" s="2">
        <v>64000</v>
      </c>
      <c r="F894" s="2">
        <f t="shared" si="19"/>
        <v>52.244897959183668</v>
      </c>
    </row>
    <row r="895" spans="4:6" x14ac:dyDescent="0.2">
      <c r="D895" s="2">
        <v>223000</v>
      </c>
      <c r="F895" s="2">
        <f t="shared" si="19"/>
        <v>182.0408163265306</v>
      </c>
    </row>
    <row r="896" spans="4:6" x14ac:dyDescent="0.2">
      <c r="D896" s="2">
        <v>75.900000000000006</v>
      </c>
      <c r="F896" s="2">
        <f t="shared" si="19"/>
        <v>6.1959183673469392E-2</v>
      </c>
    </row>
    <row r="897" spans="4:6" x14ac:dyDescent="0.2">
      <c r="D897" s="2">
        <v>89.9</v>
      </c>
      <c r="F897" s="2">
        <f t="shared" si="19"/>
        <v>7.3387755102040819E-2</v>
      </c>
    </row>
    <row r="898" spans="4:6" x14ac:dyDescent="0.2">
      <c r="D898" s="2">
        <v>76.7</v>
      </c>
      <c r="F898" s="2">
        <f t="shared" si="19"/>
        <v>6.2612244897959177E-2</v>
      </c>
    </row>
    <row r="899" spans="4:6" x14ac:dyDescent="0.2">
      <c r="D899" s="2">
        <v>95</v>
      </c>
      <c r="F899" s="2">
        <f t="shared" si="19"/>
        <v>7.7551020408163251E-2</v>
      </c>
    </row>
    <row r="900" spans="4:6" x14ac:dyDescent="0.2">
      <c r="D900" s="2">
        <v>215</v>
      </c>
      <c r="F900" s="2">
        <f t="shared" si="19"/>
        <v>0.17551020408163265</v>
      </c>
    </row>
    <row r="901" spans="4:6" x14ac:dyDescent="0.2">
      <c r="D901" s="2">
        <v>82.8</v>
      </c>
      <c r="F901" s="2">
        <f t="shared" si="19"/>
        <v>6.7591836734693878E-2</v>
      </c>
    </row>
    <row r="902" spans="4:6" x14ac:dyDescent="0.2">
      <c r="D902" s="2">
        <v>154</v>
      </c>
      <c r="F902" s="2">
        <f t="shared" si="19"/>
        <v>0.1257142857142857</v>
      </c>
    </row>
    <row r="903" spans="4:6" x14ac:dyDescent="0.2">
      <c r="D903" s="2">
        <v>77</v>
      </c>
      <c r="F903" s="2">
        <f t="shared" si="19"/>
        <v>6.2857142857142848E-2</v>
      </c>
    </row>
    <row r="904" spans="4:6" x14ac:dyDescent="0.2">
      <c r="D904" s="2">
        <v>427</v>
      </c>
      <c r="F904" s="2">
        <f t="shared" si="19"/>
        <v>0.34857142857142853</v>
      </c>
    </row>
    <row r="905" spans="4:6" x14ac:dyDescent="0.2">
      <c r="D905" s="2">
        <v>129</v>
      </c>
      <c r="F905" s="2">
        <f t="shared" si="19"/>
        <v>0.10530612244897958</v>
      </c>
    </row>
    <row r="906" spans="4:6" x14ac:dyDescent="0.2">
      <c r="D906" s="2">
        <v>147</v>
      </c>
      <c r="F906" s="2">
        <f t="shared" si="19"/>
        <v>0.11999999999999998</v>
      </c>
    </row>
    <row r="907" spans="4:6" x14ac:dyDescent="0.2">
      <c r="D907" s="2">
        <v>478</v>
      </c>
      <c r="F907" s="2">
        <f t="shared" si="19"/>
        <v>0.39020408163265302</v>
      </c>
    </row>
    <row r="908" spans="4:6" x14ac:dyDescent="0.2">
      <c r="D908" s="2">
        <v>383</v>
      </c>
      <c r="F908" s="2">
        <f t="shared" si="19"/>
        <v>0.31265306122448977</v>
      </c>
    </row>
    <row r="909" spans="4:6" x14ac:dyDescent="0.2">
      <c r="D909" s="2">
        <v>291</v>
      </c>
      <c r="F909" s="2">
        <f t="shared" si="19"/>
        <v>0.23755102040816325</v>
      </c>
    </row>
    <row r="910" spans="4:6" x14ac:dyDescent="0.2">
      <c r="D910" s="2">
        <v>258</v>
      </c>
      <c r="F910" s="2">
        <f t="shared" si="19"/>
        <v>0.21061224489795916</v>
      </c>
    </row>
    <row r="911" spans="4:6" x14ac:dyDescent="0.2">
      <c r="D911" s="2">
        <v>187</v>
      </c>
      <c r="F911" s="2">
        <f t="shared" si="19"/>
        <v>0.15265306122448979</v>
      </c>
    </row>
    <row r="912" spans="4:6" x14ac:dyDescent="0.2">
      <c r="D912" s="2">
        <v>1800</v>
      </c>
      <c r="F912" s="2">
        <f t="shared" si="19"/>
        <v>1.4693877551020407</v>
      </c>
    </row>
    <row r="913" spans="4:6" x14ac:dyDescent="0.2">
      <c r="D913" s="2">
        <v>383</v>
      </c>
      <c r="F913" s="2">
        <f t="shared" si="19"/>
        <v>0.31265306122448977</v>
      </c>
    </row>
    <row r="914" spans="4:6" x14ac:dyDescent="0.2">
      <c r="D914" s="2">
        <v>261</v>
      </c>
      <c r="F914" s="2">
        <f t="shared" si="19"/>
        <v>0.21306122448979589</v>
      </c>
    </row>
    <row r="915" spans="4:6" x14ac:dyDescent="0.2">
      <c r="D915" s="2">
        <v>190</v>
      </c>
      <c r="F915" s="2">
        <f t="shared" si="19"/>
        <v>0.1551020408163265</v>
      </c>
    </row>
    <row r="916" spans="4:6" x14ac:dyDescent="0.2">
      <c r="D916" s="2">
        <v>169</v>
      </c>
      <c r="F916" s="2">
        <f t="shared" si="19"/>
        <v>0.13795918367346938</v>
      </c>
    </row>
    <row r="917" spans="4:6" x14ac:dyDescent="0.2">
      <c r="D917" s="2">
        <v>230</v>
      </c>
      <c r="F917" s="2">
        <f t="shared" si="19"/>
        <v>0.18775510204081633</v>
      </c>
    </row>
    <row r="918" spans="4:6" x14ac:dyDescent="0.2">
      <c r="D918" s="2">
        <v>155</v>
      </c>
      <c r="F918" s="2">
        <f t="shared" si="19"/>
        <v>0.12653061224489795</v>
      </c>
    </row>
    <row r="919" spans="4:6" x14ac:dyDescent="0.2">
      <c r="D919" s="2">
        <v>142</v>
      </c>
      <c r="F919" s="2">
        <f t="shared" si="19"/>
        <v>0.11591836734693876</v>
      </c>
    </row>
    <row r="920" spans="4:6" x14ac:dyDescent="0.2">
      <c r="D920" s="2">
        <v>291000</v>
      </c>
      <c r="F920" s="2">
        <f t="shared" si="19"/>
        <v>237.55102040816325</v>
      </c>
    </row>
    <row r="921" spans="4:6" x14ac:dyDescent="0.2">
      <c r="D921" s="2">
        <v>640000</v>
      </c>
      <c r="F921" s="2">
        <f t="shared" si="19"/>
        <v>522.44897959183663</v>
      </c>
    </row>
    <row r="922" spans="4:6" x14ac:dyDescent="0.2">
      <c r="D922" s="2">
        <v>829000</v>
      </c>
      <c r="F922" s="2">
        <f t="shared" si="19"/>
        <v>676.73469387755097</v>
      </c>
    </row>
    <row r="923" spans="4:6" x14ac:dyDescent="0.2">
      <c r="D923" s="2">
        <v>250000</v>
      </c>
      <c r="F923" s="2">
        <f t="shared" si="19"/>
        <v>204.08163265306121</v>
      </c>
    </row>
    <row r="924" spans="4:6" x14ac:dyDescent="0.2">
      <c r="D924" s="2">
        <v>128000</v>
      </c>
      <c r="F924" s="2">
        <f t="shared" si="19"/>
        <v>104.48979591836734</v>
      </c>
    </row>
    <row r="925" spans="4:6" x14ac:dyDescent="0.2">
      <c r="D925" s="2">
        <v>318000</v>
      </c>
      <c r="F925" s="2">
        <f t="shared" si="19"/>
        <v>259.59183673469386</v>
      </c>
    </row>
    <row r="926" spans="4:6" x14ac:dyDescent="0.2">
      <c r="D926" s="2">
        <v>126000</v>
      </c>
      <c r="F926" s="2">
        <f t="shared" si="19"/>
        <v>102.85714285714286</v>
      </c>
    </row>
    <row r="927" spans="4:6" x14ac:dyDescent="0.2">
      <c r="D927" s="2">
        <v>155000</v>
      </c>
      <c r="F927" s="2">
        <f t="shared" si="19"/>
        <v>126.53061224489794</v>
      </c>
    </row>
    <row r="928" spans="4:6" x14ac:dyDescent="0.2">
      <c r="D928" s="2">
        <v>290000</v>
      </c>
      <c r="F928" s="2">
        <f t="shared" si="19"/>
        <v>236.734693877551</v>
      </c>
    </row>
    <row r="929" spans="4:6" x14ac:dyDescent="0.2">
      <c r="D929" s="2">
        <v>286000</v>
      </c>
      <c r="F929" s="2">
        <f t="shared" si="19"/>
        <v>233.46938775510202</v>
      </c>
    </row>
    <row r="930" spans="4:6" x14ac:dyDescent="0.2">
      <c r="D930" s="2">
        <v>315000</v>
      </c>
      <c r="F930" s="2">
        <f t="shared" si="19"/>
        <v>257.14285714285711</v>
      </c>
    </row>
    <row r="931" spans="4:6" x14ac:dyDescent="0.2">
      <c r="D931" s="2">
        <v>262000</v>
      </c>
      <c r="F931" s="2">
        <f t="shared" si="19"/>
        <v>213.87755102040813</v>
      </c>
    </row>
    <row r="932" spans="4:6" x14ac:dyDescent="0.2">
      <c r="D932" s="2">
        <v>339000</v>
      </c>
      <c r="F932" s="2">
        <f t="shared" si="19"/>
        <v>276.73469387755102</v>
      </c>
    </row>
    <row r="933" spans="4:6" x14ac:dyDescent="0.2">
      <c r="D933" s="2">
        <v>221000</v>
      </c>
      <c r="F933" s="2">
        <f t="shared" ref="F933:F996" si="20">D933/1.225/1000</f>
        <v>180.40816326530609</v>
      </c>
    </row>
    <row r="934" spans="4:6" x14ac:dyDescent="0.2">
      <c r="D934" s="2">
        <v>105000</v>
      </c>
      <c r="F934" s="2">
        <f t="shared" si="20"/>
        <v>85.714285714285708</v>
      </c>
    </row>
    <row r="935" spans="4:6" x14ac:dyDescent="0.2">
      <c r="D935" s="2">
        <v>298000</v>
      </c>
      <c r="F935" s="2">
        <f t="shared" si="20"/>
        <v>243.26530612244898</v>
      </c>
    </row>
    <row r="936" spans="4:6" x14ac:dyDescent="0.2">
      <c r="D936" s="2">
        <v>336000</v>
      </c>
      <c r="F936" s="2">
        <f t="shared" si="20"/>
        <v>274.28571428571428</v>
      </c>
    </row>
    <row r="937" spans="4:6" x14ac:dyDescent="0.2">
      <c r="D937" s="2">
        <v>343000</v>
      </c>
      <c r="F937" s="2">
        <f t="shared" si="20"/>
        <v>280</v>
      </c>
    </row>
    <row r="938" spans="4:6" x14ac:dyDescent="0.2">
      <c r="D938" s="2">
        <v>322000</v>
      </c>
      <c r="F938" s="2">
        <f t="shared" si="20"/>
        <v>262.85714285714283</v>
      </c>
    </row>
    <row r="939" spans="4:6" x14ac:dyDescent="0.2">
      <c r="D939" s="2">
        <v>211000</v>
      </c>
      <c r="F939" s="2">
        <f t="shared" si="20"/>
        <v>172.24489795918367</v>
      </c>
    </row>
    <row r="940" spans="4:6" x14ac:dyDescent="0.2">
      <c r="D940" s="2">
        <v>291000</v>
      </c>
      <c r="F940" s="2">
        <f t="shared" si="20"/>
        <v>237.55102040816325</v>
      </c>
    </row>
    <row r="941" spans="4:6" x14ac:dyDescent="0.2">
      <c r="D941" s="2">
        <v>253000</v>
      </c>
      <c r="F941" s="2">
        <f t="shared" si="20"/>
        <v>206.53061224489795</v>
      </c>
    </row>
    <row r="942" spans="4:6" x14ac:dyDescent="0.2">
      <c r="D942" s="2">
        <v>340000</v>
      </c>
      <c r="F942" s="2">
        <f t="shared" si="20"/>
        <v>277.55102040816325</v>
      </c>
    </row>
    <row r="943" spans="4:6" x14ac:dyDescent="0.2">
      <c r="D943" s="2">
        <v>0</v>
      </c>
      <c r="F943" s="2">
        <f t="shared" si="20"/>
        <v>0</v>
      </c>
    </row>
    <row r="944" spans="4:6" x14ac:dyDescent="0.2">
      <c r="D944" s="2">
        <v>158000</v>
      </c>
      <c r="F944" s="2">
        <f t="shared" si="20"/>
        <v>128.9795918367347</v>
      </c>
    </row>
    <row r="945" spans="4:6" x14ac:dyDescent="0.2">
      <c r="D945" s="2">
        <v>347000</v>
      </c>
      <c r="F945" s="2">
        <f t="shared" si="20"/>
        <v>283.26530612244892</v>
      </c>
    </row>
    <row r="946" spans="4:6" x14ac:dyDescent="0.2">
      <c r="D946" s="2">
        <v>330000</v>
      </c>
      <c r="F946" s="2">
        <f t="shared" si="20"/>
        <v>269.38775510204079</v>
      </c>
    </row>
    <row r="947" spans="4:6" x14ac:dyDescent="0.2">
      <c r="D947" s="2">
        <v>5580</v>
      </c>
      <c r="F947" s="2">
        <f t="shared" si="20"/>
        <v>4.5551020408163261</v>
      </c>
    </row>
    <row r="948" spans="4:6" x14ac:dyDescent="0.2">
      <c r="D948" s="2">
        <v>25500</v>
      </c>
      <c r="F948" s="2">
        <f t="shared" si="20"/>
        <v>20.816326530612244</v>
      </c>
    </row>
    <row r="949" spans="4:6" x14ac:dyDescent="0.2">
      <c r="D949" s="2">
        <v>15800</v>
      </c>
      <c r="F949" s="2">
        <f t="shared" si="20"/>
        <v>12.897959183673469</v>
      </c>
    </row>
    <row r="950" spans="4:6" x14ac:dyDescent="0.2">
      <c r="D950" s="2">
        <v>1160</v>
      </c>
      <c r="F950" s="2">
        <f t="shared" si="20"/>
        <v>0.946938775510204</v>
      </c>
    </row>
    <row r="951" spans="4:6" x14ac:dyDescent="0.2">
      <c r="D951" s="2">
        <v>3180</v>
      </c>
      <c r="F951" s="2">
        <f t="shared" si="20"/>
        <v>2.5959183673469388</v>
      </c>
    </row>
    <row r="952" spans="4:6" x14ac:dyDescent="0.2">
      <c r="D952" s="2">
        <v>6650</v>
      </c>
      <c r="F952" s="2">
        <f t="shared" si="20"/>
        <v>5.4285714285714288</v>
      </c>
    </row>
    <row r="953" spans="4:6" x14ac:dyDescent="0.2">
      <c r="D953" s="2">
        <v>302</v>
      </c>
      <c r="F953" s="2">
        <f t="shared" si="20"/>
        <v>0.24653061224489795</v>
      </c>
    </row>
    <row r="954" spans="4:6" x14ac:dyDescent="0.2">
      <c r="D954" s="2">
        <v>1300</v>
      </c>
      <c r="F954" s="2">
        <f t="shared" si="20"/>
        <v>1.0612244897959182</v>
      </c>
    </row>
    <row r="955" spans="4:6" x14ac:dyDescent="0.2">
      <c r="D955" s="2">
        <v>133000</v>
      </c>
      <c r="F955" s="2">
        <f t="shared" si="20"/>
        <v>108.57142857142857</v>
      </c>
    </row>
    <row r="956" spans="4:6" x14ac:dyDescent="0.2">
      <c r="D956" s="2">
        <v>30800</v>
      </c>
      <c r="F956" s="2">
        <f t="shared" si="20"/>
        <v>25.142857142857142</v>
      </c>
    </row>
    <row r="957" spans="4:6" x14ac:dyDescent="0.2">
      <c r="D957" s="2">
        <v>3590</v>
      </c>
      <c r="F957" s="2">
        <f t="shared" si="20"/>
        <v>2.9306122448979592</v>
      </c>
    </row>
    <row r="958" spans="4:6" x14ac:dyDescent="0.2">
      <c r="D958" s="2">
        <v>5750</v>
      </c>
      <c r="F958" s="2">
        <f t="shared" si="20"/>
        <v>4.6938775510204076</v>
      </c>
    </row>
    <row r="959" spans="4:6" x14ac:dyDescent="0.2">
      <c r="D959" s="2">
        <v>2660</v>
      </c>
      <c r="F959" s="2">
        <f t="shared" si="20"/>
        <v>2.1714285714285713</v>
      </c>
    </row>
    <row r="960" spans="4:6" x14ac:dyDescent="0.2">
      <c r="D960" s="2">
        <v>645</v>
      </c>
      <c r="F960" s="2">
        <f t="shared" si="20"/>
        <v>0.52653061224489794</v>
      </c>
    </row>
    <row r="961" spans="4:6" x14ac:dyDescent="0.2">
      <c r="D961" s="2">
        <v>3460</v>
      </c>
      <c r="F961" s="2">
        <f t="shared" si="20"/>
        <v>2.824489795918367</v>
      </c>
    </row>
    <row r="962" spans="4:6" x14ac:dyDescent="0.2">
      <c r="D962" s="2">
        <v>20600</v>
      </c>
      <c r="F962" s="2">
        <f t="shared" si="20"/>
        <v>16.816326530612244</v>
      </c>
    </row>
    <row r="963" spans="4:6" x14ac:dyDescent="0.2">
      <c r="D963" s="2">
        <v>1850</v>
      </c>
      <c r="F963" s="2">
        <f t="shared" si="20"/>
        <v>1.510204081632653</v>
      </c>
    </row>
    <row r="964" spans="4:6" x14ac:dyDescent="0.2">
      <c r="D964" s="2">
        <v>6270</v>
      </c>
      <c r="F964" s="2">
        <f t="shared" si="20"/>
        <v>5.1183673469387747</v>
      </c>
    </row>
    <row r="965" spans="4:6" x14ac:dyDescent="0.2">
      <c r="D965" s="2">
        <v>4290</v>
      </c>
      <c r="F965" s="2">
        <f t="shared" si="20"/>
        <v>3.50204081632653</v>
      </c>
    </row>
    <row r="966" spans="4:6" x14ac:dyDescent="0.2">
      <c r="D966" s="2">
        <v>56900</v>
      </c>
      <c r="F966" s="2">
        <f t="shared" si="20"/>
        <v>46.448979591836732</v>
      </c>
    </row>
    <row r="967" spans="4:6" x14ac:dyDescent="0.2">
      <c r="D967" s="2">
        <v>10200</v>
      </c>
      <c r="F967" s="2">
        <f t="shared" si="20"/>
        <v>8.3265306122448965</v>
      </c>
    </row>
    <row r="968" spans="4:6" x14ac:dyDescent="0.2">
      <c r="D968" s="2">
        <v>2490</v>
      </c>
      <c r="F968" s="2">
        <f t="shared" si="20"/>
        <v>2.0326530612244897</v>
      </c>
    </row>
    <row r="969" spans="4:6" x14ac:dyDescent="0.2">
      <c r="D969" s="2">
        <v>2090</v>
      </c>
      <c r="F969" s="2">
        <f t="shared" si="20"/>
        <v>1.7061224489795919</v>
      </c>
    </row>
    <row r="970" spans="4:6" x14ac:dyDescent="0.2">
      <c r="D970" s="2">
        <v>1010</v>
      </c>
      <c r="F970" s="2">
        <f t="shared" si="20"/>
        <v>0.82448979591836724</v>
      </c>
    </row>
    <row r="971" spans="4:6" x14ac:dyDescent="0.2">
      <c r="D971" s="2">
        <v>3100</v>
      </c>
      <c r="F971" s="2">
        <f t="shared" si="20"/>
        <v>2.5306122448979589</v>
      </c>
    </row>
    <row r="972" spans="4:6" x14ac:dyDescent="0.2">
      <c r="D972" s="2">
        <v>1090</v>
      </c>
      <c r="F972" s="2">
        <f t="shared" si="20"/>
        <v>0.88979591836734684</v>
      </c>
    </row>
    <row r="973" spans="4:6" x14ac:dyDescent="0.2">
      <c r="D973" s="2">
        <v>5670</v>
      </c>
      <c r="F973" s="2">
        <f t="shared" si="20"/>
        <v>4.6285714285714281</v>
      </c>
    </row>
    <row r="974" spans="4:6" x14ac:dyDescent="0.2">
      <c r="D974" s="2">
        <v>396000</v>
      </c>
      <c r="F974" s="2">
        <f t="shared" si="20"/>
        <v>323.26530612244892</v>
      </c>
    </row>
    <row r="975" spans="4:6" x14ac:dyDescent="0.2">
      <c r="D975" s="2">
        <v>148000</v>
      </c>
      <c r="F975" s="2">
        <f t="shared" si="20"/>
        <v>120.81632653061223</v>
      </c>
    </row>
    <row r="976" spans="4:6" x14ac:dyDescent="0.2">
      <c r="D976" s="2">
        <v>209000</v>
      </c>
      <c r="F976" s="2">
        <f t="shared" si="20"/>
        <v>170.61224489795916</v>
      </c>
    </row>
    <row r="977" spans="4:6" x14ac:dyDescent="0.2">
      <c r="D977" s="2">
        <v>73600</v>
      </c>
      <c r="F977" s="2">
        <f t="shared" si="20"/>
        <v>60.08163265306122</v>
      </c>
    </row>
    <row r="978" spans="4:6" x14ac:dyDescent="0.2">
      <c r="D978" s="2">
        <v>32900</v>
      </c>
      <c r="F978" s="2">
        <f t="shared" si="20"/>
        <v>26.857142857142854</v>
      </c>
    </row>
    <row r="979" spans="4:6" x14ac:dyDescent="0.2">
      <c r="D979" s="2">
        <v>48200</v>
      </c>
      <c r="F979" s="2">
        <f t="shared" si="20"/>
        <v>39.346938775510196</v>
      </c>
    </row>
    <row r="980" spans="4:6" x14ac:dyDescent="0.2">
      <c r="D980" s="2">
        <v>219000</v>
      </c>
      <c r="F980" s="2">
        <f t="shared" si="20"/>
        <v>178.77551020408163</v>
      </c>
    </row>
    <row r="981" spans="4:6" x14ac:dyDescent="0.2">
      <c r="D981" s="2">
        <v>191000</v>
      </c>
      <c r="F981" s="2">
        <f t="shared" si="20"/>
        <v>155.91836734693877</v>
      </c>
    </row>
    <row r="982" spans="4:6" x14ac:dyDescent="0.2">
      <c r="D982" s="2">
        <v>84400</v>
      </c>
      <c r="F982" s="2">
        <f t="shared" si="20"/>
        <v>68.897959183673464</v>
      </c>
    </row>
    <row r="983" spans="4:6" x14ac:dyDescent="0.2">
      <c r="D983" s="2">
        <v>480000</v>
      </c>
      <c r="F983" s="2">
        <f t="shared" si="20"/>
        <v>391.83673469387753</v>
      </c>
    </row>
    <row r="984" spans="4:6" x14ac:dyDescent="0.2">
      <c r="D984" s="2">
        <v>441000</v>
      </c>
      <c r="F984" s="2">
        <f t="shared" si="20"/>
        <v>360</v>
      </c>
    </row>
    <row r="985" spans="4:6" x14ac:dyDescent="0.2">
      <c r="D985" s="2">
        <v>264000</v>
      </c>
      <c r="F985" s="2">
        <f t="shared" si="20"/>
        <v>215.51020408163262</v>
      </c>
    </row>
    <row r="986" spans="4:6" x14ac:dyDescent="0.2">
      <c r="D986" s="2">
        <v>363000</v>
      </c>
      <c r="F986" s="2">
        <f t="shared" si="20"/>
        <v>296.32653061224488</v>
      </c>
    </row>
    <row r="987" spans="4:6" x14ac:dyDescent="0.2">
      <c r="D987" s="2">
        <v>362000</v>
      </c>
      <c r="F987" s="2">
        <f t="shared" si="20"/>
        <v>295.51020408163259</v>
      </c>
    </row>
    <row r="988" spans="4:6" x14ac:dyDescent="0.2">
      <c r="D988" s="2">
        <v>237000</v>
      </c>
      <c r="F988" s="2">
        <f t="shared" si="20"/>
        <v>193.46938775510202</v>
      </c>
    </row>
    <row r="989" spans="4:6" x14ac:dyDescent="0.2">
      <c r="D989" s="2">
        <v>580000</v>
      </c>
      <c r="F989" s="2">
        <f t="shared" si="20"/>
        <v>473.46938775510199</v>
      </c>
    </row>
    <row r="990" spans="4:6" x14ac:dyDescent="0.2">
      <c r="D990" s="2">
        <v>764000</v>
      </c>
      <c r="F990" s="2">
        <f t="shared" si="20"/>
        <v>623.67346938775506</v>
      </c>
    </row>
    <row r="991" spans="4:6" x14ac:dyDescent="0.2">
      <c r="D991" s="2">
        <v>1040000</v>
      </c>
      <c r="F991" s="2">
        <f t="shared" si="20"/>
        <v>848.9795918367347</v>
      </c>
    </row>
    <row r="992" spans="4:6" x14ac:dyDescent="0.2">
      <c r="D992" s="2">
        <v>548000</v>
      </c>
      <c r="F992" s="2">
        <f t="shared" si="20"/>
        <v>447.34693877551018</v>
      </c>
    </row>
    <row r="993" spans="4:6" x14ac:dyDescent="0.2">
      <c r="D993" s="2">
        <v>499000</v>
      </c>
      <c r="F993" s="2">
        <f t="shared" si="20"/>
        <v>407.34693877551018</v>
      </c>
    </row>
    <row r="994" spans="4:6" x14ac:dyDescent="0.2">
      <c r="D994" s="2">
        <v>537000</v>
      </c>
      <c r="F994" s="2">
        <f t="shared" si="20"/>
        <v>438.36734693877548</v>
      </c>
    </row>
    <row r="995" spans="4:6" x14ac:dyDescent="0.2">
      <c r="D995" s="2">
        <v>457000</v>
      </c>
      <c r="F995" s="2">
        <f t="shared" si="20"/>
        <v>373.0612244897959</v>
      </c>
    </row>
    <row r="996" spans="4:6" x14ac:dyDescent="0.2">
      <c r="D996" s="2">
        <v>375000</v>
      </c>
      <c r="F996" s="2">
        <f t="shared" si="20"/>
        <v>306.12244897959181</v>
      </c>
    </row>
    <row r="997" spans="4:6" x14ac:dyDescent="0.2">
      <c r="D997" s="2">
        <v>232000</v>
      </c>
      <c r="F997" s="2">
        <f t="shared" ref="F997:F1060" si="21">D997/1.225/1000</f>
        <v>189.38775510204079</v>
      </c>
    </row>
    <row r="998" spans="4:6" x14ac:dyDescent="0.2">
      <c r="D998" s="2">
        <v>131000</v>
      </c>
      <c r="F998" s="2">
        <f t="shared" si="21"/>
        <v>106.93877551020407</v>
      </c>
    </row>
    <row r="999" spans="4:6" x14ac:dyDescent="0.2">
      <c r="D999" s="2">
        <v>628000</v>
      </c>
      <c r="F999" s="2">
        <f t="shared" si="21"/>
        <v>512.65306122448976</v>
      </c>
    </row>
    <row r="1000" spans="4:6" x14ac:dyDescent="0.2">
      <c r="D1000" s="2">
        <v>751000</v>
      </c>
      <c r="F1000" s="2">
        <f t="shared" si="21"/>
        <v>613.0612244897959</v>
      </c>
    </row>
    <row r="1001" spans="4:6" x14ac:dyDescent="0.2">
      <c r="D1001" s="2">
        <v>1520</v>
      </c>
      <c r="F1001" s="2">
        <f t="shared" si="21"/>
        <v>1.240816326530612</v>
      </c>
    </row>
    <row r="1002" spans="4:6" x14ac:dyDescent="0.2">
      <c r="D1002" s="2">
        <v>305000</v>
      </c>
      <c r="F1002" s="2">
        <f t="shared" si="21"/>
        <v>248.97959183673467</v>
      </c>
    </row>
    <row r="1003" spans="4:6" x14ac:dyDescent="0.2">
      <c r="D1003" s="2">
        <v>366000</v>
      </c>
      <c r="F1003" s="2">
        <f t="shared" si="21"/>
        <v>298.77551020408157</v>
      </c>
    </row>
    <row r="1004" spans="4:6" x14ac:dyDescent="0.2">
      <c r="D1004" s="2">
        <v>656</v>
      </c>
      <c r="F1004" s="2">
        <f t="shared" si="21"/>
        <v>0.53551020408163263</v>
      </c>
    </row>
    <row r="1005" spans="4:6" x14ac:dyDescent="0.2">
      <c r="D1005" s="2">
        <v>1480</v>
      </c>
      <c r="F1005" s="2">
        <f t="shared" si="21"/>
        <v>1.2081632653061225</v>
      </c>
    </row>
    <row r="1006" spans="4:6" x14ac:dyDescent="0.2">
      <c r="D1006" s="2">
        <v>551</v>
      </c>
      <c r="F1006" s="2">
        <f t="shared" si="21"/>
        <v>0.44979591836734695</v>
      </c>
    </row>
    <row r="1007" spans="4:6" x14ac:dyDescent="0.2">
      <c r="D1007" s="2">
        <v>289</v>
      </c>
      <c r="F1007" s="2">
        <f t="shared" si="21"/>
        <v>0.23591836734693877</v>
      </c>
    </row>
    <row r="1008" spans="4:6" x14ac:dyDescent="0.2">
      <c r="D1008" s="2">
        <v>1230</v>
      </c>
      <c r="F1008" s="2">
        <f t="shared" si="21"/>
        <v>1.0040816326530613</v>
      </c>
    </row>
    <row r="1009" spans="4:6" x14ac:dyDescent="0.2">
      <c r="D1009" s="2">
        <v>536</v>
      </c>
      <c r="F1009" s="2">
        <f t="shared" si="21"/>
        <v>0.43755102040816324</v>
      </c>
    </row>
    <row r="1010" spans="4:6" x14ac:dyDescent="0.2">
      <c r="D1010" s="2">
        <v>4160</v>
      </c>
      <c r="F1010" s="2">
        <f t="shared" si="21"/>
        <v>3.3959183673469382</v>
      </c>
    </row>
    <row r="1011" spans="4:6" x14ac:dyDescent="0.2">
      <c r="D1011" s="2">
        <v>2620</v>
      </c>
      <c r="F1011" s="2">
        <f t="shared" si="21"/>
        <v>2.1387755102040815</v>
      </c>
    </row>
    <row r="1012" spans="4:6" x14ac:dyDescent="0.2">
      <c r="D1012" s="2">
        <v>3310</v>
      </c>
      <c r="F1012" s="2">
        <f t="shared" si="21"/>
        <v>2.7020408163265306</v>
      </c>
    </row>
    <row r="1013" spans="4:6" x14ac:dyDescent="0.2">
      <c r="D1013" s="2">
        <v>152</v>
      </c>
      <c r="F1013" s="2">
        <f t="shared" si="21"/>
        <v>0.12408163265306121</v>
      </c>
    </row>
    <row r="1014" spans="4:6" x14ac:dyDescent="0.2">
      <c r="D1014" s="2">
        <v>3660</v>
      </c>
      <c r="F1014" s="2">
        <f t="shared" si="21"/>
        <v>2.9877551020408157</v>
      </c>
    </row>
    <row r="1015" spans="4:6" x14ac:dyDescent="0.2">
      <c r="D1015" s="2">
        <v>3860</v>
      </c>
      <c r="F1015" s="2">
        <f t="shared" si="21"/>
        <v>3.1510204081632649</v>
      </c>
    </row>
    <row r="1016" spans="4:6" x14ac:dyDescent="0.2">
      <c r="D1016" s="2">
        <v>7890</v>
      </c>
      <c r="F1016" s="2">
        <f t="shared" si="21"/>
        <v>6.4408163265306122</v>
      </c>
    </row>
    <row r="1017" spans="4:6" x14ac:dyDescent="0.2">
      <c r="D1017" s="2">
        <v>33500</v>
      </c>
      <c r="F1017" s="2">
        <f t="shared" si="21"/>
        <v>27.346938775510203</v>
      </c>
    </row>
    <row r="1018" spans="4:6" x14ac:dyDescent="0.2">
      <c r="D1018" s="2">
        <v>15200</v>
      </c>
      <c r="F1018" s="2">
        <f t="shared" si="21"/>
        <v>12.408163265306122</v>
      </c>
    </row>
    <row r="1019" spans="4:6" x14ac:dyDescent="0.2">
      <c r="D1019" s="2">
        <v>12000</v>
      </c>
      <c r="F1019" s="2">
        <f t="shared" si="21"/>
        <v>9.7959183673469372</v>
      </c>
    </row>
    <row r="1020" spans="4:6" x14ac:dyDescent="0.2">
      <c r="D1020" s="2">
        <v>8180</v>
      </c>
      <c r="F1020" s="2">
        <f t="shared" si="21"/>
        <v>6.6775510204081625</v>
      </c>
    </row>
    <row r="1021" spans="4:6" x14ac:dyDescent="0.2">
      <c r="D1021" s="2">
        <v>8110</v>
      </c>
      <c r="F1021" s="2">
        <f t="shared" si="21"/>
        <v>6.6204081632653065</v>
      </c>
    </row>
    <row r="1022" spans="4:6" x14ac:dyDescent="0.2">
      <c r="D1022" s="2">
        <v>5660</v>
      </c>
      <c r="F1022" s="2">
        <f t="shared" si="21"/>
        <v>4.6204081632653065</v>
      </c>
    </row>
    <row r="1023" spans="4:6" x14ac:dyDescent="0.2">
      <c r="D1023" s="2">
        <v>4580</v>
      </c>
      <c r="F1023" s="2">
        <f t="shared" si="21"/>
        <v>3.7387755102040816</v>
      </c>
    </row>
    <row r="1024" spans="4:6" x14ac:dyDescent="0.2">
      <c r="D1024" s="2">
        <v>3380</v>
      </c>
      <c r="F1024" s="2">
        <f t="shared" si="21"/>
        <v>2.7591836734693875</v>
      </c>
    </row>
    <row r="1025" spans="4:6" x14ac:dyDescent="0.2">
      <c r="D1025" s="2">
        <v>1150</v>
      </c>
      <c r="F1025" s="2">
        <f t="shared" si="21"/>
        <v>0.93877551020408156</v>
      </c>
    </row>
    <row r="1026" spans="4:6" x14ac:dyDescent="0.2">
      <c r="D1026" s="2">
        <v>6780</v>
      </c>
      <c r="F1026" s="2">
        <f t="shared" si="21"/>
        <v>5.5346938775510202</v>
      </c>
    </row>
    <row r="1027" spans="4:6" x14ac:dyDescent="0.2">
      <c r="D1027" s="2">
        <v>161000</v>
      </c>
      <c r="F1027" s="2">
        <f t="shared" si="21"/>
        <v>131.42857142857142</v>
      </c>
    </row>
    <row r="1028" spans="4:6" x14ac:dyDescent="0.2">
      <c r="D1028" s="2">
        <v>4250</v>
      </c>
      <c r="F1028" s="2">
        <f t="shared" si="21"/>
        <v>3.4693877551020407</v>
      </c>
    </row>
    <row r="1029" spans="4:6" x14ac:dyDescent="0.2">
      <c r="D1029" s="2">
        <v>2340</v>
      </c>
      <c r="F1029" s="2">
        <f t="shared" si="21"/>
        <v>1.9102040816326531</v>
      </c>
    </row>
    <row r="1030" spans="4:6" x14ac:dyDescent="0.2">
      <c r="D1030" s="2">
        <v>49000</v>
      </c>
      <c r="F1030" s="2">
        <f t="shared" si="21"/>
        <v>40</v>
      </c>
    </row>
    <row r="1031" spans="4:6" x14ac:dyDescent="0.2">
      <c r="D1031" s="2">
        <v>5420</v>
      </c>
      <c r="F1031" s="2">
        <f t="shared" si="21"/>
        <v>4.4244897959183671</v>
      </c>
    </row>
    <row r="1032" spans="4:6" x14ac:dyDescent="0.2">
      <c r="D1032" s="2">
        <v>4230</v>
      </c>
      <c r="F1032" s="2">
        <f t="shared" si="21"/>
        <v>3.4530612244897956</v>
      </c>
    </row>
    <row r="1033" spans="4:6" x14ac:dyDescent="0.2">
      <c r="D1033" s="2">
        <v>5020</v>
      </c>
      <c r="F1033" s="2">
        <f t="shared" si="21"/>
        <v>4.0979591836734688</v>
      </c>
    </row>
    <row r="1034" spans="4:6" x14ac:dyDescent="0.2">
      <c r="D1034" s="2">
        <v>3800</v>
      </c>
      <c r="F1034" s="2">
        <f t="shared" si="21"/>
        <v>3.1020408163265305</v>
      </c>
    </row>
    <row r="1035" spans="4:6" x14ac:dyDescent="0.2">
      <c r="D1035" s="2">
        <v>5080</v>
      </c>
      <c r="F1035" s="2">
        <f t="shared" si="21"/>
        <v>4.1469387755102032</v>
      </c>
    </row>
    <row r="1036" spans="4:6" x14ac:dyDescent="0.2">
      <c r="D1036" s="2">
        <v>20000</v>
      </c>
      <c r="F1036" s="2">
        <f t="shared" si="21"/>
        <v>16.326530612244895</v>
      </c>
    </row>
    <row r="1037" spans="4:6" x14ac:dyDescent="0.2">
      <c r="D1037" s="2">
        <v>8690</v>
      </c>
      <c r="F1037" s="2">
        <f t="shared" si="21"/>
        <v>7.093877551020408</v>
      </c>
    </row>
    <row r="1038" spans="4:6" x14ac:dyDescent="0.2">
      <c r="D1038" s="2">
        <v>4830</v>
      </c>
      <c r="F1038" s="2">
        <f t="shared" si="21"/>
        <v>3.9428571428571426</v>
      </c>
    </row>
    <row r="1039" spans="4:6" x14ac:dyDescent="0.2">
      <c r="D1039" s="2">
        <v>11600</v>
      </c>
      <c r="F1039" s="2">
        <f t="shared" si="21"/>
        <v>9.4693877551020389</v>
      </c>
    </row>
    <row r="1040" spans="4:6" x14ac:dyDescent="0.2">
      <c r="D1040" s="2">
        <v>8250</v>
      </c>
      <c r="F1040" s="2">
        <f t="shared" si="21"/>
        <v>6.7346938775510194</v>
      </c>
    </row>
    <row r="1041" spans="4:6" x14ac:dyDescent="0.2">
      <c r="D1041" s="2">
        <v>8490</v>
      </c>
      <c r="F1041" s="2">
        <f t="shared" si="21"/>
        <v>6.9306122448979588</v>
      </c>
    </row>
    <row r="1042" spans="4:6" x14ac:dyDescent="0.2">
      <c r="D1042" s="2">
        <v>8330</v>
      </c>
      <c r="F1042" s="2">
        <f t="shared" si="21"/>
        <v>6.7999999999999989</v>
      </c>
    </row>
    <row r="1043" spans="4:6" x14ac:dyDescent="0.2">
      <c r="D1043" s="2">
        <v>20200</v>
      </c>
      <c r="F1043" s="2">
        <f t="shared" si="21"/>
        <v>16.489795918367346</v>
      </c>
    </row>
    <row r="1044" spans="4:6" x14ac:dyDescent="0.2">
      <c r="D1044" s="2">
        <v>5480</v>
      </c>
      <c r="F1044" s="2">
        <f t="shared" si="21"/>
        <v>4.4734693877551015</v>
      </c>
    </row>
    <row r="1045" spans="4:6" x14ac:dyDescent="0.2">
      <c r="D1045" s="2">
        <v>24700</v>
      </c>
      <c r="F1045" s="2">
        <f t="shared" si="21"/>
        <v>20.163265306122447</v>
      </c>
    </row>
    <row r="1046" spans="4:6" x14ac:dyDescent="0.2">
      <c r="D1046" s="2">
        <v>12800</v>
      </c>
      <c r="F1046" s="2">
        <f t="shared" si="21"/>
        <v>10.448979591836734</v>
      </c>
    </row>
    <row r="1047" spans="4:6" x14ac:dyDescent="0.2">
      <c r="D1047" s="2">
        <v>28700</v>
      </c>
      <c r="F1047" s="2">
        <f t="shared" si="21"/>
        <v>23.428571428571427</v>
      </c>
    </row>
    <row r="1048" spans="4:6" x14ac:dyDescent="0.2">
      <c r="D1048" s="2">
        <v>8300</v>
      </c>
      <c r="F1048" s="2">
        <f t="shared" si="21"/>
        <v>6.7755102040816322</v>
      </c>
    </row>
    <row r="1049" spans="4:6" x14ac:dyDescent="0.2">
      <c r="D1049" s="2">
        <v>7910</v>
      </c>
      <c r="F1049" s="2">
        <f t="shared" si="21"/>
        <v>6.4571428571428573</v>
      </c>
    </row>
    <row r="1050" spans="4:6" x14ac:dyDescent="0.2">
      <c r="D1050" s="2">
        <v>4560</v>
      </c>
      <c r="F1050" s="2">
        <f t="shared" si="21"/>
        <v>3.7224489795918365</v>
      </c>
    </row>
    <row r="1051" spans="4:6" x14ac:dyDescent="0.2">
      <c r="D1051" s="2">
        <v>11800</v>
      </c>
      <c r="F1051" s="2">
        <f t="shared" si="21"/>
        <v>9.6326530612244898</v>
      </c>
    </row>
    <row r="1052" spans="4:6" x14ac:dyDescent="0.2">
      <c r="D1052" s="2">
        <v>12900</v>
      </c>
      <c r="F1052" s="2">
        <f t="shared" si="21"/>
        <v>10.530612244897959</v>
      </c>
    </row>
    <row r="1053" spans="4:6" x14ac:dyDescent="0.2">
      <c r="D1053" s="2">
        <v>29100</v>
      </c>
      <c r="F1053" s="2">
        <f t="shared" si="21"/>
        <v>23.755102040816325</v>
      </c>
    </row>
    <row r="1054" spans="4:6" x14ac:dyDescent="0.2">
      <c r="D1054" s="2">
        <v>53200</v>
      </c>
      <c r="F1054" s="2">
        <f t="shared" si="21"/>
        <v>43.428571428571431</v>
      </c>
    </row>
    <row r="1055" spans="4:6" x14ac:dyDescent="0.2">
      <c r="D1055" s="2">
        <v>2390</v>
      </c>
      <c r="F1055" s="2">
        <f t="shared" si="21"/>
        <v>1.9510204081632652</v>
      </c>
    </row>
    <row r="1056" spans="4:6" x14ac:dyDescent="0.2">
      <c r="D1056" s="2">
        <v>1480</v>
      </c>
      <c r="F1056" s="2">
        <f t="shared" si="21"/>
        <v>1.2081632653061225</v>
      </c>
    </row>
    <row r="1057" spans="4:6" x14ac:dyDescent="0.2">
      <c r="D1057" s="2">
        <v>82.2</v>
      </c>
      <c r="F1057" s="2">
        <f t="shared" si="21"/>
        <v>6.7102040816326522E-2</v>
      </c>
    </row>
    <row r="1058" spans="4:6" x14ac:dyDescent="0.2">
      <c r="D1058" s="2">
        <v>1500</v>
      </c>
      <c r="F1058" s="2">
        <f t="shared" si="21"/>
        <v>1.2244897959183672</v>
      </c>
    </row>
    <row r="1059" spans="4:6" x14ac:dyDescent="0.2">
      <c r="D1059" s="2">
        <v>3260</v>
      </c>
      <c r="F1059" s="2">
        <f t="shared" si="21"/>
        <v>2.6612244897959183</v>
      </c>
    </row>
    <row r="1060" spans="4:6" x14ac:dyDescent="0.2">
      <c r="D1060" s="2">
        <v>2160</v>
      </c>
      <c r="F1060" s="2">
        <f t="shared" si="21"/>
        <v>1.763265306122449</v>
      </c>
    </row>
    <row r="1061" spans="4:6" x14ac:dyDescent="0.2">
      <c r="D1061" s="2">
        <v>22000</v>
      </c>
      <c r="F1061" s="2">
        <f t="shared" ref="F1061:F1108" si="22">D1061/1.225/1000</f>
        <v>17.959183673469386</v>
      </c>
    </row>
    <row r="1062" spans="4:6" x14ac:dyDescent="0.2">
      <c r="D1062" s="2">
        <v>5050</v>
      </c>
      <c r="F1062" s="2">
        <f t="shared" si="22"/>
        <v>4.1224489795918364</v>
      </c>
    </row>
    <row r="1063" spans="4:6" x14ac:dyDescent="0.2">
      <c r="D1063" s="2">
        <v>20500</v>
      </c>
      <c r="F1063" s="2">
        <f t="shared" si="22"/>
        <v>16.73469387755102</v>
      </c>
    </row>
    <row r="1064" spans="4:6" x14ac:dyDescent="0.2">
      <c r="D1064" s="2">
        <v>4640</v>
      </c>
      <c r="F1064" s="2">
        <f t="shared" si="22"/>
        <v>3.787755102040816</v>
      </c>
    </row>
    <row r="1065" spans="4:6" x14ac:dyDescent="0.2">
      <c r="D1065" s="2">
        <v>3580</v>
      </c>
      <c r="F1065" s="2">
        <f t="shared" si="22"/>
        <v>2.9224489795918367</v>
      </c>
    </row>
    <row r="1066" spans="4:6" x14ac:dyDescent="0.2">
      <c r="D1066" s="2">
        <v>1740</v>
      </c>
      <c r="F1066" s="2">
        <f t="shared" si="22"/>
        <v>1.4204081632653061</v>
      </c>
    </row>
    <row r="1067" spans="4:6" x14ac:dyDescent="0.2">
      <c r="D1067" s="2">
        <v>890</v>
      </c>
      <c r="F1067" s="2">
        <f t="shared" si="22"/>
        <v>0.7265306122448979</v>
      </c>
    </row>
    <row r="1068" spans="4:6" x14ac:dyDescent="0.2">
      <c r="D1068" s="2">
        <v>3840</v>
      </c>
      <c r="F1068" s="2">
        <f t="shared" si="22"/>
        <v>3.1346938775510202</v>
      </c>
    </row>
    <row r="1069" spans="4:6" x14ac:dyDescent="0.2">
      <c r="D1069" s="2">
        <v>2070</v>
      </c>
      <c r="F1069" s="2">
        <f t="shared" si="22"/>
        <v>1.6897959183673468</v>
      </c>
    </row>
    <row r="1070" spans="4:6" x14ac:dyDescent="0.2">
      <c r="D1070" s="2">
        <v>34200</v>
      </c>
      <c r="F1070" s="2">
        <f t="shared" si="22"/>
        <v>27.918367346938773</v>
      </c>
    </row>
    <row r="1071" spans="4:6" x14ac:dyDescent="0.2">
      <c r="D1071" s="2">
        <v>9290</v>
      </c>
      <c r="F1071" s="2">
        <f t="shared" si="22"/>
        <v>7.5836734693877546</v>
      </c>
    </row>
    <row r="1072" spans="4:6" x14ac:dyDescent="0.2">
      <c r="D1072" s="2">
        <v>23800</v>
      </c>
      <c r="F1072" s="2">
        <f t="shared" si="22"/>
        <v>19.428571428571427</v>
      </c>
    </row>
    <row r="1073" spans="4:6" x14ac:dyDescent="0.2">
      <c r="D1073" s="2">
        <v>15200</v>
      </c>
      <c r="F1073" s="2">
        <f t="shared" si="22"/>
        <v>12.408163265306122</v>
      </c>
    </row>
    <row r="1074" spans="4:6" x14ac:dyDescent="0.2">
      <c r="D1074" s="2">
        <v>12400</v>
      </c>
      <c r="F1074" s="2">
        <f t="shared" si="22"/>
        <v>10.122448979591836</v>
      </c>
    </row>
    <row r="1075" spans="4:6" x14ac:dyDescent="0.2">
      <c r="D1075" s="2">
        <v>11400</v>
      </c>
      <c r="F1075" s="2">
        <f t="shared" si="22"/>
        <v>9.3061224489795915</v>
      </c>
    </row>
    <row r="1076" spans="4:6" x14ac:dyDescent="0.2">
      <c r="D1076" s="2">
        <v>3870</v>
      </c>
      <c r="F1076" s="2">
        <f t="shared" si="22"/>
        <v>3.1591836734693874</v>
      </c>
    </row>
    <row r="1077" spans="4:6" x14ac:dyDescent="0.2">
      <c r="D1077" s="2">
        <v>8250</v>
      </c>
      <c r="F1077" s="2">
        <f t="shared" si="22"/>
        <v>6.7346938775510194</v>
      </c>
    </row>
    <row r="1078" spans="4:6" x14ac:dyDescent="0.2">
      <c r="D1078" s="2">
        <v>1730</v>
      </c>
      <c r="F1078" s="2">
        <f t="shared" si="22"/>
        <v>1.4122448979591835</v>
      </c>
    </row>
    <row r="1079" spans="4:6" x14ac:dyDescent="0.2">
      <c r="D1079" s="2">
        <v>8960</v>
      </c>
      <c r="F1079" s="2">
        <f t="shared" si="22"/>
        <v>7.3142857142857141</v>
      </c>
    </row>
    <row r="1080" spans="4:6" x14ac:dyDescent="0.2">
      <c r="D1080" s="2">
        <v>4690</v>
      </c>
      <c r="F1080" s="2">
        <f t="shared" si="22"/>
        <v>3.8285714285714283</v>
      </c>
    </row>
    <row r="1081" spans="4:6" x14ac:dyDescent="0.2">
      <c r="D1081" s="2">
        <v>22300</v>
      </c>
      <c r="F1081" s="2">
        <f t="shared" si="22"/>
        <v>18.204081632653057</v>
      </c>
    </row>
    <row r="1082" spans="4:6" x14ac:dyDescent="0.2">
      <c r="D1082" s="2">
        <v>9730</v>
      </c>
      <c r="F1082" s="2">
        <f t="shared" si="22"/>
        <v>7.9428571428571422</v>
      </c>
    </row>
    <row r="1083" spans="4:6" x14ac:dyDescent="0.2">
      <c r="D1083" s="2">
        <v>18500</v>
      </c>
      <c r="F1083" s="2">
        <f t="shared" si="22"/>
        <v>15.102040816326529</v>
      </c>
    </row>
    <row r="1084" spans="4:6" x14ac:dyDescent="0.2">
      <c r="D1084" s="2">
        <v>24500</v>
      </c>
      <c r="F1084" s="2">
        <f t="shared" si="22"/>
        <v>20</v>
      </c>
    </row>
    <row r="1085" spans="4:6" x14ac:dyDescent="0.2">
      <c r="D1085" s="2">
        <v>10200</v>
      </c>
      <c r="F1085" s="2">
        <f t="shared" si="22"/>
        <v>8.3265306122448965</v>
      </c>
    </row>
    <row r="1086" spans="4:6" x14ac:dyDescent="0.2">
      <c r="D1086" s="2">
        <v>8630</v>
      </c>
      <c r="F1086" s="2">
        <f t="shared" si="22"/>
        <v>7.0448979591836736</v>
      </c>
    </row>
    <row r="1087" spans="4:6" x14ac:dyDescent="0.2">
      <c r="D1087" s="2">
        <v>10300</v>
      </c>
      <c r="F1087" s="2">
        <f t="shared" si="22"/>
        <v>8.408163265306122</v>
      </c>
    </row>
    <row r="1088" spans="4:6" x14ac:dyDescent="0.2">
      <c r="D1088" s="2">
        <v>15900</v>
      </c>
      <c r="F1088" s="2">
        <f t="shared" si="22"/>
        <v>12.979591836734693</v>
      </c>
    </row>
    <row r="1089" spans="4:6" x14ac:dyDescent="0.2">
      <c r="D1089" s="2">
        <v>8860</v>
      </c>
      <c r="F1089" s="2">
        <f t="shared" si="22"/>
        <v>7.2326530612244895</v>
      </c>
    </row>
    <row r="1090" spans="4:6" x14ac:dyDescent="0.2">
      <c r="D1090" s="2">
        <v>30500</v>
      </c>
      <c r="F1090" s="2">
        <f t="shared" si="22"/>
        <v>24.897959183673468</v>
      </c>
    </row>
    <row r="1091" spans="4:6" x14ac:dyDescent="0.2">
      <c r="D1091" s="2">
        <v>17400</v>
      </c>
      <c r="F1091" s="2">
        <f t="shared" si="22"/>
        <v>14.204081632653061</v>
      </c>
    </row>
    <row r="1092" spans="4:6" x14ac:dyDescent="0.2">
      <c r="D1092" s="2">
        <v>27300</v>
      </c>
      <c r="F1092" s="2">
        <f t="shared" si="22"/>
        <v>22.285714285714281</v>
      </c>
    </row>
    <row r="1093" spans="4:6" x14ac:dyDescent="0.2">
      <c r="D1093" s="2">
        <v>9220</v>
      </c>
      <c r="F1093" s="2">
        <f t="shared" si="22"/>
        <v>7.5265306122448976</v>
      </c>
    </row>
    <row r="1094" spans="4:6" x14ac:dyDescent="0.2">
      <c r="D1094" s="2">
        <v>9430</v>
      </c>
      <c r="F1094" s="2">
        <f t="shared" si="22"/>
        <v>7.6979591836734693</v>
      </c>
    </row>
    <row r="1095" spans="4:6" x14ac:dyDescent="0.2">
      <c r="D1095" s="2">
        <v>10200</v>
      </c>
      <c r="F1095" s="2">
        <f t="shared" si="22"/>
        <v>8.3265306122448965</v>
      </c>
    </row>
    <row r="1096" spans="4:6" x14ac:dyDescent="0.2">
      <c r="D1096" s="2">
        <v>9210</v>
      </c>
      <c r="F1096" s="2">
        <f t="shared" si="22"/>
        <v>7.5183673469387751</v>
      </c>
    </row>
    <row r="1097" spans="4:6" x14ac:dyDescent="0.2">
      <c r="D1097" s="2">
        <v>14100</v>
      </c>
      <c r="F1097" s="2">
        <f t="shared" si="22"/>
        <v>11.510204081632653</v>
      </c>
    </row>
    <row r="1098" spans="4:6" x14ac:dyDescent="0.2">
      <c r="D1098" s="2">
        <v>11600</v>
      </c>
      <c r="F1098" s="2">
        <f t="shared" si="22"/>
        <v>9.4693877551020389</v>
      </c>
    </row>
    <row r="1099" spans="4:6" x14ac:dyDescent="0.2">
      <c r="D1099" s="2">
        <v>14700</v>
      </c>
      <c r="F1099" s="2">
        <f t="shared" si="22"/>
        <v>12</v>
      </c>
    </row>
    <row r="1100" spans="4:6" x14ac:dyDescent="0.2">
      <c r="D1100" s="2">
        <v>21600</v>
      </c>
      <c r="F1100" s="2">
        <f t="shared" si="22"/>
        <v>17.632653061224488</v>
      </c>
    </row>
    <row r="1101" spans="4:6" x14ac:dyDescent="0.2">
      <c r="D1101" s="2">
        <v>12300</v>
      </c>
      <c r="F1101" s="2">
        <f t="shared" si="22"/>
        <v>10.040816326530612</v>
      </c>
    </row>
    <row r="1102" spans="4:6" x14ac:dyDescent="0.2">
      <c r="D1102" s="2">
        <v>11100</v>
      </c>
      <c r="F1102" s="2">
        <f t="shared" si="22"/>
        <v>9.0612244897959169</v>
      </c>
    </row>
    <row r="1103" spans="4:6" x14ac:dyDescent="0.2">
      <c r="D1103" s="2">
        <v>13000</v>
      </c>
      <c r="F1103" s="2">
        <f t="shared" si="22"/>
        <v>10.612244897959183</v>
      </c>
    </row>
    <row r="1104" spans="4:6" x14ac:dyDescent="0.2">
      <c r="D1104" s="2">
        <v>12600</v>
      </c>
      <c r="F1104" s="2">
        <f t="shared" si="22"/>
        <v>10.285714285714285</v>
      </c>
    </row>
    <row r="1105" spans="1:8" x14ac:dyDescent="0.2">
      <c r="D1105" s="2">
        <v>9420</v>
      </c>
      <c r="F1105" s="2">
        <f t="shared" si="22"/>
        <v>7.6897959183673468</v>
      </c>
    </row>
    <row r="1106" spans="1:8" x14ac:dyDescent="0.2">
      <c r="D1106" s="2">
        <v>10400</v>
      </c>
      <c r="F1106" s="2">
        <f t="shared" si="22"/>
        <v>8.4897959183673457</v>
      </c>
    </row>
    <row r="1107" spans="1:8" x14ac:dyDescent="0.2">
      <c r="D1107" s="2">
        <v>22600</v>
      </c>
      <c r="F1107" s="2">
        <f t="shared" si="22"/>
        <v>18.448979591836736</v>
      </c>
    </row>
    <row r="1108" spans="1:8" x14ac:dyDescent="0.2">
      <c r="D1108" s="2">
        <v>11100</v>
      </c>
      <c r="F1108" s="2">
        <f t="shared" si="22"/>
        <v>9.0612244897959169</v>
      </c>
    </row>
    <row r="1109" spans="1:8" x14ac:dyDescent="0.2">
      <c r="A1109" t="s">
        <v>221</v>
      </c>
      <c r="B1109">
        <v>2021</v>
      </c>
      <c r="C1109" t="s">
        <v>44</v>
      </c>
      <c r="D1109" s="2">
        <v>2.9</v>
      </c>
      <c r="E1109" t="s">
        <v>554</v>
      </c>
      <c r="F1109" s="2">
        <f t="shared" ref="F1109:F1140" si="23">10^D1109/1.225/1000</f>
        <v>0.64843121201982201</v>
      </c>
      <c r="H1109" t="s">
        <v>557</v>
      </c>
    </row>
    <row r="1110" spans="1:8" x14ac:dyDescent="0.2">
      <c r="D1110" s="2">
        <v>4</v>
      </c>
      <c r="F1110" s="2">
        <f t="shared" si="23"/>
        <v>8.1632653061224474</v>
      </c>
    </row>
    <row r="1111" spans="1:8" x14ac:dyDescent="0.2">
      <c r="D1111" s="2">
        <v>2.6</v>
      </c>
      <c r="F1111" s="2">
        <f t="shared" si="23"/>
        <v>0.32498544534979396</v>
      </c>
    </row>
    <row r="1112" spans="1:8" x14ac:dyDescent="0.2">
      <c r="D1112" s="2">
        <v>2.6</v>
      </c>
      <c r="F1112" s="2">
        <f t="shared" si="23"/>
        <v>0.32498544534979396</v>
      </c>
    </row>
    <row r="1113" spans="1:8" x14ac:dyDescent="0.2">
      <c r="D1113" s="2">
        <v>3.4</v>
      </c>
      <c r="F1113" s="2">
        <f t="shared" si="23"/>
        <v>2.0505195359261883</v>
      </c>
    </row>
    <row r="1114" spans="1:8" x14ac:dyDescent="0.2">
      <c r="D1114" s="2">
        <v>2.2000000000000002</v>
      </c>
      <c r="F1114" s="2">
        <f t="shared" si="23"/>
        <v>0.1293790361192747</v>
      </c>
    </row>
    <row r="1115" spans="1:8" x14ac:dyDescent="0.2">
      <c r="D1115" s="2">
        <v>1.7</v>
      </c>
      <c r="F1115" s="2">
        <f t="shared" si="23"/>
        <v>4.0913243561409983E-2</v>
      </c>
    </row>
    <row r="1116" spans="1:8" x14ac:dyDescent="0.2">
      <c r="D1116" s="2">
        <v>2.7</v>
      </c>
      <c r="F1116" s="2">
        <f t="shared" si="23"/>
        <v>0.40913243561410012</v>
      </c>
    </row>
    <row r="1117" spans="1:8" x14ac:dyDescent="0.2">
      <c r="D1117" s="2">
        <v>1.2</v>
      </c>
      <c r="F1117" s="2">
        <f t="shared" si="23"/>
        <v>1.2937903611927457E-2</v>
      </c>
    </row>
    <row r="1118" spans="1:8" x14ac:dyDescent="0.2">
      <c r="D1118" s="2">
        <v>1.9</v>
      </c>
      <c r="F1118" s="2">
        <f t="shared" si="23"/>
        <v>6.4843121201982198E-2</v>
      </c>
    </row>
    <row r="1119" spans="1:8" x14ac:dyDescent="0.2">
      <c r="D1119" s="2">
        <v>2.5</v>
      </c>
      <c r="F1119" s="2">
        <f t="shared" si="23"/>
        <v>0.25814511511578631</v>
      </c>
    </row>
    <row r="1120" spans="1:8" x14ac:dyDescent="0.2">
      <c r="D1120" s="2">
        <v>1.8</v>
      </c>
      <c r="F1120" s="2">
        <f t="shared" si="23"/>
        <v>5.1506721998383152E-2</v>
      </c>
    </row>
    <row r="1121" spans="4:6" x14ac:dyDescent="0.2">
      <c r="D1121" s="2">
        <v>3.7</v>
      </c>
      <c r="F1121" s="2">
        <f t="shared" si="23"/>
        <v>4.0913243561410058</v>
      </c>
    </row>
    <row r="1122" spans="4:6" x14ac:dyDescent="0.2">
      <c r="D1122" s="2">
        <v>3.7</v>
      </c>
      <c r="F1122" s="2">
        <f t="shared" si="23"/>
        <v>4.0913243561410058</v>
      </c>
    </row>
    <row r="1123" spans="4:6" x14ac:dyDescent="0.2">
      <c r="D1123" s="2">
        <v>3.2</v>
      </c>
      <c r="F1123" s="2">
        <f t="shared" si="23"/>
        <v>1.2937903611927475</v>
      </c>
    </row>
    <row r="1124" spans="4:6" x14ac:dyDescent="0.2">
      <c r="D1124" s="2">
        <v>1.1000000000000001</v>
      </c>
      <c r="F1124" s="2">
        <f t="shared" si="23"/>
        <v>1.0276942137095249E-2</v>
      </c>
    </row>
    <row r="1125" spans="4:6" x14ac:dyDescent="0.2">
      <c r="D1125" s="2">
        <v>0.8</v>
      </c>
      <c r="F1125" s="2">
        <f t="shared" si="23"/>
        <v>5.1506721998383128E-3</v>
      </c>
    </row>
    <row r="1126" spans="4:6" x14ac:dyDescent="0.2">
      <c r="D1126" s="2">
        <v>0.8</v>
      </c>
      <c r="F1126" s="2">
        <f t="shared" si="23"/>
        <v>5.1506721998383128E-3</v>
      </c>
    </row>
    <row r="1127" spans="4:6" x14ac:dyDescent="0.2">
      <c r="D1127" s="2">
        <v>136</v>
      </c>
      <c r="F1127" s="2">
        <f t="shared" si="23"/>
        <v>8.163265306122449E+132</v>
      </c>
    </row>
    <row r="1128" spans="4:6" x14ac:dyDescent="0.2">
      <c r="D1128" s="2">
        <v>2.9</v>
      </c>
      <c r="F1128" s="2">
        <f t="shared" si="23"/>
        <v>0.64843121201982201</v>
      </c>
    </row>
    <row r="1129" spans="4:6" x14ac:dyDescent="0.2">
      <c r="D1129" s="2">
        <v>1.3</v>
      </c>
      <c r="F1129" s="2">
        <f t="shared" si="23"/>
        <v>1.6287855632399022E-2</v>
      </c>
    </row>
    <row r="1130" spans="4:6" x14ac:dyDescent="0.2">
      <c r="D1130" s="2">
        <v>1.2</v>
      </c>
      <c r="F1130" s="2">
        <f t="shared" si="23"/>
        <v>1.2937903611927457E-2</v>
      </c>
    </row>
    <row r="1131" spans="4:6" x14ac:dyDescent="0.2">
      <c r="D1131" s="2">
        <v>1.8</v>
      </c>
      <c r="F1131" s="2">
        <f t="shared" si="23"/>
        <v>5.1506721998383152E-2</v>
      </c>
    </row>
    <row r="1132" spans="4:6" x14ac:dyDescent="0.2">
      <c r="D1132" s="2">
        <v>0.9</v>
      </c>
      <c r="F1132" s="2">
        <f t="shared" si="23"/>
        <v>6.4843121201982176E-3</v>
      </c>
    </row>
    <row r="1133" spans="4:6" x14ac:dyDescent="0.2">
      <c r="D1133" s="2">
        <v>0</v>
      </c>
      <c r="F1133" s="2">
        <f t="shared" si="23"/>
        <v>8.1632653061224482E-4</v>
      </c>
    </row>
    <row r="1134" spans="4:6" x14ac:dyDescent="0.2">
      <c r="D1134" s="2">
        <v>0.2</v>
      </c>
      <c r="F1134" s="2">
        <f t="shared" si="23"/>
        <v>1.2937903611927458E-3</v>
      </c>
    </row>
    <row r="1135" spans="4:6" x14ac:dyDescent="0.2">
      <c r="D1135" s="2">
        <v>0</v>
      </c>
      <c r="F1135" s="2">
        <f t="shared" si="23"/>
        <v>8.1632653061224482E-4</v>
      </c>
    </row>
    <row r="1136" spans="4:6" x14ac:dyDescent="0.2">
      <c r="D1136" s="2">
        <v>0</v>
      </c>
      <c r="F1136" s="2">
        <f t="shared" si="23"/>
        <v>8.1632653061224482E-4</v>
      </c>
    </row>
    <row r="1137" spans="4:6" x14ac:dyDescent="0.2">
      <c r="D1137" s="2">
        <v>0</v>
      </c>
      <c r="F1137" s="2">
        <f t="shared" si="23"/>
        <v>8.1632653061224482E-4</v>
      </c>
    </row>
    <row r="1138" spans="4:6" x14ac:dyDescent="0.2">
      <c r="D1138" s="2">
        <v>0</v>
      </c>
      <c r="F1138" s="2">
        <f t="shared" si="23"/>
        <v>8.1632653061224482E-4</v>
      </c>
    </row>
    <row r="1139" spans="4:6" x14ac:dyDescent="0.2">
      <c r="D1139" s="2">
        <v>0</v>
      </c>
      <c r="F1139" s="2">
        <f t="shared" si="23"/>
        <v>8.1632653061224482E-4</v>
      </c>
    </row>
    <row r="1140" spans="4:6" x14ac:dyDescent="0.2">
      <c r="D1140" s="2">
        <v>2.6</v>
      </c>
      <c r="F1140" s="2">
        <f t="shared" si="23"/>
        <v>0.32498544534979396</v>
      </c>
    </row>
    <row r="1141" spans="4:6" x14ac:dyDescent="0.2">
      <c r="D1141" s="2">
        <v>0</v>
      </c>
      <c r="F1141" s="2">
        <f t="shared" ref="F1141:F1159" si="24">10^D1141/1.225/1000</f>
        <v>8.1632653061224482E-4</v>
      </c>
    </row>
    <row r="1142" spans="4:6" x14ac:dyDescent="0.2">
      <c r="D1142" s="2">
        <v>0</v>
      </c>
      <c r="F1142" s="2">
        <f t="shared" si="24"/>
        <v>8.1632653061224482E-4</v>
      </c>
    </row>
    <row r="1143" spans="4:6" x14ac:dyDescent="0.2">
      <c r="D1143" s="2">
        <v>1.1000000000000001</v>
      </c>
      <c r="F1143" s="2">
        <f t="shared" si="24"/>
        <v>1.0276942137095249E-2</v>
      </c>
    </row>
    <row r="1144" spans="4:6" x14ac:dyDescent="0.2">
      <c r="D1144" s="2">
        <v>0</v>
      </c>
      <c r="F1144" s="2">
        <f t="shared" si="24"/>
        <v>8.1632653061224482E-4</v>
      </c>
    </row>
    <row r="1145" spans="4:6" x14ac:dyDescent="0.2">
      <c r="D1145" s="2">
        <v>0</v>
      </c>
      <c r="F1145" s="2">
        <f t="shared" si="24"/>
        <v>8.1632653061224482E-4</v>
      </c>
    </row>
    <row r="1146" spans="4:6" x14ac:dyDescent="0.2">
      <c r="D1146" s="2">
        <v>2.2000000000000002</v>
      </c>
      <c r="F1146" s="2">
        <f t="shared" si="24"/>
        <v>0.1293790361192747</v>
      </c>
    </row>
    <row r="1147" spans="4:6" x14ac:dyDescent="0.2">
      <c r="D1147" s="2">
        <v>0</v>
      </c>
      <c r="F1147" s="2">
        <f t="shared" si="24"/>
        <v>8.1632653061224482E-4</v>
      </c>
    </row>
    <row r="1148" spans="4:6" x14ac:dyDescent="0.2">
      <c r="D1148" s="2">
        <v>2.8</v>
      </c>
      <c r="F1148" s="2">
        <f t="shared" si="24"/>
        <v>0.51506721998383109</v>
      </c>
    </row>
    <row r="1149" spans="4:6" x14ac:dyDescent="0.2">
      <c r="D1149" s="2">
        <v>3.6</v>
      </c>
      <c r="F1149" s="2">
        <f t="shared" si="24"/>
        <v>3.2498544534979401</v>
      </c>
    </row>
    <row r="1150" spans="4:6" x14ac:dyDescent="0.2">
      <c r="D1150" s="2">
        <v>2.7</v>
      </c>
      <c r="F1150" s="2">
        <f t="shared" si="24"/>
        <v>0.40913243561410012</v>
      </c>
    </row>
    <row r="1151" spans="4:6" x14ac:dyDescent="0.2">
      <c r="D1151" s="2">
        <v>1</v>
      </c>
      <c r="F1151" s="2">
        <f t="shared" si="24"/>
        <v>8.1632653061224497E-3</v>
      </c>
    </row>
    <row r="1152" spans="4:6" x14ac:dyDescent="0.2">
      <c r="D1152" s="2">
        <v>0.5</v>
      </c>
      <c r="F1152" s="2">
        <f t="shared" si="24"/>
        <v>2.5814511511578608E-3</v>
      </c>
    </row>
    <row r="1153" spans="1:8" x14ac:dyDescent="0.2">
      <c r="D1153" s="2">
        <v>0.3</v>
      </c>
      <c r="F1153" s="2">
        <f t="shared" si="24"/>
        <v>1.6287855632399018E-3</v>
      </c>
    </row>
    <row r="1154" spans="1:8" x14ac:dyDescent="0.2">
      <c r="D1154" s="2">
        <v>4.0999999999999996</v>
      </c>
      <c r="F1154" s="2">
        <f t="shared" si="24"/>
        <v>10.27694213709524</v>
      </c>
    </row>
    <row r="1155" spans="1:8" x14ac:dyDescent="0.2">
      <c r="D1155" s="2">
        <v>0</v>
      </c>
      <c r="F1155" s="2">
        <f t="shared" si="24"/>
        <v>8.1632653061224482E-4</v>
      </c>
    </row>
    <row r="1156" spans="1:8" x14ac:dyDescent="0.2">
      <c r="D1156" s="2">
        <v>0</v>
      </c>
      <c r="F1156" s="2">
        <f t="shared" si="24"/>
        <v>8.1632653061224482E-4</v>
      </c>
    </row>
    <row r="1157" spans="1:8" x14ac:dyDescent="0.2">
      <c r="D1157" s="2">
        <v>1.6</v>
      </c>
      <c r="F1157" s="2">
        <f t="shared" si="24"/>
        <v>3.2498544534979384E-2</v>
      </c>
    </row>
    <row r="1158" spans="1:8" x14ac:dyDescent="0.2">
      <c r="D1158" s="2">
        <v>1.8</v>
      </c>
      <c r="F1158" s="2">
        <f t="shared" si="24"/>
        <v>5.1506721998383152E-2</v>
      </c>
    </row>
    <row r="1159" spans="1:8" x14ac:dyDescent="0.2">
      <c r="D1159" s="2">
        <v>1.2</v>
      </c>
      <c r="F1159" s="2">
        <f t="shared" si="24"/>
        <v>1.2937903611927457E-2</v>
      </c>
    </row>
    <row r="1160" spans="1:8" x14ac:dyDescent="0.2">
      <c r="A1160" t="s">
        <v>559</v>
      </c>
      <c r="B1160">
        <v>2023</v>
      </c>
      <c r="C1160" t="s">
        <v>44</v>
      </c>
      <c r="D1160" s="2">
        <v>1010</v>
      </c>
      <c r="E1160" t="s">
        <v>545</v>
      </c>
      <c r="F1160" s="2">
        <f t="shared" ref="F1160:F1177" si="25">D1160/1.225/1000</f>
        <v>0.82448979591836724</v>
      </c>
      <c r="H1160" t="s">
        <v>558</v>
      </c>
    </row>
    <row r="1161" spans="1:8" x14ac:dyDescent="0.2">
      <c r="D1161" s="2">
        <v>16100</v>
      </c>
      <c r="F1161" s="2">
        <f t="shared" si="25"/>
        <v>13.142857142857141</v>
      </c>
    </row>
    <row r="1162" spans="1:8" x14ac:dyDescent="0.2">
      <c r="D1162" s="2">
        <v>5420</v>
      </c>
      <c r="F1162" s="2">
        <f t="shared" si="25"/>
        <v>4.4244897959183671</v>
      </c>
    </row>
    <row r="1163" spans="1:8" x14ac:dyDescent="0.2">
      <c r="D1163" s="2">
        <v>115</v>
      </c>
      <c r="F1163" s="2">
        <f t="shared" si="25"/>
        <v>9.3877551020408165E-2</v>
      </c>
    </row>
    <row r="1164" spans="1:8" x14ac:dyDescent="0.2">
      <c r="D1164" s="2">
        <v>12400</v>
      </c>
      <c r="F1164" s="2">
        <f t="shared" si="25"/>
        <v>10.122448979591836</v>
      </c>
    </row>
    <row r="1165" spans="1:8" x14ac:dyDescent="0.2">
      <c r="D1165" s="2">
        <v>3180</v>
      </c>
      <c r="F1165" s="2">
        <f t="shared" si="25"/>
        <v>2.5959183673469388</v>
      </c>
    </row>
    <row r="1166" spans="1:8" x14ac:dyDescent="0.2">
      <c r="D1166" s="2">
        <v>0.26</v>
      </c>
      <c r="F1166" s="2">
        <f t="shared" si="25"/>
        <v>2.1224489795918368E-4</v>
      </c>
    </row>
    <row r="1167" spans="1:8" x14ac:dyDescent="0.2">
      <c r="D1167" s="2">
        <v>1.1399999999999999</v>
      </c>
      <c r="F1167" s="2">
        <f t="shared" si="25"/>
        <v>9.3061224489795905E-4</v>
      </c>
    </row>
    <row r="1168" spans="1:8" x14ac:dyDescent="0.2">
      <c r="A1168" t="s">
        <v>291</v>
      </c>
      <c r="B1168">
        <v>2020</v>
      </c>
      <c r="C1168" t="s">
        <v>44</v>
      </c>
      <c r="D1168" s="2">
        <v>100000</v>
      </c>
      <c r="E1168" t="s">
        <v>545</v>
      </c>
      <c r="F1168" s="2">
        <f t="shared" si="25"/>
        <v>81.632653061224488</v>
      </c>
      <c r="H1168" t="s">
        <v>560</v>
      </c>
    </row>
    <row r="1169" spans="1:8" x14ac:dyDescent="0.2">
      <c r="D1169" s="2">
        <v>751000</v>
      </c>
      <c r="F1169" s="2">
        <f t="shared" si="25"/>
        <v>613.0612244897959</v>
      </c>
    </row>
    <row r="1170" spans="1:8" x14ac:dyDescent="0.2">
      <c r="D1170" s="2">
        <v>169000</v>
      </c>
      <c r="F1170" s="2">
        <f t="shared" si="25"/>
        <v>137.95918367346937</v>
      </c>
    </row>
    <row r="1171" spans="1:8" x14ac:dyDescent="0.2">
      <c r="D1171" s="2">
        <v>130000</v>
      </c>
      <c r="F1171" s="2">
        <f t="shared" si="25"/>
        <v>106.12244897959184</v>
      </c>
    </row>
    <row r="1172" spans="1:8" x14ac:dyDescent="0.2">
      <c r="D1172" s="2">
        <v>166000</v>
      </c>
      <c r="F1172" s="2">
        <f t="shared" si="25"/>
        <v>135.51020408163262</v>
      </c>
    </row>
    <row r="1173" spans="1:8" x14ac:dyDescent="0.2">
      <c r="D1173" s="2">
        <v>174000</v>
      </c>
      <c r="F1173" s="2">
        <f t="shared" si="25"/>
        <v>142.0408163265306</v>
      </c>
    </row>
    <row r="1174" spans="1:8" x14ac:dyDescent="0.2">
      <c r="D1174" s="2">
        <v>53700</v>
      </c>
      <c r="F1174" s="2">
        <f t="shared" si="25"/>
        <v>43.836734693877546</v>
      </c>
    </row>
    <row r="1175" spans="1:8" x14ac:dyDescent="0.2">
      <c r="D1175" s="2">
        <v>121000</v>
      </c>
      <c r="F1175" s="2">
        <f t="shared" si="25"/>
        <v>98.775510204081627</v>
      </c>
    </row>
    <row r="1176" spans="1:8" x14ac:dyDescent="0.2">
      <c r="D1176" s="2">
        <v>113000</v>
      </c>
      <c r="F1176" s="2">
        <f t="shared" si="25"/>
        <v>92.244897959183675</v>
      </c>
    </row>
    <row r="1177" spans="1:8" x14ac:dyDescent="0.2">
      <c r="A1177" t="s">
        <v>562</v>
      </c>
      <c r="B1177">
        <v>2025</v>
      </c>
      <c r="C1177" t="s">
        <v>44</v>
      </c>
      <c r="D1177" s="2">
        <v>100</v>
      </c>
      <c r="E1177" t="s">
        <v>545</v>
      </c>
      <c r="F1177" s="2">
        <f t="shared" si="25"/>
        <v>8.1632653061224483E-2</v>
      </c>
      <c r="H1177" t="s">
        <v>561</v>
      </c>
    </row>
    <row r="1178" spans="1:8" x14ac:dyDescent="0.2">
      <c r="A1178" t="s">
        <v>564</v>
      </c>
      <c r="B1178">
        <v>2018</v>
      </c>
      <c r="C1178" t="s">
        <v>45</v>
      </c>
      <c r="D1178" s="2">
        <v>281000</v>
      </c>
      <c r="E1178" t="s">
        <v>541</v>
      </c>
      <c r="F1178" s="2">
        <f t="shared" ref="F1178:F1241" si="26">D1178</f>
        <v>281000</v>
      </c>
      <c r="H1178" t="s">
        <v>563</v>
      </c>
    </row>
    <row r="1179" spans="1:8" x14ac:dyDescent="0.2">
      <c r="D1179" s="2">
        <v>2220000</v>
      </c>
      <c r="F1179" s="2">
        <f t="shared" si="26"/>
        <v>2220000</v>
      </c>
    </row>
    <row r="1180" spans="1:8" x14ac:dyDescent="0.2">
      <c r="D1180" s="2">
        <v>60600</v>
      </c>
      <c r="F1180" s="2">
        <f t="shared" si="26"/>
        <v>60600</v>
      </c>
    </row>
    <row r="1181" spans="1:8" x14ac:dyDescent="0.2">
      <c r="D1181" s="2">
        <v>107000</v>
      </c>
      <c r="F1181" s="2">
        <f t="shared" si="26"/>
        <v>107000</v>
      </c>
    </row>
    <row r="1182" spans="1:8" x14ac:dyDescent="0.2">
      <c r="D1182" s="2">
        <v>114000</v>
      </c>
      <c r="F1182" s="2">
        <f t="shared" si="26"/>
        <v>114000</v>
      </c>
    </row>
    <row r="1183" spans="1:8" x14ac:dyDescent="0.2">
      <c r="D1183" s="2">
        <v>2040000</v>
      </c>
      <c r="F1183" s="2">
        <f t="shared" si="26"/>
        <v>2040000</v>
      </c>
    </row>
    <row r="1184" spans="1:8" x14ac:dyDescent="0.2">
      <c r="D1184" s="2">
        <v>1890000</v>
      </c>
      <c r="F1184" s="2">
        <f t="shared" si="26"/>
        <v>1890000</v>
      </c>
    </row>
    <row r="1185" spans="4:6" x14ac:dyDescent="0.2">
      <c r="D1185" s="2">
        <v>180000000</v>
      </c>
      <c r="F1185" s="2">
        <f t="shared" si="26"/>
        <v>180000000</v>
      </c>
    </row>
    <row r="1186" spans="4:6" x14ac:dyDescent="0.2">
      <c r="D1186" s="2">
        <v>45000</v>
      </c>
      <c r="F1186" s="2">
        <f t="shared" si="26"/>
        <v>45000</v>
      </c>
    </row>
    <row r="1187" spans="4:6" x14ac:dyDescent="0.2">
      <c r="D1187" s="2">
        <v>24500</v>
      </c>
      <c r="F1187" s="2">
        <f t="shared" si="26"/>
        <v>24500</v>
      </c>
    </row>
    <row r="1188" spans="4:6" x14ac:dyDescent="0.2">
      <c r="D1188" s="2">
        <v>60400</v>
      </c>
      <c r="F1188" s="2">
        <f t="shared" si="26"/>
        <v>60400</v>
      </c>
    </row>
    <row r="1189" spans="4:6" x14ac:dyDescent="0.2">
      <c r="D1189" s="2">
        <v>168000</v>
      </c>
      <c r="F1189" s="2">
        <f t="shared" si="26"/>
        <v>168000</v>
      </c>
    </row>
    <row r="1190" spans="4:6" x14ac:dyDescent="0.2">
      <c r="D1190" s="2">
        <v>71900</v>
      </c>
      <c r="F1190" s="2">
        <f t="shared" si="26"/>
        <v>71900</v>
      </c>
    </row>
    <row r="1191" spans="4:6" x14ac:dyDescent="0.2">
      <c r="D1191" s="2">
        <v>27000</v>
      </c>
      <c r="F1191" s="2">
        <f t="shared" si="26"/>
        <v>27000</v>
      </c>
    </row>
    <row r="1192" spans="4:6" x14ac:dyDescent="0.2">
      <c r="D1192" s="2">
        <v>24500</v>
      </c>
      <c r="F1192" s="2">
        <f t="shared" si="26"/>
        <v>24500</v>
      </c>
    </row>
    <row r="1193" spans="4:6" x14ac:dyDescent="0.2">
      <c r="D1193" s="2">
        <v>32100</v>
      </c>
      <c r="F1193" s="2">
        <f t="shared" si="26"/>
        <v>32100</v>
      </c>
    </row>
    <row r="1194" spans="4:6" x14ac:dyDescent="0.2">
      <c r="D1194" s="2">
        <v>47000</v>
      </c>
      <c r="F1194" s="2">
        <f t="shared" si="26"/>
        <v>47000</v>
      </c>
    </row>
    <row r="1195" spans="4:6" x14ac:dyDescent="0.2">
      <c r="D1195" s="2">
        <v>2810000</v>
      </c>
      <c r="F1195" s="2">
        <f t="shared" si="26"/>
        <v>2810000</v>
      </c>
    </row>
    <row r="1196" spans="4:6" x14ac:dyDescent="0.2">
      <c r="D1196" s="2">
        <v>6940000</v>
      </c>
      <c r="F1196" s="2">
        <f t="shared" si="26"/>
        <v>6940000</v>
      </c>
    </row>
    <row r="1197" spans="4:6" x14ac:dyDescent="0.2">
      <c r="D1197" s="2">
        <v>4560000</v>
      </c>
      <c r="F1197" s="2">
        <f t="shared" si="26"/>
        <v>4560000</v>
      </c>
    </row>
    <row r="1198" spans="4:6" x14ac:dyDescent="0.2">
      <c r="D1198" s="2">
        <v>5460000</v>
      </c>
      <c r="F1198" s="2">
        <f t="shared" si="26"/>
        <v>5460000</v>
      </c>
    </row>
    <row r="1199" spans="4:6" x14ac:dyDescent="0.2">
      <c r="D1199" s="2">
        <v>1400000</v>
      </c>
      <c r="F1199" s="2">
        <f t="shared" si="26"/>
        <v>1400000</v>
      </c>
    </row>
    <row r="1200" spans="4:6" x14ac:dyDescent="0.2">
      <c r="D1200" s="2">
        <v>699000</v>
      </c>
      <c r="F1200" s="2">
        <f t="shared" si="26"/>
        <v>699000</v>
      </c>
    </row>
    <row r="1201" spans="1:8" x14ac:dyDescent="0.2">
      <c r="D1201" s="2">
        <v>381000</v>
      </c>
      <c r="F1201" s="2">
        <f t="shared" si="26"/>
        <v>381000</v>
      </c>
    </row>
    <row r="1202" spans="1:8" x14ac:dyDescent="0.2">
      <c r="D1202" s="2">
        <v>30800</v>
      </c>
      <c r="F1202" s="2">
        <f t="shared" si="26"/>
        <v>30800</v>
      </c>
    </row>
    <row r="1203" spans="1:8" x14ac:dyDescent="0.2">
      <c r="A1203" t="s">
        <v>564</v>
      </c>
      <c r="B1203">
        <v>2018</v>
      </c>
      <c r="C1203" t="s">
        <v>45</v>
      </c>
      <c r="D1203" s="2">
        <v>329000</v>
      </c>
      <c r="E1203" t="s">
        <v>541</v>
      </c>
      <c r="F1203" s="2">
        <f t="shared" si="26"/>
        <v>329000</v>
      </c>
      <c r="H1203" t="s">
        <v>565</v>
      </c>
    </row>
    <row r="1204" spans="1:8" x14ac:dyDescent="0.2">
      <c r="D1204" s="2">
        <v>2040000</v>
      </c>
      <c r="F1204" s="2">
        <f t="shared" si="26"/>
        <v>2040000</v>
      </c>
    </row>
    <row r="1205" spans="1:8" x14ac:dyDescent="0.2">
      <c r="D1205" s="2">
        <v>232000</v>
      </c>
      <c r="F1205" s="2">
        <f t="shared" si="26"/>
        <v>232000</v>
      </c>
    </row>
    <row r="1206" spans="1:8" x14ac:dyDescent="0.2">
      <c r="D1206" s="2">
        <v>2510000</v>
      </c>
      <c r="F1206" s="2">
        <f t="shared" si="26"/>
        <v>2510000</v>
      </c>
    </row>
    <row r="1207" spans="1:8" x14ac:dyDescent="0.2">
      <c r="D1207" s="2">
        <v>6370000</v>
      </c>
      <c r="F1207" s="2">
        <f t="shared" si="26"/>
        <v>6370000</v>
      </c>
    </row>
    <row r="1208" spans="1:8" x14ac:dyDescent="0.2">
      <c r="D1208" s="2">
        <v>34200</v>
      </c>
      <c r="F1208" s="2">
        <f t="shared" si="26"/>
        <v>34200</v>
      </c>
    </row>
    <row r="1209" spans="1:8" x14ac:dyDescent="0.2">
      <c r="D1209" s="2">
        <v>387000</v>
      </c>
      <c r="F1209" s="2">
        <f t="shared" si="26"/>
        <v>387000</v>
      </c>
    </row>
    <row r="1210" spans="1:8" x14ac:dyDescent="0.2">
      <c r="D1210" s="2">
        <v>28700</v>
      </c>
      <c r="F1210" s="2">
        <f t="shared" si="26"/>
        <v>28700</v>
      </c>
    </row>
    <row r="1211" spans="1:8" x14ac:dyDescent="0.2">
      <c r="D1211" s="2">
        <v>136000</v>
      </c>
      <c r="F1211" s="2">
        <f t="shared" si="26"/>
        <v>136000</v>
      </c>
    </row>
    <row r="1212" spans="1:8" x14ac:dyDescent="0.2">
      <c r="D1212" s="2">
        <v>3870</v>
      </c>
      <c r="F1212" s="2">
        <f t="shared" si="26"/>
        <v>3870</v>
      </c>
    </row>
    <row r="1213" spans="1:8" x14ac:dyDescent="0.2">
      <c r="D1213" s="2">
        <v>54700</v>
      </c>
      <c r="F1213" s="2">
        <f t="shared" si="26"/>
        <v>54700</v>
      </c>
    </row>
    <row r="1214" spans="1:8" x14ac:dyDescent="0.2">
      <c r="D1214" s="2">
        <v>48000</v>
      </c>
      <c r="F1214" s="2">
        <f t="shared" si="26"/>
        <v>48000</v>
      </c>
    </row>
    <row r="1215" spans="1:8" x14ac:dyDescent="0.2">
      <c r="D1215" s="2">
        <v>29000</v>
      </c>
      <c r="F1215" s="2">
        <f t="shared" si="26"/>
        <v>29000</v>
      </c>
    </row>
    <row r="1216" spans="1:8" x14ac:dyDescent="0.2">
      <c r="D1216" s="2">
        <v>30700</v>
      </c>
      <c r="F1216" s="2">
        <f t="shared" si="26"/>
        <v>30700</v>
      </c>
    </row>
    <row r="1217" spans="1:8" x14ac:dyDescent="0.2">
      <c r="D1217" s="2">
        <v>10300</v>
      </c>
      <c r="F1217" s="2">
        <f t="shared" si="26"/>
        <v>10300</v>
      </c>
    </row>
    <row r="1218" spans="1:8" x14ac:dyDescent="0.2">
      <c r="D1218" s="2">
        <v>1910</v>
      </c>
      <c r="F1218" s="2">
        <f t="shared" si="26"/>
        <v>1910</v>
      </c>
    </row>
    <row r="1219" spans="1:8" x14ac:dyDescent="0.2">
      <c r="D1219" s="2">
        <v>207000</v>
      </c>
      <c r="F1219" s="2">
        <f t="shared" si="26"/>
        <v>207000</v>
      </c>
    </row>
    <row r="1220" spans="1:8" x14ac:dyDescent="0.2">
      <c r="D1220" s="2">
        <v>363000</v>
      </c>
      <c r="F1220" s="2">
        <f t="shared" si="26"/>
        <v>363000</v>
      </c>
    </row>
    <row r="1221" spans="1:8" x14ac:dyDescent="0.2">
      <c r="D1221" s="2">
        <v>108000</v>
      </c>
      <c r="F1221" s="2">
        <f t="shared" si="26"/>
        <v>108000</v>
      </c>
    </row>
    <row r="1222" spans="1:8" x14ac:dyDescent="0.2">
      <c r="D1222" s="2">
        <v>26600</v>
      </c>
      <c r="F1222" s="2">
        <f t="shared" si="26"/>
        <v>26600</v>
      </c>
    </row>
    <row r="1223" spans="1:8" x14ac:dyDescent="0.2">
      <c r="A1223" t="s">
        <v>567</v>
      </c>
      <c r="B1223">
        <v>2017</v>
      </c>
      <c r="C1223" t="s">
        <v>45</v>
      </c>
      <c r="D1223" s="2">
        <v>13900</v>
      </c>
      <c r="E1223" t="s">
        <v>541</v>
      </c>
      <c r="F1223" s="2">
        <f t="shared" si="26"/>
        <v>13900</v>
      </c>
      <c r="H1223" t="s">
        <v>566</v>
      </c>
    </row>
    <row r="1224" spans="1:8" x14ac:dyDescent="0.2">
      <c r="D1224" s="2">
        <v>15800000000</v>
      </c>
      <c r="F1224" s="2">
        <f t="shared" si="26"/>
        <v>15800000000</v>
      </c>
    </row>
    <row r="1225" spans="1:8" x14ac:dyDescent="0.2">
      <c r="A1225" t="s">
        <v>569</v>
      </c>
      <c r="B1225">
        <v>2014</v>
      </c>
      <c r="C1225" t="s">
        <v>45</v>
      </c>
      <c r="D1225" s="2">
        <v>101000000</v>
      </c>
      <c r="E1225" t="s">
        <v>541</v>
      </c>
      <c r="F1225" s="2">
        <f t="shared" si="26"/>
        <v>101000000</v>
      </c>
      <c r="H1225" t="s">
        <v>568</v>
      </c>
    </row>
    <row r="1226" spans="1:8" x14ac:dyDescent="0.2">
      <c r="D1226" s="2">
        <v>54500000</v>
      </c>
      <c r="F1226" s="2">
        <f t="shared" si="26"/>
        <v>54500000</v>
      </c>
    </row>
    <row r="1227" spans="1:8" x14ac:dyDescent="0.2">
      <c r="D1227" s="2">
        <v>247000000</v>
      </c>
      <c r="F1227" s="2">
        <f t="shared" si="26"/>
        <v>247000000</v>
      </c>
    </row>
    <row r="1228" spans="1:8" x14ac:dyDescent="0.2">
      <c r="D1228" s="2">
        <v>32900000</v>
      </c>
      <c r="F1228" s="2">
        <f t="shared" si="26"/>
        <v>32900000</v>
      </c>
    </row>
    <row r="1229" spans="1:8" x14ac:dyDescent="0.2">
      <c r="D1229" s="2">
        <v>25500000</v>
      </c>
      <c r="F1229" s="2">
        <f t="shared" si="26"/>
        <v>25500000</v>
      </c>
    </row>
    <row r="1230" spans="1:8" x14ac:dyDescent="0.2">
      <c r="D1230" s="2">
        <v>84800000</v>
      </c>
      <c r="F1230" s="2">
        <f t="shared" si="26"/>
        <v>84800000</v>
      </c>
    </row>
    <row r="1231" spans="1:8" x14ac:dyDescent="0.2">
      <c r="D1231" s="2">
        <v>16800000</v>
      </c>
      <c r="F1231" s="2">
        <f t="shared" si="26"/>
        <v>16800000</v>
      </c>
    </row>
    <row r="1232" spans="1:8" x14ac:dyDescent="0.2">
      <c r="D1232" s="2">
        <v>163000000</v>
      </c>
      <c r="F1232" s="2">
        <f t="shared" si="26"/>
        <v>163000000</v>
      </c>
    </row>
    <row r="1233" spans="4:6" x14ac:dyDescent="0.2">
      <c r="D1233" s="2">
        <v>389000000</v>
      </c>
      <c r="F1233" s="2">
        <f t="shared" si="26"/>
        <v>389000000</v>
      </c>
    </row>
    <row r="1234" spans="4:6" x14ac:dyDescent="0.2">
      <c r="D1234" s="2">
        <v>15100000</v>
      </c>
      <c r="F1234" s="2">
        <f t="shared" si="26"/>
        <v>15100000</v>
      </c>
    </row>
    <row r="1235" spans="4:6" x14ac:dyDescent="0.2">
      <c r="D1235" s="2">
        <v>139000000</v>
      </c>
      <c r="F1235" s="2">
        <f t="shared" si="26"/>
        <v>139000000</v>
      </c>
    </row>
    <row r="1236" spans="4:6" x14ac:dyDescent="0.2">
      <c r="D1236" s="2">
        <v>11400000000</v>
      </c>
      <c r="F1236" s="2">
        <f t="shared" si="26"/>
        <v>11400000000</v>
      </c>
    </row>
    <row r="1237" spans="4:6" x14ac:dyDescent="0.2">
      <c r="D1237" s="2">
        <v>280000</v>
      </c>
      <c r="F1237" s="2">
        <f t="shared" si="26"/>
        <v>280000</v>
      </c>
    </row>
    <row r="1238" spans="4:6" x14ac:dyDescent="0.2">
      <c r="D1238" s="2">
        <v>28900000</v>
      </c>
      <c r="F1238" s="2">
        <f t="shared" si="26"/>
        <v>28900000</v>
      </c>
    </row>
    <row r="1239" spans="4:6" x14ac:dyDescent="0.2">
      <c r="D1239" s="2">
        <v>576000</v>
      </c>
      <c r="F1239" s="2">
        <f t="shared" si="26"/>
        <v>576000</v>
      </c>
    </row>
    <row r="1240" spans="4:6" x14ac:dyDescent="0.2">
      <c r="D1240" s="2">
        <v>13600000</v>
      </c>
      <c r="F1240" s="2">
        <f t="shared" si="26"/>
        <v>13600000</v>
      </c>
    </row>
    <row r="1241" spans="4:6" x14ac:dyDescent="0.2">
      <c r="D1241" s="2">
        <v>827000</v>
      </c>
      <c r="F1241" s="2">
        <f t="shared" si="26"/>
        <v>827000</v>
      </c>
    </row>
    <row r="1242" spans="4:6" x14ac:dyDescent="0.2">
      <c r="D1242" s="2">
        <v>165000000</v>
      </c>
      <c r="F1242" s="2">
        <f t="shared" ref="F1242:F1305" si="27">D1242</f>
        <v>165000000</v>
      </c>
    </row>
    <row r="1243" spans="4:6" x14ac:dyDescent="0.2">
      <c r="D1243" s="2">
        <v>3710000</v>
      </c>
      <c r="F1243" s="2">
        <f t="shared" si="27"/>
        <v>3710000</v>
      </c>
    </row>
    <row r="1244" spans="4:6" x14ac:dyDescent="0.2">
      <c r="D1244" s="2">
        <v>36400000</v>
      </c>
      <c r="F1244" s="2">
        <f t="shared" si="27"/>
        <v>36400000</v>
      </c>
    </row>
    <row r="1245" spans="4:6" x14ac:dyDescent="0.2">
      <c r="D1245" s="2">
        <v>6130000</v>
      </c>
      <c r="F1245" s="2">
        <f t="shared" si="27"/>
        <v>6130000</v>
      </c>
    </row>
    <row r="1246" spans="4:6" x14ac:dyDescent="0.2">
      <c r="D1246" s="2">
        <v>662000</v>
      </c>
      <c r="F1246" s="2">
        <f t="shared" si="27"/>
        <v>662000</v>
      </c>
    </row>
    <row r="1247" spans="4:6" x14ac:dyDescent="0.2">
      <c r="D1247" s="2">
        <v>11100000</v>
      </c>
      <c r="F1247" s="2">
        <f t="shared" si="27"/>
        <v>11100000</v>
      </c>
    </row>
    <row r="1248" spans="4:6" x14ac:dyDescent="0.2">
      <c r="D1248" s="2">
        <v>85500000</v>
      </c>
      <c r="F1248" s="2">
        <f t="shared" si="27"/>
        <v>85500000</v>
      </c>
    </row>
    <row r="1249" spans="4:6" x14ac:dyDescent="0.2">
      <c r="D1249" s="2">
        <v>9660000</v>
      </c>
      <c r="F1249" s="2">
        <f t="shared" si="27"/>
        <v>9660000</v>
      </c>
    </row>
    <row r="1250" spans="4:6" x14ac:dyDescent="0.2">
      <c r="D1250" s="2">
        <v>3310000</v>
      </c>
      <c r="F1250" s="2">
        <f t="shared" si="27"/>
        <v>3310000</v>
      </c>
    </row>
    <row r="1251" spans="4:6" x14ac:dyDescent="0.2">
      <c r="D1251" s="2">
        <v>9710000</v>
      </c>
      <c r="F1251" s="2">
        <f t="shared" si="27"/>
        <v>9710000</v>
      </c>
    </row>
    <row r="1252" spans="4:6" x14ac:dyDescent="0.2">
      <c r="D1252" s="2">
        <v>13600</v>
      </c>
      <c r="F1252" s="2">
        <f t="shared" si="27"/>
        <v>13600</v>
      </c>
    </row>
    <row r="1253" spans="4:6" x14ac:dyDescent="0.2">
      <c r="D1253" s="2">
        <v>9490000</v>
      </c>
      <c r="F1253" s="2">
        <f t="shared" si="27"/>
        <v>9490000</v>
      </c>
    </row>
    <row r="1254" spans="4:6" x14ac:dyDescent="0.2">
      <c r="D1254" s="2">
        <v>3440000</v>
      </c>
      <c r="F1254" s="2">
        <f t="shared" si="27"/>
        <v>3440000</v>
      </c>
    </row>
    <row r="1255" spans="4:6" x14ac:dyDescent="0.2">
      <c r="D1255" s="2">
        <v>4550000</v>
      </c>
      <c r="F1255" s="2">
        <f t="shared" si="27"/>
        <v>4550000</v>
      </c>
    </row>
    <row r="1256" spans="4:6" x14ac:dyDescent="0.2">
      <c r="D1256" s="2">
        <v>1370000</v>
      </c>
      <c r="F1256" s="2">
        <f t="shared" si="27"/>
        <v>1370000</v>
      </c>
    </row>
    <row r="1257" spans="4:6" x14ac:dyDescent="0.2">
      <c r="D1257" s="2">
        <v>31600000</v>
      </c>
      <c r="F1257" s="2">
        <f t="shared" si="27"/>
        <v>31600000</v>
      </c>
    </row>
    <row r="1258" spans="4:6" x14ac:dyDescent="0.2">
      <c r="D1258" s="2">
        <v>20700</v>
      </c>
      <c r="F1258" s="2">
        <f t="shared" si="27"/>
        <v>20700</v>
      </c>
    </row>
    <row r="1259" spans="4:6" x14ac:dyDescent="0.2">
      <c r="D1259" s="2">
        <v>201000</v>
      </c>
      <c r="F1259" s="2">
        <f t="shared" si="27"/>
        <v>201000</v>
      </c>
    </row>
    <row r="1260" spans="4:6" x14ac:dyDescent="0.2">
      <c r="D1260" s="2">
        <v>37200</v>
      </c>
      <c r="F1260" s="2">
        <f t="shared" si="27"/>
        <v>37200</v>
      </c>
    </row>
    <row r="1261" spans="4:6" x14ac:dyDescent="0.2">
      <c r="D1261" s="2">
        <v>300000000</v>
      </c>
      <c r="F1261" s="2">
        <f t="shared" si="27"/>
        <v>300000000</v>
      </c>
    </row>
    <row r="1262" spans="4:6" x14ac:dyDescent="0.2">
      <c r="D1262" s="2">
        <v>150000000</v>
      </c>
      <c r="F1262" s="2">
        <f t="shared" si="27"/>
        <v>150000000</v>
      </c>
    </row>
    <row r="1263" spans="4:6" x14ac:dyDescent="0.2">
      <c r="D1263" s="2">
        <v>799000000</v>
      </c>
      <c r="F1263" s="2">
        <f t="shared" si="27"/>
        <v>799000000</v>
      </c>
    </row>
    <row r="1264" spans="4:6" x14ac:dyDescent="0.2">
      <c r="D1264" s="2">
        <v>36700000</v>
      </c>
      <c r="F1264" s="2">
        <f t="shared" si="27"/>
        <v>36700000</v>
      </c>
    </row>
    <row r="1265" spans="4:6" x14ac:dyDescent="0.2">
      <c r="D1265" s="2">
        <v>545000000</v>
      </c>
      <c r="F1265" s="2">
        <f t="shared" si="27"/>
        <v>545000000</v>
      </c>
    </row>
    <row r="1266" spans="4:6" x14ac:dyDescent="0.2">
      <c r="D1266" s="2">
        <v>95400000</v>
      </c>
      <c r="F1266" s="2">
        <f t="shared" si="27"/>
        <v>95400000</v>
      </c>
    </row>
    <row r="1267" spans="4:6" x14ac:dyDescent="0.2">
      <c r="D1267" s="2">
        <v>44200000</v>
      </c>
      <c r="F1267" s="2">
        <f t="shared" si="27"/>
        <v>44200000</v>
      </c>
    </row>
    <row r="1268" spans="4:6" x14ac:dyDescent="0.2">
      <c r="D1268" s="2">
        <v>290000000</v>
      </c>
      <c r="F1268" s="2">
        <f t="shared" si="27"/>
        <v>290000000</v>
      </c>
    </row>
    <row r="1269" spans="4:6" x14ac:dyDescent="0.2">
      <c r="D1269" s="2">
        <v>713000000</v>
      </c>
      <c r="F1269" s="2">
        <f t="shared" si="27"/>
        <v>713000000</v>
      </c>
    </row>
    <row r="1270" spans="4:6" x14ac:dyDescent="0.2">
      <c r="D1270" s="2">
        <v>15800000</v>
      </c>
      <c r="F1270" s="2">
        <f t="shared" si="27"/>
        <v>15800000</v>
      </c>
    </row>
    <row r="1271" spans="4:6" x14ac:dyDescent="0.2">
      <c r="D1271" s="2">
        <v>232000000</v>
      </c>
      <c r="F1271" s="2">
        <f t="shared" si="27"/>
        <v>232000000</v>
      </c>
    </row>
    <row r="1272" spans="4:6" x14ac:dyDescent="0.2">
      <c r="D1272" s="2">
        <v>21000000000</v>
      </c>
      <c r="F1272" s="2">
        <f t="shared" si="27"/>
        <v>21000000000</v>
      </c>
    </row>
    <row r="1273" spans="4:6" x14ac:dyDescent="0.2">
      <c r="D1273" s="2">
        <v>27300</v>
      </c>
      <c r="F1273" s="2">
        <f t="shared" si="27"/>
        <v>27300</v>
      </c>
    </row>
    <row r="1274" spans="4:6" x14ac:dyDescent="0.2">
      <c r="D1274" s="2">
        <v>242000000</v>
      </c>
      <c r="F1274" s="2">
        <f t="shared" si="27"/>
        <v>242000000</v>
      </c>
    </row>
    <row r="1275" spans="4:6" x14ac:dyDescent="0.2">
      <c r="D1275" s="2">
        <v>78700</v>
      </c>
      <c r="F1275" s="2">
        <f t="shared" si="27"/>
        <v>78700</v>
      </c>
    </row>
    <row r="1276" spans="4:6" x14ac:dyDescent="0.2">
      <c r="D1276" s="2">
        <v>15000000</v>
      </c>
      <c r="F1276" s="2">
        <f t="shared" si="27"/>
        <v>15000000</v>
      </c>
    </row>
    <row r="1277" spans="4:6" x14ac:dyDescent="0.2">
      <c r="D1277" s="2">
        <v>122000</v>
      </c>
      <c r="F1277" s="2">
        <f t="shared" si="27"/>
        <v>122000</v>
      </c>
    </row>
    <row r="1278" spans="4:6" x14ac:dyDescent="0.2">
      <c r="D1278" s="2">
        <v>211000000</v>
      </c>
      <c r="F1278" s="2">
        <f t="shared" si="27"/>
        <v>211000000</v>
      </c>
    </row>
    <row r="1279" spans="4:6" x14ac:dyDescent="0.2">
      <c r="D1279" s="2">
        <v>161000000</v>
      </c>
      <c r="F1279" s="2">
        <f t="shared" si="27"/>
        <v>161000000</v>
      </c>
    </row>
    <row r="1280" spans="4:6" x14ac:dyDescent="0.2">
      <c r="D1280" s="2">
        <v>53100000</v>
      </c>
      <c r="F1280" s="2">
        <f t="shared" si="27"/>
        <v>53100000</v>
      </c>
    </row>
    <row r="1281" spans="4:6" x14ac:dyDescent="0.2">
      <c r="D1281" s="2">
        <v>1270000</v>
      </c>
      <c r="F1281" s="2">
        <f t="shared" si="27"/>
        <v>1270000</v>
      </c>
    </row>
    <row r="1282" spans="4:6" x14ac:dyDescent="0.2">
      <c r="D1282" s="2">
        <v>69000</v>
      </c>
      <c r="F1282" s="2">
        <f t="shared" si="27"/>
        <v>69000</v>
      </c>
    </row>
    <row r="1283" spans="4:6" x14ac:dyDescent="0.2">
      <c r="D1283" s="2">
        <v>617000</v>
      </c>
      <c r="F1283" s="2">
        <f t="shared" si="27"/>
        <v>617000</v>
      </c>
    </row>
    <row r="1284" spans="4:6" x14ac:dyDescent="0.2">
      <c r="D1284" s="2">
        <v>35600000</v>
      </c>
      <c r="F1284" s="2">
        <f t="shared" si="27"/>
        <v>35600000</v>
      </c>
    </row>
    <row r="1285" spans="4:6" x14ac:dyDescent="0.2">
      <c r="D1285" s="2">
        <v>8520000</v>
      </c>
      <c r="F1285" s="2">
        <f t="shared" si="27"/>
        <v>8520000</v>
      </c>
    </row>
    <row r="1286" spans="4:6" x14ac:dyDescent="0.2">
      <c r="D1286" s="2">
        <v>3690000</v>
      </c>
      <c r="F1286" s="2">
        <f t="shared" si="27"/>
        <v>3690000</v>
      </c>
    </row>
    <row r="1287" spans="4:6" x14ac:dyDescent="0.2">
      <c r="D1287" s="2">
        <v>29000000</v>
      </c>
      <c r="F1287" s="2">
        <f t="shared" si="27"/>
        <v>29000000</v>
      </c>
    </row>
    <row r="1288" spans="4:6" x14ac:dyDescent="0.2">
      <c r="D1288" s="2">
        <v>22700</v>
      </c>
      <c r="F1288" s="2">
        <f t="shared" si="27"/>
        <v>22700</v>
      </c>
    </row>
    <row r="1289" spans="4:6" x14ac:dyDescent="0.2">
      <c r="D1289" s="2">
        <v>19000000</v>
      </c>
      <c r="F1289" s="2">
        <f t="shared" si="27"/>
        <v>19000000</v>
      </c>
    </row>
    <row r="1290" spans="4:6" x14ac:dyDescent="0.2">
      <c r="D1290" s="2">
        <v>3730000</v>
      </c>
      <c r="F1290" s="2">
        <f t="shared" si="27"/>
        <v>3730000</v>
      </c>
    </row>
    <row r="1291" spans="4:6" x14ac:dyDescent="0.2">
      <c r="D1291" s="2">
        <v>12900000</v>
      </c>
      <c r="F1291" s="2">
        <f t="shared" si="27"/>
        <v>12900000</v>
      </c>
    </row>
    <row r="1292" spans="4:6" x14ac:dyDescent="0.2">
      <c r="D1292" s="2">
        <v>4660000</v>
      </c>
      <c r="F1292" s="2">
        <f t="shared" si="27"/>
        <v>4660000</v>
      </c>
    </row>
    <row r="1293" spans="4:6" x14ac:dyDescent="0.2">
      <c r="D1293" s="2">
        <v>49500000</v>
      </c>
      <c r="F1293" s="2">
        <f t="shared" si="27"/>
        <v>49500000</v>
      </c>
    </row>
    <row r="1294" spans="4:6" x14ac:dyDescent="0.2">
      <c r="D1294" s="2">
        <v>105000</v>
      </c>
      <c r="F1294" s="2">
        <f t="shared" si="27"/>
        <v>105000</v>
      </c>
    </row>
    <row r="1295" spans="4:6" x14ac:dyDescent="0.2">
      <c r="D1295" s="2">
        <v>625000</v>
      </c>
      <c r="F1295" s="2">
        <f t="shared" si="27"/>
        <v>625000</v>
      </c>
    </row>
    <row r="1296" spans="4:6" x14ac:dyDescent="0.2">
      <c r="D1296" s="2">
        <v>66500</v>
      </c>
      <c r="F1296" s="2">
        <f t="shared" si="27"/>
        <v>66500</v>
      </c>
    </row>
    <row r="1297" spans="4:6" x14ac:dyDescent="0.2">
      <c r="D1297" s="2">
        <v>39600000</v>
      </c>
      <c r="F1297" s="2">
        <f t="shared" si="27"/>
        <v>39600000</v>
      </c>
    </row>
    <row r="1298" spans="4:6" x14ac:dyDescent="0.2">
      <c r="D1298" s="2">
        <v>234000000</v>
      </c>
      <c r="F1298" s="2">
        <f t="shared" si="27"/>
        <v>234000000</v>
      </c>
    </row>
    <row r="1299" spans="4:6" x14ac:dyDescent="0.2">
      <c r="D1299" s="2">
        <v>97900000</v>
      </c>
      <c r="F1299" s="2">
        <f t="shared" si="27"/>
        <v>97900000</v>
      </c>
    </row>
    <row r="1300" spans="4:6" x14ac:dyDescent="0.2">
      <c r="D1300" s="2">
        <v>6640000</v>
      </c>
      <c r="F1300" s="2">
        <f t="shared" si="27"/>
        <v>6640000</v>
      </c>
    </row>
    <row r="1301" spans="4:6" x14ac:dyDescent="0.2">
      <c r="D1301" s="2">
        <v>28100000</v>
      </c>
      <c r="F1301" s="2">
        <f t="shared" si="27"/>
        <v>28100000</v>
      </c>
    </row>
    <row r="1302" spans="4:6" x14ac:dyDescent="0.2">
      <c r="D1302" s="2">
        <v>13300000</v>
      </c>
      <c r="F1302" s="2">
        <f t="shared" si="27"/>
        <v>13300000</v>
      </c>
    </row>
    <row r="1303" spans="4:6" x14ac:dyDescent="0.2">
      <c r="D1303" s="2">
        <v>15900000</v>
      </c>
      <c r="F1303" s="2">
        <f t="shared" si="27"/>
        <v>15900000</v>
      </c>
    </row>
    <row r="1304" spans="4:6" x14ac:dyDescent="0.2">
      <c r="D1304" s="2">
        <v>278000000</v>
      </c>
      <c r="F1304" s="2">
        <f t="shared" si="27"/>
        <v>278000000</v>
      </c>
    </row>
    <row r="1305" spans="4:6" x14ac:dyDescent="0.2">
      <c r="D1305" s="2">
        <v>879000000</v>
      </c>
      <c r="F1305" s="2">
        <f t="shared" si="27"/>
        <v>879000000</v>
      </c>
    </row>
    <row r="1306" spans="4:6" x14ac:dyDescent="0.2">
      <c r="D1306" s="2">
        <v>75300000</v>
      </c>
      <c r="F1306" s="2">
        <f t="shared" ref="F1306:F1369" si="28">D1306</f>
        <v>75300000</v>
      </c>
    </row>
    <row r="1307" spans="4:6" x14ac:dyDescent="0.2">
      <c r="D1307" s="2">
        <v>45700000</v>
      </c>
      <c r="F1307" s="2">
        <f t="shared" si="28"/>
        <v>45700000</v>
      </c>
    </row>
    <row r="1308" spans="4:6" x14ac:dyDescent="0.2">
      <c r="D1308" s="2">
        <v>11400000000</v>
      </c>
      <c r="F1308" s="2">
        <f t="shared" si="28"/>
        <v>11400000000</v>
      </c>
    </row>
    <row r="1309" spans="4:6" x14ac:dyDescent="0.2">
      <c r="D1309" s="2">
        <v>15200</v>
      </c>
      <c r="F1309" s="2">
        <f t="shared" si="28"/>
        <v>15200</v>
      </c>
    </row>
    <row r="1310" spans="4:6" x14ac:dyDescent="0.2">
      <c r="D1310" s="2">
        <v>1380000</v>
      </c>
      <c r="F1310" s="2">
        <f t="shared" si="28"/>
        <v>1380000</v>
      </c>
    </row>
    <row r="1311" spans="4:6" x14ac:dyDescent="0.2">
      <c r="D1311" s="2">
        <v>21600</v>
      </c>
      <c r="F1311" s="2">
        <f t="shared" si="28"/>
        <v>21600</v>
      </c>
    </row>
    <row r="1312" spans="4:6" x14ac:dyDescent="0.2">
      <c r="D1312" s="2">
        <v>10300000</v>
      </c>
      <c r="F1312" s="2">
        <f t="shared" si="28"/>
        <v>10300000</v>
      </c>
    </row>
    <row r="1313" spans="4:6" x14ac:dyDescent="0.2">
      <c r="D1313" s="2">
        <v>4110</v>
      </c>
      <c r="F1313" s="2">
        <f t="shared" si="28"/>
        <v>4110</v>
      </c>
    </row>
    <row r="1314" spans="4:6" x14ac:dyDescent="0.2">
      <c r="D1314" s="2">
        <v>14200000</v>
      </c>
      <c r="F1314" s="2">
        <f t="shared" si="28"/>
        <v>14200000</v>
      </c>
    </row>
    <row r="1315" spans="4:6" x14ac:dyDescent="0.2">
      <c r="D1315" s="2">
        <v>1430000</v>
      </c>
      <c r="F1315" s="2">
        <f t="shared" si="28"/>
        <v>1430000</v>
      </c>
    </row>
    <row r="1316" spans="4:6" x14ac:dyDescent="0.2">
      <c r="D1316" s="2">
        <v>14500000</v>
      </c>
      <c r="F1316" s="2">
        <f t="shared" si="28"/>
        <v>14500000</v>
      </c>
    </row>
    <row r="1317" spans="4:6" x14ac:dyDescent="0.2">
      <c r="D1317" s="2">
        <v>100000</v>
      </c>
      <c r="F1317" s="2">
        <f t="shared" si="28"/>
        <v>100000</v>
      </c>
    </row>
    <row r="1318" spans="4:6" x14ac:dyDescent="0.2">
      <c r="D1318" s="2">
        <v>1580</v>
      </c>
      <c r="F1318" s="2">
        <f t="shared" si="28"/>
        <v>1580</v>
      </c>
    </row>
    <row r="1319" spans="4:6" x14ac:dyDescent="0.2">
      <c r="D1319" s="2">
        <v>48500</v>
      </c>
      <c r="F1319" s="2">
        <f t="shared" si="28"/>
        <v>48500</v>
      </c>
    </row>
    <row r="1320" spans="4:6" x14ac:dyDescent="0.2">
      <c r="D1320" s="2">
        <v>1990000</v>
      </c>
      <c r="F1320" s="2">
        <f t="shared" si="28"/>
        <v>1990000</v>
      </c>
    </row>
    <row r="1321" spans="4:6" x14ac:dyDescent="0.2">
      <c r="D1321" s="2">
        <v>6560000</v>
      </c>
      <c r="F1321" s="2">
        <f t="shared" si="28"/>
        <v>6560000</v>
      </c>
    </row>
    <row r="1322" spans="4:6" x14ac:dyDescent="0.2">
      <c r="D1322" s="2">
        <v>673000</v>
      </c>
      <c r="F1322" s="2">
        <f t="shared" si="28"/>
        <v>673000</v>
      </c>
    </row>
    <row r="1323" spans="4:6" x14ac:dyDescent="0.2">
      <c r="D1323" s="2">
        <v>9680000</v>
      </c>
      <c r="F1323" s="2">
        <f t="shared" si="28"/>
        <v>9680000</v>
      </c>
    </row>
    <row r="1324" spans="4:6" x14ac:dyDescent="0.2">
      <c r="D1324" s="2">
        <v>12300</v>
      </c>
      <c r="F1324" s="2">
        <f t="shared" si="28"/>
        <v>12300</v>
      </c>
    </row>
    <row r="1325" spans="4:6" x14ac:dyDescent="0.2">
      <c r="D1325" s="2">
        <v>23400000</v>
      </c>
      <c r="F1325" s="2">
        <f t="shared" si="28"/>
        <v>23400000</v>
      </c>
    </row>
    <row r="1326" spans="4:6" x14ac:dyDescent="0.2">
      <c r="D1326" s="2">
        <v>185000</v>
      </c>
      <c r="F1326" s="2">
        <f t="shared" si="28"/>
        <v>185000</v>
      </c>
    </row>
    <row r="1327" spans="4:6" x14ac:dyDescent="0.2">
      <c r="D1327" s="2">
        <v>820000</v>
      </c>
      <c r="F1327" s="2">
        <f t="shared" si="28"/>
        <v>820000</v>
      </c>
    </row>
    <row r="1328" spans="4:6" x14ac:dyDescent="0.2">
      <c r="D1328" s="2">
        <v>37900</v>
      </c>
      <c r="F1328" s="2">
        <f t="shared" si="28"/>
        <v>37900</v>
      </c>
    </row>
    <row r="1329" spans="4:6" x14ac:dyDescent="0.2">
      <c r="D1329" s="2">
        <v>7070000</v>
      </c>
      <c r="F1329" s="2">
        <f t="shared" si="28"/>
        <v>7070000</v>
      </c>
    </row>
    <row r="1330" spans="4:6" x14ac:dyDescent="0.2">
      <c r="D1330" s="2">
        <v>2460</v>
      </c>
      <c r="F1330" s="2">
        <f t="shared" si="28"/>
        <v>2460</v>
      </c>
    </row>
    <row r="1331" spans="4:6" x14ac:dyDescent="0.2">
      <c r="D1331" s="2">
        <v>5170</v>
      </c>
      <c r="F1331" s="2">
        <f t="shared" si="28"/>
        <v>5170</v>
      </c>
    </row>
    <row r="1332" spans="4:6" x14ac:dyDescent="0.2">
      <c r="D1332" s="2">
        <v>1050</v>
      </c>
      <c r="F1332" s="2">
        <f t="shared" si="28"/>
        <v>1050</v>
      </c>
    </row>
    <row r="1333" spans="4:6" x14ac:dyDescent="0.2">
      <c r="D1333" s="2">
        <v>2650000</v>
      </c>
      <c r="F1333" s="2">
        <f t="shared" si="28"/>
        <v>2650000</v>
      </c>
    </row>
    <row r="1334" spans="4:6" x14ac:dyDescent="0.2">
      <c r="D1334" s="2">
        <v>639000</v>
      </c>
      <c r="F1334" s="2">
        <f t="shared" si="28"/>
        <v>639000</v>
      </c>
    </row>
    <row r="1335" spans="4:6" x14ac:dyDescent="0.2">
      <c r="D1335" s="2">
        <v>8960000</v>
      </c>
      <c r="F1335" s="2">
        <f t="shared" si="28"/>
        <v>8960000</v>
      </c>
    </row>
    <row r="1336" spans="4:6" x14ac:dyDescent="0.2">
      <c r="D1336" s="2">
        <v>2570000</v>
      </c>
      <c r="F1336" s="2">
        <f t="shared" si="28"/>
        <v>2570000</v>
      </c>
    </row>
    <row r="1337" spans="4:6" x14ac:dyDescent="0.2">
      <c r="D1337" s="2">
        <v>1910000</v>
      </c>
      <c r="F1337" s="2">
        <f t="shared" si="28"/>
        <v>1910000</v>
      </c>
    </row>
    <row r="1338" spans="4:6" x14ac:dyDescent="0.2">
      <c r="D1338" s="2">
        <v>3720000</v>
      </c>
      <c r="F1338" s="2">
        <f t="shared" si="28"/>
        <v>3720000</v>
      </c>
    </row>
    <row r="1339" spans="4:6" x14ac:dyDescent="0.2">
      <c r="D1339" s="2">
        <v>164000</v>
      </c>
      <c r="F1339" s="2">
        <f t="shared" si="28"/>
        <v>164000</v>
      </c>
    </row>
    <row r="1340" spans="4:6" x14ac:dyDescent="0.2">
      <c r="D1340" s="2">
        <v>62900000</v>
      </c>
      <c r="F1340" s="2">
        <f t="shared" si="28"/>
        <v>62900000</v>
      </c>
    </row>
    <row r="1341" spans="4:6" x14ac:dyDescent="0.2">
      <c r="D1341" s="2">
        <v>239000000</v>
      </c>
      <c r="F1341" s="2">
        <f t="shared" si="28"/>
        <v>239000000</v>
      </c>
    </row>
    <row r="1342" spans="4:6" x14ac:dyDescent="0.2">
      <c r="D1342" s="2">
        <v>4880000</v>
      </c>
      <c r="F1342" s="2">
        <f t="shared" si="28"/>
        <v>4880000</v>
      </c>
    </row>
    <row r="1343" spans="4:6" x14ac:dyDescent="0.2">
      <c r="D1343" s="2">
        <v>27400000</v>
      </c>
      <c r="F1343" s="2">
        <f t="shared" si="28"/>
        <v>27400000</v>
      </c>
    </row>
    <row r="1344" spans="4:6" x14ac:dyDescent="0.2">
      <c r="D1344" s="2">
        <v>5300000000</v>
      </c>
      <c r="F1344" s="2">
        <f t="shared" si="28"/>
        <v>5300000000</v>
      </c>
    </row>
    <row r="1345" spans="4:6" x14ac:dyDescent="0.2">
      <c r="D1345" s="2">
        <v>17100</v>
      </c>
      <c r="F1345" s="2">
        <f t="shared" si="28"/>
        <v>17100</v>
      </c>
    </row>
    <row r="1346" spans="4:6" x14ac:dyDescent="0.2">
      <c r="D1346" s="2">
        <v>1130000</v>
      </c>
      <c r="F1346" s="2">
        <f t="shared" si="28"/>
        <v>1130000</v>
      </c>
    </row>
    <row r="1347" spans="4:6" x14ac:dyDescent="0.2">
      <c r="D1347" s="2">
        <v>402000</v>
      </c>
      <c r="F1347" s="2">
        <f t="shared" si="28"/>
        <v>402000</v>
      </c>
    </row>
    <row r="1348" spans="4:6" x14ac:dyDescent="0.2">
      <c r="D1348" s="2">
        <v>5530000</v>
      </c>
      <c r="F1348" s="2">
        <f t="shared" si="28"/>
        <v>5530000</v>
      </c>
    </row>
    <row r="1349" spans="4:6" x14ac:dyDescent="0.2">
      <c r="D1349" s="2">
        <v>569000</v>
      </c>
      <c r="F1349" s="2">
        <f t="shared" si="28"/>
        <v>569000</v>
      </c>
    </row>
    <row r="1350" spans="4:6" x14ac:dyDescent="0.2">
      <c r="D1350" s="2">
        <v>16700000</v>
      </c>
      <c r="F1350" s="2">
        <f t="shared" si="28"/>
        <v>16700000</v>
      </c>
    </row>
    <row r="1351" spans="4:6" x14ac:dyDescent="0.2">
      <c r="D1351" s="2">
        <v>302000</v>
      </c>
      <c r="F1351" s="2">
        <f t="shared" si="28"/>
        <v>302000</v>
      </c>
    </row>
    <row r="1352" spans="4:6" x14ac:dyDescent="0.2">
      <c r="D1352" s="2">
        <v>2380000</v>
      </c>
      <c r="F1352" s="2">
        <f t="shared" si="28"/>
        <v>2380000</v>
      </c>
    </row>
    <row r="1353" spans="4:6" x14ac:dyDescent="0.2">
      <c r="D1353" s="2">
        <v>2410000</v>
      </c>
      <c r="F1353" s="2">
        <f t="shared" si="28"/>
        <v>2410000</v>
      </c>
    </row>
    <row r="1354" spans="4:6" x14ac:dyDescent="0.2">
      <c r="D1354" s="2">
        <v>93200</v>
      </c>
      <c r="F1354" s="2">
        <f t="shared" si="28"/>
        <v>93200</v>
      </c>
    </row>
    <row r="1355" spans="4:6" x14ac:dyDescent="0.2">
      <c r="D1355" s="2">
        <v>729000</v>
      </c>
      <c r="F1355" s="2">
        <f t="shared" si="28"/>
        <v>729000</v>
      </c>
    </row>
    <row r="1356" spans="4:6" x14ac:dyDescent="0.2">
      <c r="D1356" s="2">
        <v>542000</v>
      </c>
      <c r="F1356" s="2">
        <f t="shared" si="28"/>
        <v>542000</v>
      </c>
    </row>
    <row r="1357" spans="4:6" x14ac:dyDescent="0.2">
      <c r="D1357" s="2">
        <v>532000</v>
      </c>
      <c r="F1357" s="2">
        <f t="shared" si="28"/>
        <v>532000</v>
      </c>
    </row>
    <row r="1358" spans="4:6" x14ac:dyDescent="0.2">
      <c r="D1358" s="2">
        <v>471000</v>
      </c>
      <c r="F1358" s="2">
        <f t="shared" si="28"/>
        <v>471000</v>
      </c>
    </row>
    <row r="1359" spans="4:6" x14ac:dyDescent="0.2">
      <c r="D1359" s="2">
        <v>339000</v>
      </c>
      <c r="F1359" s="2">
        <f t="shared" si="28"/>
        <v>339000</v>
      </c>
    </row>
    <row r="1360" spans="4:6" x14ac:dyDescent="0.2">
      <c r="D1360" s="2">
        <v>1890</v>
      </c>
      <c r="F1360" s="2">
        <f t="shared" si="28"/>
        <v>1890</v>
      </c>
    </row>
    <row r="1361" spans="4:6" x14ac:dyDescent="0.2">
      <c r="D1361" s="2">
        <v>272000</v>
      </c>
      <c r="F1361" s="2">
        <f t="shared" si="28"/>
        <v>272000</v>
      </c>
    </row>
    <row r="1362" spans="4:6" x14ac:dyDescent="0.2">
      <c r="D1362" s="2">
        <v>377000</v>
      </c>
      <c r="F1362" s="2">
        <f t="shared" si="28"/>
        <v>377000</v>
      </c>
    </row>
    <row r="1363" spans="4:6" x14ac:dyDescent="0.2">
      <c r="D1363" s="2">
        <v>106000</v>
      </c>
      <c r="F1363" s="2">
        <f t="shared" si="28"/>
        <v>106000</v>
      </c>
    </row>
    <row r="1364" spans="4:6" x14ac:dyDescent="0.2">
      <c r="D1364" s="2">
        <v>14500000</v>
      </c>
      <c r="F1364" s="2">
        <f t="shared" si="28"/>
        <v>14500000</v>
      </c>
    </row>
    <row r="1365" spans="4:6" x14ac:dyDescent="0.2">
      <c r="D1365" s="2">
        <v>6350000</v>
      </c>
      <c r="F1365" s="2">
        <f t="shared" si="28"/>
        <v>6350000</v>
      </c>
    </row>
    <row r="1366" spans="4:6" x14ac:dyDescent="0.2">
      <c r="D1366" s="2">
        <v>29700</v>
      </c>
      <c r="F1366" s="2">
        <f t="shared" si="28"/>
        <v>29700</v>
      </c>
    </row>
    <row r="1367" spans="4:6" x14ac:dyDescent="0.2">
      <c r="D1367" s="2">
        <v>40600</v>
      </c>
      <c r="F1367" s="2">
        <f t="shared" si="28"/>
        <v>40600</v>
      </c>
    </row>
    <row r="1368" spans="4:6" x14ac:dyDescent="0.2">
      <c r="D1368" s="2">
        <v>71100</v>
      </c>
      <c r="F1368" s="2">
        <f t="shared" si="28"/>
        <v>71100</v>
      </c>
    </row>
    <row r="1369" spans="4:6" x14ac:dyDescent="0.2">
      <c r="D1369" s="2">
        <v>30000</v>
      </c>
      <c r="F1369" s="2">
        <f t="shared" si="28"/>
        <v>30000</v>
      </c>
    </row>
    <row r="1370" spans="4:6" x14ac:dyDescent="0.2">
      <c r="D1370" s="2">
        <v>10100</v>
      </c>
      <c r="F1370" s="2">
        <f t="shared" ref="F1370:F1433" si="29">D1370</f>
        <v>10100</v>
      </c>
    </row>
    <row r="1371" spans="4:6" x14ac:dyDescent="0.2">
      <c r="D1371" s="2">
        <v>23000</v>
      </c>
      <c r="F1371" s="2">
        <f t="shared" si="29"/>
        <v>23000</v>
      </c>
    </row>
    <row r="1372" spans="4:6" x14ac:dyDescent="0.2">
      <c r="D1372" s="2">
        <v>14400</v>
      </c>
      <c r="F1372" s="2">
        <f t="shared" si="29"/>
        <v>14400</v>
      </c>
    </row>
    <row r="1373" spans="4:6" x14ac:dyDescent="0.2">
      <c r="D1373" s="2">
        <v>3060</v>
      </c>
      <c r="F1373" s="2">
        <f t="shared" si="29"/>
        <v>3060</v>
      </c>
    </row>
    <row r="1374" spans="4:6" x14ac:dyDescent="0.2">
      <c r="D1374" s="2">
        <v>201000</v>
      </c>
      <c r="F1374" s="2">
        <f t="shared" si="29"/>
        <v>201000</v>
      </c>
    </row>
    <row r="1375" spans="4:6" x14ac:dyDescent="0.2">
      <c r="D1375" s="2">
        <v>1060</v>
      </c>
      <c r="F1375" s="2">
        <f t="shared" si="29"/>
        <v>1060</v>
      </c>
    </row>
    <row r="1376" spans="4:6" x14ac:dyDescent="0.2">
      <c r="D1376" s="2">
        <v>28100</v>
      </c>
      <c r="F1376" s="2">
        <f t="shared" si="29"/>
        <v>28100</v>
      </c>
    </row>
    <row r="1377" spans="4:6" x14ac:dyDescent="0.2">
      <c r="D1377" s="2">
        <v>1030000</v>
      </c>
      <c r="F1377" s="2">
        <f t="shared" si="29"/>
        <v>1030000</v>
      </c>
    </row>
    <row r="1378" spans="4:6" x14ac:dyDescent="0.2">
      <c r="D1378" s="2">
        <v>3810</v>
      </c>
      <c r="F1378" s="2">
        <f t="shared" si="29"/>
        <v>3810</v>
      </c>
    </row>
    <row r="1379" spans="4:6" x14ac:dyDescent="0.2">
      <c r="D1379" s="2">
        <v>102000</v>
      </c>
      <c r="F1379" s="2">
        <f t="shared" si="29"/>
        <v>102000</v>
      </c>
    </row>
    <row r="1380" spans="4:6" x14ac:dyDescent="0.2">
      <c r="D1380" s="2">
        <v>17900000</v>
      </c>
      <c r="F1380" s="2">
        <f t="shared" si="29"/>
        <v>17900000</v>
      </c>
    </row>
    <row r="1381" spans="4:6" x14ac:dyDescent="0.2">
      <c r="D1381" s="2">
        <v>4520</v>
      </c>
      <c r="F1381" s="2">
        <f t="shared" si="29"/>
        <v>4520</v>
      </c>
    </row>
    <row r="1382" spans="4:6" x14ac:dyDescent="0.2">
      <c r="D1382" s="2">
        <v>25200</v>
      </c>
      <c r="F1382" s="2">
        <f t="shared" si="29"/>
        <v>25200</v>
      </c>
    </row>
    <row r="1383" spans="4:6" x14ac:dyDescent="0.2">
      <c r="D1383" s="2">
        <v>15900</v>
      </c>
      <c r="F1383" s="2">
        <f t="shared" si="29"/>
        <v>15900</v>
      </c>
    </row>
    <row r="1384" spans="4:6" x14ac:dyDescent="0.2">
      <c r="D1384" s="2">
        <v>19500</v>
      </c>
      <c r="F1384" s="2">
        <f t="shared" si="29"/>
        <v>19500</v>
      </c>
    </row>
    <row r="1385" spans="4:6" x14ac:dyDescent="0.2">
      <c r="D1385" s="2">
        <v>241000</v>
      </c>
      <c r="F1385" s="2">
        <f t="shared" si="29"/>
        <v>241000</v>
      </c>
    </row>
    <row r="1386" spans="4:6" x14ac:dyDescent="0.2">
      <c r="D1386" s="2">
        <v>22100</v>
      </c>
      <c r="F1386" s="2">
        <f t="shared" si="29"/>
        <v>22100</v>
      </c>
    </row>
    <row r="1387" spans="4:6" x14ac:dyDescent="0.2">
      <c r="D1387" s="2">
        <v>2850000</v>
      </c>
      <c r="F1387" s="2">
        <f t="shared" si="29"/>
        <v>2850000</v>
      </c>
    </row>
    <row r="1388" spans="4:6" x14ac:dyDescent="0.2">
      <c r="D1388" s="2">
        <v>3090</v>
      </c>
      <c r="F1388" s="2">
        <f t="shared" si="29"/>
        <v>3090</v>
      </c>
    </row>
    <row r="1389" spans="4:6" x14ac:dyDescent="0.2">
      <c r="D1389" s="2">
        <v>15400</v>
      </c>
      <c r="F1389" s="2">
        <f t="shared" si="29"/>
        <v>15400</v>
      </c>
    </row>
    <row r="1390" spans="4:6" x14ac:dyDescent="0.2">
      <c r="D1390" s="2">
        <v>17900</v>
      </c>
      <c r="F1390" s="2">
        <f t="shared" si="29"/>
        <v>17900</v>
      </c>
    </row>
    <row r="1391" spans="4:6" x14ac:dyDescent="0.2">
      <c r="D1391" s="2">
        <v>17500</v>
      </c>
      <c r="F1391" s="2">
        <f t="shared" si="29"/>
        <v>17500</v>
      </c>
    </row>
    <row r="1392" spans="4:6" x14ac:dyDescent="0.2">
      <c r="D1392" s="2">
        <v>3850</v>
      </c>
      <c r="F1392" s="2">
        <f t="shared" si="29"/>
        <v>3850</v>
      </c>
    </row>
    <row r="1393" spans="4:6" x14ac:dyDescent="0.2">
      <c r="D1393" s="2">
        <v>6600</v>
      </c>
      <c r="F1393" s="2">
        <f t="shared" si="29"/>
        <v>6600</v>
      </c>
    </row>
    <row r="1394" spans="4:6" x14ac:dyDescent="0.2">
      <c r="D1394" s="2">
        <v>9600</v>
      </c>
      <c r="F1394" s="2">
        <f t="shared" si="29"/>
        <v>9600</v>
      </c>
    </row>
    <row r="1395" spans="4:6" x14ac:dyDescent="0.2">
      <c r="D1395" s="2">
        <v>32200</v>
      </c>
      <c r="F1395" s="2">
        <f t="shared" si="29"/>
        <v>32200</v>
      </c>
    </row>
    <row r="1396" spans="4:6" x14ac:dyDescent="0.2">
      <c r="D1396" s="2">
        <v>1850</v>
      </c>
      <c r="F1396" s="2">
        <f t="shared" si="29"/>
        <v>1850</v>
      </c>
    </row>
    <row r="1397" spans="4:6" x14ac:dyDescent="0.2">
      <c r="D1397" s="2">
        <v>25600</v>
      </c>
      <c r="F1397" s="2">
        <f t="shared" si="29"/>
        <v>25600</v>
      </c>
    </row>
    <row r="1398" spans="4:6" x14ac:dyDescent="0.2">
      <c r="D1398" s="2">
        <v>1840</v>
      </c>
      <c r="F1398" s="2">
        <f t="shared" si="29"/>
        <v>1840</v>
      </c>
    </row>
    <row r="1399" spans="4:6" x14ac:dyDescent="0.2">
      <c r="D1399" s="2">
        <v>1040</v>
      </c>
      <c r="F1399" s="2">
        <f t="shared" si="29"/>
        <v>1040</v>
      </c>
    </row>
    <row r="1400" spans="4:6" x14ac:dyDescent="0.2">
      <c r="D1400" s="2">
        <v>3600</v>
      </c>
      <c r="F1400" s="2">
        <f t="shared" si="29"/>
        <v>3600</v>
      </c>
    </row>
    <row r="1401" spans="4:6" x14ac:dyDescent="0.2">
      <c r="D1401" s="2">
        <v>14400</v>
      </c>
      <c r="F1401" s="2">
        <f t="shared" si="29"/>
        <v>14400</v>
      </c>
    </row>
    <row r="1402" spans="4:6" x14ac:dyDescent="0.2">
      <c r="D1402" s="2">
        <v>7610</v>
      </c>
      <c r="F1402" s="2">
        <f t="shared" si="29"/>
        <v>7610</v>
      </c>
    </row>
    <row r="1403" spans="4:6" x14ac:dyDescent="0.2">
      <c r="D1403" s="2">
        <v>9350</v>
      </c>
      <c r="F1403" s="2">
        <f t="shared" si="29"/>
        <v>9350</v>
      </c>
    </row>
    <row r="1404" spans="4:6" x14ac:dyDescent="0.2">
      <c r="D1404" s="2">
        <v>1440</v>
      </c>
      <c r="F1404" s="2">
        <f t="shared" si="29"/>
        <v>1440</v>
      </c>
    </row>
    <row r="1405" spans="4:6" x14ac:dyDescent="0.2">
      <c r="D1405" s="2">
        <v>5950000</v>
      </c>
      <c r="F1405" s="2">
        <f t="shared" si="29"/>
        <v>5950000</v>
      </c>
    </row>
    <row r="1406" spans="4:6" x14ac:dyDescent="0.2">
      <c r="D1406" s="2">
        <v>2820000</v>
      </c>
      <c r="F1406" s="2">
        <f t="shared" si="29"/>
        <v>2820000</v>
      </c>
    </row>
    <row r="1407" spans="4:6" x14ac:dyDescent="0.2">
      <c r="D1407" s="2">
        <v>21000000</v>
      </c>
      <c r="F1407" s="2">
        <f t="shared" si="29"/>
        <v>21000000</v>
      </c>
    </row>
    <row r="1408" spans="4:6" x14ac:dyDescent="0.2">
      <c r="D1408" s="2">
        <v>8480000</v>
      </c>
      <c r="F1408" s="2">
        <f t="shared" si="29"/>
        <v>8480000</v>
      </c>
    </row>
    <row r="1409" spans="4:6" x14ac:dyDescent="0.2">
      <c r="D1409" s="2">
        <v>9510000</v>
      </c>
      <c r="F1409" s="2">
        <f t="shared" si="29"/>
        <v>9510000</v>
      </c>
    </row>
    <row r="1410" spans="4:6" x14ac:dyDescent="0.2">
      <c r="D1410" s="2">
        <v>41300000</v>
      </c>
      <c r="F1410" s="2">
        <f t="shared" si="29"/>
        <v>41300000</v>
      </c>
    </row>
    <row r="1411" spans="4:6" x14ac:dyDescent="0.2">
      <c r="D1411" s="2">
        <v>670000</v>
      </c>
      <c r="F1411" s="2">
        <f t="shared" si="29"/>
        <v>670000</v>
      </c>
    </row>
    <row r="1412" spans="4:6" x14ac:dyDescent="0.2">
      <c r="D1412" s="2">
        <v>12400000</v>
      </c>
      <c r="F1412" s="2">
        <f t="shared" si="29"/>
        <v>12400000</v>
      </c>
    </row>
    <row r="1413" spans="4:6" x14ac:dyDescent="0.2">
      <c r="D1413" s="2">
        <v>52200000</v>
      </c>
      <c r="F1413" s="2">
        <f t="shared" si="29"/>
        <v>52200000</v>
      </c>
    </row>
    <row r="1414" spans="4:6" x14ac:dyDescent="0.2">
      <c r="D1414" s="2">
        <v>3650000</v>
      </c>
      <c r="F1414" s="2">
        <f t="shared" si="29"/>
        <v>3650000</v>
      </c>
    </row>
    <row r="1415" spans="4:6" x14ac:dyDescent="0.2">
      <c r="D1415" s="2">
        <v>31400000</v>
      </c>
      <c r="F1415" s="2">
        <f t="shared" si="29"/>
        <v>31400000</v>
      </c>
    </row>
    <row r="1416" spans="4:6" x14ac:dyDescent="0.2">
      <c r="D1416" s="2">
        <v>1480000000</v>
      </c>
      <c r="F1416" s="2">
        <f t="shared" si="29"/>
        <v>1480000000</v>
      </c>
    </row>
    <row r="1417" spans="4:6" x14ac:dyDescent="0.2">
      <c r="D1417" s="2">
        <v>14300</v>
      </c>
      <c r="F1417" s="2">
        <f t="shared" si="29"/>
        <v>14300</v>
      </c>
    </row>
    <row r="1418" spans="4:6" x14ac:dyDescent="0.2">
      <c r="D1418" s="2">
        <v>154000000</v>
      </c>
      <c r="F1418" s="2">
        <f t="shared" si="29"/>
        <v>154000000</v>
      </c>
    </row>
    <row r="1419" spans="4:6" x14ac:dyDescent="0.2">
      <c r="D1419" s="2">
        <v>424000</v>
      </c>
      <c r="F1419" s="2">
        <f t="shared" si="29"/>
        <v>424000</v>
      </c>
    </row>
    <row r="1420" spans="4:6" x14ac:dyDescent="0.2">
      <c r="D1420" s="2">
        <v>513000</v>
      </c>
      <c r="F1420" s="2">
        <f t="shared" si="29"/>
        <v>513000</v>
      </c>
    </row>
    <row r="1421" spans="4:6" x14ac:dyDescent="0.2">
      <c r="D1421" s="2">
        <v>1120000</v>
      </c>
      <c r="F1421" s="2">
        <f t="shared" si="29"/>
        <v>1120000</v>
      </c>
    </row>
    <row r="1422" spans="4:6" x14ac:dyDescent="0.2">
      <c r="D1422" s="2">
        <v>81000000</v>
      </c>
      <c r="F1422" s="2">
        <f t="shared" si="29"/>
        <v>81000000</v>
      </c>
    </row>
    <row r="1423" spans="4:6" x14ac:dyDescent="0.2">
      <c r="D1423" s="2">
        <v>69400</v>
      </c>
      <c r="F1423" s="2">
        <f t="shared" si="29"/>
        <v>69400</v>
      </c>
    </row>
    <row r="1424" spans="4:6" x14ac:dyDescent="0.2">
      <c r="D1424" s="2">
        <v>7640000</v>
      </c>
      <c r="F1424" s="2">
        <f t="shared" si="29"/>
        <v>7640000</v>
      </c>
    </row>
    <row r="1425" spans="4:6" x14ac:dyDescent="0.2">
      <c r="D1425" s="2">
        <v>1200000</v>
      </c>
      <c r="F1425" s="2">
        <f t="shared" si="29"/>
        <v>1200000</v>
      </c>
    </row>
    <row r="1426" spans="4:6" x14ac:dyDescent="0.2">
      <c r="D1426" s="2">
        <v>233000</v>
      </c>
      <c r="F1426" s="2">
        <f t="shared" si="29"/>
        <v>233000</v>
      </c>
    </row>
    <row r="1427" spans="4:6" x14ac:dyDescent="0.2">
      <c r="D1427" s="2">
        <v>1310000</v>
      </c>
      <c r="F1427" s="2">
        <f t="shared" si="29"/>
        <v>1310000</v>
      </c>
    </row>
    <row r="1428" spans="4:6" x14ac:dyDescent="0.2">
      <c r="D1428" s="2">
        <v>3850000</v>
      </c>
      <c r="F1428" s="2">
        <f t="shared" si="29"/>
        <v>3850000</v>
      </c>
    </row>
    <row r="1429" spans="4:6" x14ac:dyDescent="0.2">
      <c r="D1429" s="2">
        <v>655000</v>
      </c>
      <c r="F1429" s="2">
        <f t="shared" si="29"/>
        <v>655000</v>
      </c>
    </row>
    <row r="1430" spans="4:6" x14ac:dyDescent="0.2">
      <c r="D1430" s="2">
        <v>1410000</v>
      </c>
      <c r="F1430" s="2">
        <f t="shared" si="29"/>
        <v>1410000</v>
      </c>
    </row>
    <row r="1431" spans="4:6" x14ac:dyDescent="0.2">
      <c r="D1431" s="2">
        <v>389000</v>
      </c>
      <c r="F1431" s="2">
        <f t="shared" si="29"/>
        <v>389000</v>
      </c>
    </row>
    <row r="1432" spans="4:6" x14ac:dyDescent="0.2">
      <c r="D1432" s="2">
        <v>4020</v>
      </c>
      <c r="F1432" s="2">
        <f t="shared" si="29"/>
        <v>4020</v>
      </c>
    </row>
    <row r="1433" spans="4:6" x14ac:dyDescent="0.2">
      <c r="D1433" s="2">
        <v>455000</v>
      </c>
      <c r="F1433" s="2">
        <f t="shared" si="29"/>
        <v>455000</v>
      </c>
    </row>
    <row r="1434" spans="4:6" x14ac:dyDescent="0.2">
      <c r="D1434" s="2">
        <v>1140000</v>
      </c>
      <c r="F1434" s="2">
        <f t="shared" ref="F1434:F1497" si="30">D1434</f>
        <v>1140000</v>
      </c>
    </row>
    <row r="1435" spans="4:6" x14ac:dyDescent="0.2">
      <c r="D1435" s="2">
        <v>5210000</v>
      </c>
      <c r="F1435" s="2">
        <f t="shared" si="30"/>
        <v>5210000</v>
      </c>
    </row>
    <row r="1436" spans="4:6" x14ac:dyDescent="0.2">
      <c r="D1436" s="2">
        <v>1900000</v>
      </c>
      <c r="F1436" s="2">
        <f t="shared" si="30"/>
        <v>1900000</v>
      </c>
    </row>
    <row r="1437" spans="4:6" x14ac:dyDescent="0.2">
      <c r="D1437" s="2">
        <v>13800000</v>
      </c>
      <c r="F1437" s="2">
        <f t="shared" si="30"/>
        <v>13800000</v>
      </c>
    </row>
    <row r="1438" spans="4:6" x14ac:dyDescent="0.2">
      <c r="D1438" s="2">
        <v>15500</v>
      </c>
      <c r="F1438" s="2">
        <f t="shared" si="30"/>
        <v>15500</v>
      </c>
    </row>
    <row r="1439" spans="4:6" x14ac:dyDescent="0.2">
      <c r="D1439" s="2">
        <v>38600</v>
      </c>
      <c r="F1439" s="2">
        <f t="shared" si="30"/>
        <v>38600</v>
      </c>
    </row>
    <row r="1440" spans="4:6" x14ac:dyDescent="0.2">
      <c r="D1440" s="2">
        <v>61400</v>
      </c>
      <c r="F1440" s="2">
        <f t="shared" si="30"/>
        <v>61400</v>
      </c>
    </row>
    <row r="1441" spans="4:6" x14ac:dyDescent="0.2">
      <c r="D1441" s="2">
        <v>1350000</v>
      </c>
      <c r="F1441" s="2">
        <f t="shared" si="30"/>
        <v>1350000</v>
      </c>
    </row>
    <row r="1442" spans="4:6" x14ac:dyDescent="0.2">
      <c r="D1442" s="2">
        <v>266000</v>
      </c>
      <c r="F1442" s="2">
        <f t="shared" si="30"/>
        <v>266000</v>
      </c>
    </row>
    <row r="1443" spans="4:6" x14ac:dyDescent="0.2">
      <c r="D1443" s="2">
        <v>27200000</v>
      </c>
      <c r="F1443" s="2">
        <f t="shared" si="30"/>
        <v>27200000</v>
      </c>
    </row>
    <row r="1444" spans="4:6" x14ac:dyDescent="0.2">
      <c r="D1444" s="2">
        <v>1490000</v>
      </c>
      <c r="F1444" s="2">
        <f t="shared" si="30"/>
        <v>1490000</v>
      </c>
    </row>
    <row r="1445" spans="4:6" x14ac:dyDescent="0.2">
      <c r="D1445" s="2">
        <v>803000</v>
      </c>
      <c r="F1445" s="2">
        <f t="shared" si="30"/>
        <v>803000</v>
      </c>
    </row>
    <row r="1446" spans="4:6" x14ac:dyDescent="0.2">
      <c r="D1446" s="2">
        <v>8710000</v>
      </c>
      <c r="F1446" s="2">
        <f t="shared" si="30"/>
        <v>8710000</v>
      </c>
    </row>
    <row r="1447" spans="4:6" x14ac:dyDescent="0.2">
      <c r="D1447" s="2">
        <v>2710000</v>
      </c>
      <c r="F1447" s="2">
        <f t="shared" si="30"/>
        <v>2710000</v>
      </c>
    </row>
    <row r="1448" spans="4:6" x14ac:dyDescent="0.2">
      <c r="D1448" s="2">
        <v>4560000</v>
      </c>
      <c r="F1448" s="2">
        <f t="shared" si="30"/>
        <v>4560000</v>
      </c>
    </row>
    <row r="1449" spans="4:6" x14ac:dyDescent="0.2">
      <c r="D1449" s="2">
        <v>24900000</v>
      </c>
      <c r="F1449" s="2">
        <f t="shared" si="30"/>
        <v>24900000</v>
      </c>
    </row>
    <row r="1450" spans="4:6" x14ac:dyDescent="0.2">
      <c r="D1450" s="2">
        <v>365000</v>
      </c>
      <c r="F1450" s="2">
        <f t="shared" si="30"/>
        <v>365000</v>
      </c>
    </row>
    <row r="1451" spans="4:6" x14ac:dyDescent="0.2">
      <c r="D1451" s="2">
        <v>16300000</v>
      </c>
      <c r="F1451" s="2">
        <f t="shared" si="30"/>
        <v>16300000</v>
      </c>
    </row>
    <row r="1452" spans="4:6" x14ac:dyDescent="0.2">
      <c r="D1452" s="2">
        <v>410000000</v>
      </c>
      <c r="F1452" s="2">
        <f t="shared" si="30"/>
        <v>410000000</v>
      </c>
    </row>
    <row r="1453" spans="4:6" x14ac:dyDescent="0.2">
      <c r="D1453" s="2">
        <v>7400</v>
      </c>
      <c r="F1453" s="2">
        <f t="shared" si="30"/>
        <v>7400</v>
      </c>
    </row>
    <row r="1454" spans="4:6" x14ac:dyDescent="0.2">
      <c r="D1454" s="2">
        <v>135000000</v>
      </c>
      <c r="F1454" s="2">
        <f t="shared" si="30"/>
        <v>135000000</v>
      </c>
    </row>
    <row r="1455" spans="4:6" x14ac:dyDescent="0.2">
      <c r="D1455" s="2">
        <v>48700</v>
      </c>
      <c r="F1455" s="2">
        <f t="shared" si="30"/>
        <v>48700</v>
      </c>
    </row>
    <row r="1456" spans="4:6" x14ac:dyDescent="0.2">
      <c r="D1456" s="2">
        <v>253000</v>
      </c>
      <c r="F1456" s="2">
        <f t="shared" si="30"/>
        <v>253000</v>
      </c>
    </row>
    <row r="1457" spans="4:6" x14ac:dyDescent="0.2">
      <c r="D1457" s="2">
        <v>708000</v>
      </c>
      <c r="F1457" s="2">
        <f t="shared" si="30"/>
        <v>708000</v>
      </c>
    </row>
    <row r="1458" spans="4:6" x14ac:dyDescent="0.2">
      <c r="D1458" s="2">
        <v>26200000</v>
      </c>
      <c r="F1458" s="2">
        <f t="shared" si="30"/>
        <v>26200000</v>
      </c>
    </row>
    <row r="1459" spans="4:6" x14ac:dyDescent="0.2">
      <c r="D1459" s="2">
        <v>114000</v>
      </c>
      <c r="F1459" s="2">
        <f t="shared" si="30"/>
        <v>114000</v>
      </c>
    </row>
    <row r="1460" spans="4:6" x14ac:dyDescent="0.2">
      <c r="D1460" s="2">
        <v>3550000</v>
      </c>
      <c r="F1460" s="2">
        <f t="shared" si="30"/>
        <v>3550000</v>
      </c>
    </row>
    <row r="1461" spans="4:6" x14ac:dyDescent="0.2">
      <c r="D1461" s="2">
        <v>841000</v>
      </c>
      <c r="F1461" s="2">
        <f t="shared" si="30"/>
        <v>841000</v>
      </c>
    </row>
    <row r="1462" spans="4:6" x14ac:dyDescent="0.2">
      <c r="D1462" s="2">
        <v>927000</v>
      </c>
      <c r="F1462" s="2">
        <f t="shared" si="30"/>
        <v>927000</v>
      </c>
    </row>
    <row r="1463" spans="4:6" x14ac:dyDescent="0.2">
      <c r="D1463" s="2">
        <v>1570000</v>
      </c>
      <c r="F1463" s="2">
        <f t="shared" si="30"/>
        <v>1570000</v>
      </c>
    </row>
    <row r="1464" spans="4:6" x14ac:dyDescent="0.2">
      <c r="D1464" s="2">
        <v>50200000</v>
      </c>
      <c r="F1464" s="2">
        <f t="shared" si="30"/>
        <v>50200000</v>
      </c>
    </row>
    <row r="1465" spans="4:6" x14ac:dyDescent="0.2">
      <c r="D1465" s="2">
        <v>603000</v>
      </c>
      <c r="F1465" s="2">
        <f t="shared" si="30"/>
        <v>603000</v>
      </c>
    </row>
    <row r="1466" spans="4:6" x14ac:dyDescent="0.2">
      <c r="D1466" s="2">
        <v>478000</v>
      </c>
      <c r="F1466" s="2">
        <f t="shared" si="30"/>
        <v>478000</v>
      </c>
    </row>
    <row r="1467" spans="4:6" x14ac:dyDescent="0.2">
      <c r="D1467" s="2">
        <v>130000</v>
      </c>
      <c r="F1467" s="2">
        <f t="shared" si="30"/>
        <v>130000</v>
      </c>
    </row>
    <row r="1468" spans="4:6" x14ac:dyDescent="0.2">
      <c r="D1468" s="2">
        <v>5360</v>
      </c>
      <c r="F1468" s="2">
        <f t="shared" si="30"/>
        <v>5360</v>
      </c>
    </row>
    <row r="1469" spans="4:6" x14ac:dyDescent="0.2">
      <c r="D1469" s="2">
        <v>238000</v>
      </c>
      <c r="F1469" s="2">
        <f t="shared" si="30"/>
        <v>238000</v>
      </c>
    </row>
    <row r="1470" spans="4:6" x14ac:dyDescent="0.2">
      <c r="D1470" s="2">
        <v>1100000</v>
      </c>
      <c r="F1470" s="2">
        <f t="shared" si="30"/>
        <v>1100000</v>
      </c>
    </row>
    <row r="1471" spans="4:6" x14ac:dyDescent="0.2">
      <c r="D1471" s="2">
        <v>198000</v>
      </c>
      <c r="F1471" s="2">
        <f t="shared" si="30"/>
        <v>198000</v>
      </c>
    </row>
    <row r="1472" spans="4:6" x14ac:dyDescent="0.2">
      <c r="D1472" s="2">
        <v>525000</v>
      </c>
      <c r="F1472" s="2">
        <f t="shared" si="30"/>
        <v>525000</v>
      </c>
    </row>
    <row r="1473" spans="4:6" x14ac:dyDescent="0.2">
      <c r="D1473" s="2">
        <v>2500000</v>
      </c>
      <c r="F1473" s="2">
        <f t="shared" si="30"/>
        <v>2500000</v>
      </c>
    </row>
    <row r="1474" spans="4:6" x14ac:dyDescent="0.2">
      <c r="D1474" s="2">
        <v>1490</v>
      </c>
      <c r="F1474" s="2">
        <f t="shared" si="30"/>
        <v>1490</v>
      </c>
    </row>
    <row r="1475" spans="4:6" x14ac:dyDescent="0.2">
      <c r="D1475" s="2">
        <v>29200</v>
      </c>
      <c r="F1475" s="2">
        <f t="shared" si="30"/>
        <v>29200</v>
      </c>
    </row>
    <row r="1476" spans="4:6" x14ac:dyDescent="0.2">
      <c r="D1476" s="2">
        <v>33500</v>
      </c>
      <c r="F1476" s="2">
        <f t="shared" si="30"/>
        <v>33500</v>
      </c>
    </row>
    <row r="1477" spans="4:6" x14ac:dyDescent="0.2">
      <c r="D1477" s="2">
        <v>523000</v>
      </c>
      <c r="F1477" s="2">
        <f t="shared" si="30"/>
        <v>523000</v>
      </c>
    </row>
    <row r="1478" spans="4:6" x14ac:dyDescent="0.2">
      <c r="D1478" s="2">
        <v>1250000</v>
      </c>
      <c r="F1478" s="2">
        <f t="shared" si="30"/>
        <v>1250000</v>
      </c>
    </row>
    <row r="1479" spans="4:6" x14ac:dyDescent="0.2">
      <c r="D1479" s="2">
        <v>930000</v>
      </c>
      <c r="F1479" s="2">
        <f t="shared" si="30"/>
        <v>930000</v>
      </c>
    </row>
    <row r="1480" spans="4:6" x14ac:dyDescent="0.2">
      <c r="D1480" s="2">
        <v>970000</v>
      </c>
      <c r="F1480" s="2">
        <f t="shared" si="30"/>
        <v>970000</v>
      </c>
    </row>
    <row r="1481" spans="4:6" x14ac:dyDescent="0.2">
      <c r="D1481" s="2">
        <v>733000</v>
      </c>
      <c r="F1481" s="2">
        <f t="shared" si="30"/>
        <v>733000</v>
      </c>
    </row>
    <row r="1482" spans="4:6" x14ac:dyDescent="0.2">
      <c r="D1482" s="2">
        <v>1280000</v>
      </c>
      <c r="F1482" s="2">
        <f t="shared" si="30"/>
        <v>1280000</v>
      </c>
    </row>
    <row r="1483" spans="4:6" x14ac:dyDescent="0.2">
      <c r="D1483" s="2">
        <v>147000</v>
      </c>
      <c r="F1483" s="2">
        <f t="shared" si="30"/>
        <v>147000</v>
      </c>
    </row>
    <row r="1484" spans="4:6" x14ac:dyDescent="0.2">
      <c r="D1484" s="2">
        <v>7620000</v>
      </c>
      <c r="F1484" s="2">
        <f t="shared" si="30"/>
        <v>7620000</v>
      </c>
    </row>
    <row r="1485" spans="4:6" x14ac:dyDescent="0.2">
      <c r="D1485" s="2">
        <v>49300000</v>
      </c>
      <c r="F1485" s="2">
        <f t="shared" si="30"/>
        <v>49300000</v>
      </c>
    </row>
    <row r="1486" spans="4:6" x14ac:dyDescent="0.2">
      <c r="D1486" s="2">
        <v>1080000</v>
      </c>
      <c r="F1486" s="2">
        <f t="shared" si="30"/>
        <v>1080000</v>
      </c>
    </row>
    <row r="1487" spans="4:6" x14ac:dyDescent="0.2">
      <c r="D1487" s="2">
        <v>2980000</v>
      </c>
      <c r="F1487" s="2">
        <f t="shared" si="30"/>
        <v>2980000</v>
      </c>
    </row>
    <row r="1488" spans="4:6" x14ac:dyDescent="0.2">
      <c r="D1488" s="2">
        <v>891000000</v>
      </c>
      <c r="F1488" s="2">
        <f t="shared" si="30"/>
        <v>891000000</v>
      </c>
    </row>
    <row r="1489" spans="4:6" x14ac:dyDescent="0.2">
      <c r="D1489" s="2">
        <v>61600</v>
      </c>
      <c r="F1489" s="2">
        <f t="shared" si="30"/>
        <v>61600</v>
      </c>
    </row>
    <row r="1490" spans="4:6" x14ac:dyDescent="0.2">
      <c r="D1490" s="2">
        <v>1110000</v>
      </c>
      <c r="F1490" s="2">
        <f t="shared" si="30"/>
        <v>1110000</v>
      </c>
    </row>
    <row r="1491" spans="4:6" x14ac:dyDescent="0.2">
      <c r="D1491" s="2">
        <v>241000</v>
      </c>
      <c r="F1491" s="2">
        <f t="shared" si="30"/>
        <v>241000</v>
      </c>
    </row>
    <row r="1492" spans="4:6" x14ac:dyDescent="0.2">
      <c r="D1492" s="2">
        <v>661000</v>
      </c>
      <c r="F1492" s="2">
        <f t="shared" si="30"/>
        <v>661000</v>
      </c>
    </row>
    <row r="1493" spans="4:6" x14ac:dyDescent="0.2">
      <c r="D1493" s="2">
        <v>373000</v>
      </c>
      <c r="F1493" s="2">
        <f t="shared" si="30"/>
        <v>373000</v>
      </c>
    </row>
    <row r="1494" spans="4:6" x14ac:dyDescent="0.2">
      <c r="D1494" s="2">
        <v>483000</v>
      </c>
      <c r="F1494" s="2">
        <f t="shared" si="30"/>
        <v>483000</v>
      </c>
    </row>
    <row r="1495" spans="4:6" x14ac:dyDescent="0.2">
      <c r="D1495" s="2">
        <v>18600</v>
      </c>
      <c r="F1495" s="2">
        <f t="shared" si="30"/>
        <v>18600</v>
      </c>
    </row>
    <row r="1496" spans="4:6" x14ac:dyDescent="0.2">
      <c r="D1496" s="2">
        <v>620000</v>
      </c>
      <c r="F1496" s="2">
        <f t="shared" si="30"/>
        <v>620000</v>
      </c>
    </row>
    <row r="1497" spans="4:6" x14ac:dyDescent="0.2">
      <c r="D1497" s="2">
        <v>306000</v>
      </c>
      <c r="F1497" s="2">
        <f t="shared" si="30"/>
        <v>306000</v>
      </c>
    </row>
    <row r="1498" spans="4:6" x14ac:dyDescent="0.2">
      <c r="D1498" s="2">
        <v>77000</v>
      </c>
      <c r="F1498" s="2">
        <f t="shared" ref="F1498:F1561" si="31">D1498</f>
        <v>77000</v>
      </c>
    </row>
    <row r="1499" spans="4:6" x14ac:dyDescent="0.2">
      <c r="D1499" s="2">
        <v>242000</v>
      </c>
      <c r="F1499" s="2">
        <f t="shared" si="31"/>
        <v>242000</v>
      </c>
    </row>
    <row r="1500" spans="4:6" x14ac:dyDescent="0.2">
      <c r="D1500" s="2">
        <v>261000</v>
      </c>
      <c r="F1500" s="2">
        <f t="shared" si="31"/>
        <v>261000</v>
      </c>
    </row>
    <row r="1501" spans="4:6" x14ac:dyDescent="0.2">
      <c r="D1501" s="2">
        <v>369000</v>
      </c>
      <c r="F1501" s="2">
        <f t="shared" si="31"/>
        <v>369000</v>
      </c>
    </row>
    <row r="1502" spans="4:6" x14ac:dyDescent="0.2">
      <c r="D1502" s="2">
        <v>118000</v>
      </c>
      <c r="F1502" s="2">
        <f t="shared" si="31"/>
        <v>118000</v>
      </c>
    </row>
    <row r="1503" spans="4:6" x14ac:dyDescent="0.2">
      <c r="D1503" s="2">
        <v>243000</v>
      </c>
      <c r="F1503" s="2">
        <f t="shared" si="31"/>
        <v>243000</v>
      </c>
    </row>
    <row r="1504" spans="4:6" x14ac:dyDescent="0.2">
      <c r="D1504" s="2">
        <v>2110</v>
      </c>
      <c r="F1504" s="2">
        <f t="shared" si="31"/>
        <v>2110</v>
      </c>
    </row>
    <row r="1505" spans="4:6" x14ac:dyDescent="0.2">
      <c r="D1505" s="2">
        <v>409000</v>
      </c>
      <c r="F1505" s="2">
        <f t="shared" si="31"/>
        <v>409000</v>
      </c>
    </row>
    <row r="1506" spans="4:6" x14ac:dyDescent="0.2">
      <c r="D1506" s="2">
        <v>147000</v>
      </c>
      <c r="F1506" s="2">
        <f t="shared" si="31"/>
        <v>147000</v>
      </c>
    </row>
    <row r="1507" spans="4:6" x14ac:dyDescent="0.2">
      <c r="D1507" s="2">
        <v>339000</v>
      </c>
      <c r="F1507" s="2">
        <f t="shared" si="31"/>
        <v>339000</v>
      </c>
    </row>
    <row r="1508" spans="4:6" x14ac:dyDescent="0.2">
      <c r="D1508" s="2">
        <v>247000</v>
      </c>
      <c r="F1508" s="2">
        <f t="shared" si="31"/>
        <v>247000</v>
      </c>
    </row>
    <row r="1509" spans="4:6" x14ac:dyDescent="0.2">
      <c r="D1509" s="2">
        <v>824000</v>
      </c>
      <c r="F1509" s="2">
        <f t="shared" si="31"/>
        <v>824000</v>
      </c>
    </row>
    <row r="1510" spans="4:6" x14ac:dyDescent="0.2">
      <c r="D1510" s="2">
        <v>32800</v>
      </c>
      <c r="F1510" s="2">
        <f t="shared" si="31"/>
        <v>32800</v>
      </c>
    </row>
    <row r="1511" spans="4:6" x14ac:dyDescent="0.2">
      <c r="D1511" s="2">
        <v>23500</v>
      </c>
      <c r="F1511" s="2">
        <f t="shared" si="31"/>
        <v>23500</v>
      </c>
    </row>
    <row r="1512" spans="4:6" x14ac:dyDescent="0.2">
      <c r="D1512" s="2">
        <v>55100</v>
      </c>
      <c r="F1512" s="2">
        <f t="shared" si="31"/>
        <v>55100</v>
      </c>
    </row>
    <row r="1513" spans="4:6" x14ac:dyDescent="0.2">
      <c r="D1513" s="2">
        <v>314000</v>
      </c>
      <c r="F1513" s="2">
        <f t="shared" si="31"/>
        <v>314000</v>
      </c>
    </row>
    <row r="1514" spans="4:6" x14ac:dyDescent="0.2">
      <c r="D1514" s="2">
        <v>1090000</v>
      </c>
      <c r="F1514" s="2">
        <f t="shared" si="31"/>
        <v>1090000</v>
      </c>
    </row>
    <row r="1515" spans="4:6" x14ac:dyDescent="0.2">
      <c r="D1515" s="2">
        <v>707000</v>
      </c>
      <c r="F1515" s="2">
        <f t="shared" si="31"/>
        <v>707000</v>
      </c>
    </row>
    <row r="1516" spans="4:6" x14ac:dyDescent="0.2">
      <c r="D1516" s="2">
        <v>292000</v>
      </c>
      <c r="F1516" s="2">
        <f t="shared" si="31"/>
        <v>292000</v>
      </c>
    </row>
    <row r="1517" spans="4:6" x14ac:dyDescent="0.2">
      <c r="D1517" s="2">
        <v>761000</v>
      </c>
      <c r="F1517" s="2">
        <f t="shared" si="31"/>
        <v>761000</v>
      </c>
    </row>
    <row r="1518" spans="4:6" x14ac:dyDescent="0.2">
      <c r="D1518" s="2">
        <v>14400000</v>
      </c>
      <c r="F1518" s="2">
        <f t="shared" si="31"/>
        <v>14400000</v>
      </c>
    </row>
    <row r="1519" spans="4:6" x14ac:dyDescent="0.2">
      <c r="D1519" s="2">
        <v>284000</v>
      </c>
      <c r="F1519" s="2">
        <f t="shared" si="31"/>
        <v>284000</v>
      </c>
    </row>
    <row r="1520" spans="4:6" x14ac:dyDescent="0.2">
      <c r="D1520" s="2">
        <v>1400000</v>
      </c>
      <c r="F1520" s="2">
        <f t="shared" si="31"/>
        <v>1400000</v>
      </c>
    </row>
    <row r="1521" spans="4:6" x14ac:dyDescent="0.2">
      <c r="D1521" s="2">
        <v>17000000</v>
      </c>
      <c r="F1521" s="2">
        <f t="shared" si="31"/>
        <v>17000000</v>
      </c>
    </row>
    <row r="1522" spans="4:6" x14ac:dyDescent="0.2">
      <c r="D1522" s="2">
        <v>2880000</v>
      </c>
      <c r="F1522" s="2">
        <f t="shared" si="31"/>
        <v>2880000</v>
      </c>
    </row>
    <row r="1523" spans="4:6" x14ac:dyDescent="0.2">
      <c r="D1523" s="2">
        <v>746000</v>
      </c>
      <c r="F1523" s="2">
        <f t="shared" si="31"/>
        <v>746000</v>
      </c>
    </row>
    <row r="1524" spans="4:6" x14ac:dyDescent="0.2">
      <c r="D1524" s="2">
        <v>603000000</v>
      </c>
      <c r="F1524" s="2">
        <f t="shared" si="31"/>
        <v>603000000</v>
      </c>
    </row>
    <row r="1525" spans="4:6" x14ac:dyDescent="0.2">
      <c r="D1525" s="2">
        <v>7060</v>
      </c>
      <c r="F1525" s="2">
        <f t="shared" si="31"/>
        <v>7060</v>
      </c>
    </row>
    <row r="1526" spans="4:6" x14ac:dyDescent="0.2">
      <c r="D1526" s="2">
        <v>56200</v>
      </c>
      <c r="F1526" s="2">
        <f t="shared" si="31"/>
        <v>56200</v>
      </c>
    </row>
    <row r="1527" spans="4:6" x14ac:dyDescent="0.2">
      <c r="D1527" s="2">
        <v>10300</v>
      </c>
      <c r="F1527" s="2">
        <f t="shared" si="31"/>
        <v>10300</v>
      </c>
    </row>
    <row r="1528" spans="4:6" x14ac:dyDescent="0.2">
      <c r="D1528" s="2">
        <v>465000</v>
      </c>
      <c r="F1528" s="2">
        <f t="shared" si="31"/>
        <v>465000</v>
      </c>
    </row>
    <row r="1529" spans="4:6" x14ac:dyDescent="0.2">
      <c r="D1529" s="2">
        <v>1740000</v>
      </c>
      <c r="F1529" s="2">
        <f t="shared" si="31"/>
        <v>1740000</v>
      </c>
    </row>
    <row r="1530" spans="4:6" x14ac:dyDescent="0.2">
      <c r="D1530" s="2">
        <v>486000</v>
      </c>
      <c r="F1530" s="2">
        <f t="shared" si="31"/>
        <v>486000</v>
      </c>
    </row>
    <row r="1531" spans="4:6" x14ac:dyDescent="0.2">
      <c r="D1531" s="2">
        <v>126000</v>
      </c>
      <c r="F1531" s="2">
        <f t="shared" si="31"/>
        <v>126000</v>
      </c>
    </row>
    <row r="1532" spans="4:6" x14ac:dyDescent="0.2">
      <c r="D1532" s="2">
        <v>400000</v>
      </c>
      <c r="F1532" s="2">
        <f t="shared" si="31"/>
        <v>400000</v>
      </c>
    </row>
    <row r="1533" spans="4:6" x14ac:dyDescent="0.2">
      <c r="D1533" s="2">
        <v>818000</v>
      </c>
      <c r="F1533" s="2">
        <f t="shared" si="31"/>
        <v>818000</v>
      </c>
    </row>
    <row r="1534" spans="4:6" x14ac:dyDescent="0.2">
      <c r="D1534" s="2">
        <v>151000</v>
      </c>
      <c r="F1534" s="2">
        <f t="shared" si="31"/>
        <v>151000</v>
      </c>
    </row>
    <row r="1535" spans="4:6" x14ac:dyDescent="0.2">
      <c r="D1535" s="2">
        <v>143000</v>
      </c>
      <c r="F1535" s="2">
        <f t="shared" si="31"/>
        <v>143000</v>
      </c>
    </row>
    <row r="1536" spans="4:6" x14ac:dyDescent="0.2">
      <c r="D1536" s="2">
        <v>4500000</v>
      </c>
      <c r="F1536" s="2">
        <f t="shared" si="31"/>
        <v>4500000</v>
      </c>
    </row>
    <row r="1537" spans="4:6" x14ac:dyDescent="0.2">
      <c r="D1537" s="2">
        <v>1070000</v>
      </c>
      <c r="F1537" s="2">
        <f t="shared" si="31"/>
        <v>1070000</v>
      </c>
    </row>
    <row r="1538" spans="4:6" x14ac:dyDescent="0.2">
      <c r="D1538" s="2">
        <v>547000</v>
      </c>
      <c r="F1538" s="2">
        <f t="shared" si="31"/>
        <v>547000</v>
      </c>
    </row>
    <row r="1539" spans="4:6" x14ac:dyDescent="0.2">
      <c r="D1539" s="2">
        <v>199000</v>
      </c>
      <c r="F1539" s="2">
        <f t="shared" si="31"/>
        <v>199000</v>
      </c>
    </row>
    <row r="1540" spans="4:6" x14ac:dyDescent="0.2">
      <c r="D1540" s="2">
        <v>2600</v>
      </c>
      <c r="F1540" s="2">
        <f t="shared" si="31"/>
        <v>2600</v>
      </c>
    </row>
    <row r="1541" spans="4:6" x14ac:dyDescent="0.2">
      <c r="D1541" s="2">
        <v>332000</v>
      </c>
      <c r="F1541" s="2">
        <f t="shared" si="31"/>
        <v>332000</v>
      </c>
    </row>
    <row r="1542" spans="4:6" x14ac:dyDescent="0.2">
      <c r="D1542" s="2">
        <v>88500</v>
      </c>
      <c r="F1542" s="2">
        <f t="shared" si="31"/>
        <v>88500</v>
      </c>
    </row>
    <row r="1543" spans="4:6" x14ac:dyDescent="0.2">
      <c r="D1543" s="2">
        <v>179000</v>
      </c>
      <c r="F1543" s="2">
        <f t="shared" si="31"/>
        <v>179000</v>
      </c>
    </row>
    <row r="1544" spans="4:6" x14ac:dyDescent="0.2">
      <c r="D1544" s="2">
        <v>125000</v>
      </c>
      <c r="F1544" s="2">
        <f t="shared" si="31"/>
        <v>125000</v>
      </c>
    </row>
    <row r="1545" spans="4:6" x14ac:dyDescent="0.2">
      <c r="D1545" s="2">
        <v>17800000</v>
      </c>
      <c r="F1545" s="2">
        <f t="shared" si="31"/>
        <v>17800000</v>
      </c>
    </row>
    <row r="1546" spans="4:6" x14ac:dyDescent="0.2">
      <c r="D1546" s="2">
        <v>7260</v>
      </c>
      <c r="F1546" s="2">
        <f t="shared" si="31"/>
        <v>7260</v>
      </c>
    </row>
    <row r="1547" spans="4:6" x14ac:dyDescent="0.2">
      <c r="D1547" s="2">
        <v>7200</v>
      </c>
      <c r="F1547" s="2">
        <f t="shared" si="31"/>
        <v>7200</v>
      </c>
    </row>
    <row r="1548" spans="4:6" x14ac:dyDescent="0.2">
      <c r="D1548" s="2">
        <v>47900</v>
      </c>
      <c r="F1548" s="2">
        <f t="shared" si="31"/>
        <v>47900</v>
      </c>
    </row>
    <row r="1549" spans="4:6" x14ac:dyDescent="0.2">
      <c r="D1549" s="2">
        <v>2690000</v>
      </c>
      <c r="F1549" s="2">
        <f t="shared" si="31"/>
        <v>2690000</v>
      </c>
    </row>
    <row r="1550" spans="4:6" x14ac:dyDescent="0.2">
      <c r="D1550" s="2">
        <v>1290000</v>
      </c>
      <c r="F1550" s="2">
        <f t="shared" si="31"/>
        <v>1290000</v>
      </c>
    </row>
    <row r="1551" spans="4:6" x14ac:dyDescent="0.2">
      <c r="D1551" s="2">
        <v>16500000</v>
      </c>
      <c r="F1551" s="2">
        <f t="shared" si="31"/>
        <v>16500000</v>
      </c>
    </row>
    <row r="1552" spans="4:6" x14ac:dyDescent="0.2">
      <c r="D1552" s="2">
        <v>4220000</v>
      </c>
      <c r="F1552" s="2">
        <f t="shared" si="31"/>
        <v>4220000</v>
      </c>
    </row>
    <row r="1553" spans="4:6" x14ac:dyDescent="0.2">
      <c r="D1553" s="2">
        <v>927000</v>
      </c>
      <c r="F1553" s="2">
        <f t="shared" si="31"/>
        <v>927000</v>
      </c>
    </row>
    <row r="1554" spans="4:6" x14ac:dyDescent="0.2">
      <c r="D1554" s="2">
        <v>2810000</v>
      </c>
      <c r="F1554" s="2">
        <f t="shared" si="31"/>
        <v>2810000</v>
      </c>
    </row>
    <row r="1555" spans="4:6" x14ac:dyDescent="0.2">
      <c r="D1555" s="2">
        <v>1890000</v>
      </c>
      <c r="F1555" s="2">
        <f t="shared" si="31"/>
        <v>1890000</v>
      </c>
    </row>
    <row r="1556" spans="4:6" x14ac:dyDescent="0.2">
      <c r="D1556" s="2">
        <v>14900000</v>
      </c>
      <c r="F1556" s="2">
        <f t="shared" si="31"/>
        <v>14900000</v>
      </c>
    </row>
    <row r="1557" spans="4:6" x14ac:dyDescent="0.2">
      <c r="D1557" s="2">
        <v>29900000</v>
      </c>
      <c r="F1557" s="2">
        <f t="shared" si="31"/>
        <v>29900000</v>
      </c>
    </row>
    <row r="1558" spans="4:6" x14ac:dyDescent="0.2">
      <c r="D1558" s="2">
        <v>831000</v>
      </c>
      <c r="F1558" s="2">
        <f t="shared" si="31"/>
        <v>831000</v>
      </c>
    </row>
    <row r="1559" spans="4:6" x14ac:dyDescent="0.2">
      <c r="D1559" s="2">
        <v>28200000</v>
      </c>
      <c r="F1559" s="2">
        <f t="shared" si="31"/>
        <v>28200000</v>
      </c>
    </row>
    <row r="1560" spans="4:6" x14ac:dyDescent="0.2">
      <c r="D1560" s="2">
        <v>517000000</v>
      </c>
      <c r="F1560" s="2">
        <f t="shared" si="31"/>
        <v>517000000</v>
      </c>
    </row>
    <row r="1561" spans="4:6" x14ac:dyDescent="0.2">
      <c r="D1561" s="2">
        <v>32400</v>
      </c>
      <c r="F1561" s="2">
        <f t="shared" si="31"/>
        <v>32400</v>
      </c>
    </row>
    <row r="1562" spans="4:6" x14ac:dyDescent="0.2">
      <c r="D1562" s="2">
        <v>29400000</v>
      </c>
      <c r="F1562" s="2">
        <f t="shared" ref="F1562:F1625" si="32">D1562</f>
        <v>29400000</v>
      </c>
    </row>
    <row r="1563" spans="4:6" x14ac:dyDescent="0.2">
      <c r="D1563" s="2">
        <v>45000</v>
      </c>
      <c r="F1563" s="2">
        <f t="shared" si="32"/>
        <v>45000</v>
      </c>
    </row>
    <row r="1564" spans="4:6" x14ac:dyDescent="0.2">
      <c r="D1564" s="2">
        <v>370000</v>
      </c>
      <c r="F1564" s="2">
        <f t="shared" si="32"/>
        <v>370000</v>
      </c>
    </row>
    <row r="1565" spans="4:6" x14ac:dyDescent="0.2">
      <c r="D1565" s="2">
        <v>271000</v>
      </c>
      <c r="F1565" s="2">
        <f t="shared" si="32"/>
        <v>271000</v>
      </c>
    </row>
    <row r="1566" spans="4:6" x14ac:dyDescent="0.2">
      <c r="D1566" s="2">
        <v>2340000</v>
      </c>
      <c r="F1566" s="2">
        <f t="shared" si="32"/>
        <v>2340000</v>
      </c>
    </row>
    <row r="1567" spans="4:6" x14ac:dyDescent="0.2">
      <c r="D1567" s="2">
        <v>80400</v>
      </c>
      <c r="F1567" s="2">
        <f t="shared" si="32"/>
        <v>80400</v>
      </c>
    </row>
    <row r="1568" spans="4:6" x14ac:dyDescent="0.2">
      <c r="D1568" s="2">
        <v>6500000</v>
      </c>
      <c r="F1568" s="2">
        <f t="shared" si="32"/>
        <v>6500000</v>
      </c>
    </row>
    <row r="1569" spans="4:6" x14ac:dyDescent="0.2">
      <c r="D1569" s="2">
        <v>406000</v>
      </c>
      <c r="F1569" s="2">
        <f t="shared" si="32"/>
        <v>406000</v>
      </c>
    </row>
    <row r="1570" spans="4:6" x14ac:dyDescent="0.2">
      <c r="D1570" s="2">
        <v>343000</v>
      </c>
      <c r="F1570" s="2">
        <f t="shared" si="32"/>
        <v>343000</v>
      </c>
    </row>
    <row r="1571" spans="4:6" x14ac:dyDescent="0.2">
      <c r="D1571" s="2">
        <v>396000</v>
      </c>
      <c r="F1571" s="2">
        <f t="shared" si="32"/>
        <v>396000</v>
      </c>
    </row>
    <row r="1572" spans="4:6" x14ac:dyDescent="0.2">
      <c r="D1572" s="2">
        <v>45400000</v>
      </c>
      <c r="F1572" s="2">
        <f t="shared" si="32"/>
        <v>45400000</v>
      </c>
    </row>
    <row r="1573" spans="4:6" x14ac:dyDescent="0.2">
      <c r="D1573" s="2">
        <v>219000</v>
      </c>
      <c r="F1573" s="2">
        <f t="shared" si="32"/>
        <v>219000</v>
      </c>
    </row>
    <row r="1574" spans="4:6" x14ac:dyDescent="0.2">
      <c r="D1574" s="2">
        <v>387000</v>
      </c>
      <c r="F1574" s="2">
        <f t="shared" si="32"/>
        <v>387000</v>
      </c>
    </row>
    <row r="1575" spans="4:6" x14ac:dyDescent="0.2">
      <c r="D1575" s="2">
        <v>774000</v>
      </c>
      <c r="F1575" s="2">
        <f t="shared" si="32"/>
        <v>774000</v>
      </c>
    </row>
    <row r="1576" spans="4:6" x14ac:dyDescent="0.2">
      <c r="D1576" s="2">
        <v>2520</v>
      </c>
      <c r="F1576" s="2">
        <f t="shared" si="32"/>
        <v>2520</v>
      </c>
    </row>
    <row r="1577" spans="4:6" x14ac:dyDescent="0.2">
      <c r="D1577" s="2">
        <v>164000</v>
      </c>
      <c r="F1577" s="2">
        <f t="shared" si="32"/>
        <v>164000</v>
      </c>
    </row>
    <row r="1578" spans="4:6" x14ac:dyDescent="0.2">
      <c r="D1578" s="2">
        <v>657000</v>
      </c>
      <c r="F1578" s="2">
        <f t="shared" si="32"/>
        <v>657000</v>
      </c>
    </row>
    <row r="1579" spans="4:6" x14ac:dyDescent="0.2">
      <c r="D1579" s="2">
        <v>672000</v>
      </c>
      <c r="F1579" s="2">
        <f t="shared" si="32"/>
        <v>672000</v>
      </c>
    </row>
    <row r="1580" spans="4:6" x14ac:dyDescent="0.2">
      <c r="D1580" s="2">
        <v>239000</v>
      </c>
      <c r="F1580" s="2">
        <f t="shared" si="32"/>
        <v>239000</v>
      </c>
    </row>
    <row r="1581" spans="4:6" x14ac:dyDescent="0.2">
      <c r="D1581" s="2">
        <v>7620000</v>
      </c>
      <c r="F1581" s="2">
        <f t="shared" si="32"/>
        <v>7620000</v>
      </c>
    </row>
    <row r="1582" spans="4:6" x14ac:dyDescent="0.2">
      <c r="D1582" s="2">
        <v>15100</v>
      </c>
      <c r="F1582" s="2">
        <f t="shared" si="32"/>
        <v>15100</v>
      </c>
    </row>
    <row r="1583" spans="4:6" x14ac:dyDescent="0.2">
      <c r="D1583" s="2">
        <v>37300</v>
      </c>
      <c r="F1583" s="2">
        <f t="shared" si="32"/>
        <v>37300</v>
      </c>
    </row>
    <row r="1584" spans="4:6" x14ac:dyDescent="0.2">
      <c r="D1584" s="2">
        <v>39700</v>
      </c>
      <c r="F1584" s="2">
        <f t="shared" si="32"/>
        <v>39700</v>
      </c>
    </row>
    <row r="1585" spans="4:6" x14ac:dyDescent="0.2">
      <c r="D1585" s="2">
        <v>1730000</v>
      </c>
      <c r="F1585" s="2">
        <f t="shared" si="32"/>
        <v>1730000</v>
      </c>
    </row>
    <row r="1586" spans="4:6" x14ac:dyDescent="0.2">
      <c r="D1586" s="2">
        <v>417000</v>
      </c>
      <c r="F1586" s="2">
        <f t="shared" si="32"/>
        <v>417000</v>
      </c>
    </row>
    <row r="1587" spans="4:6" x14ac:dyDescent="0.2">
      <c r="D1587" s="2">
        <v>5850000</v>
      </c>
      <c r="F1587" s="2">
        <f t="shared" si="32"/>
        <v>5850000</v>
      </c>
    </row>
    <row r="1588" spans="4:6" x14ac:dyDescent="0.2">
      <c r="D1588" s="2">
        <v>1680000</v>
      </c>
      <c r="F1588" s="2">
        <f t="shared" si="32"/>
        <v>1680000</v>
      </c>
    </row>
    <row r="1589" spans="4:6" x14ac:dyDescent="0.2">
      <c r="D1589" s="2">
        <v>1250000</v>
      </c>
      <c r="F1589" s="2">
        <f t="shared" si="32"/>
        <v>1250000</v>
      </c>
    </row>
    <row r="1590" spans="4:6" x14ac:dyDescent="0.2">
      <c r="D1590" s="2">
        <v>2430000</v>
      </c>
      <c r="F1590" s="2">
        <f t="shared" si="32"/>
        <v>2430000</v>
      </c>
    </row>
    <row r="1591" spans="4:6" x14ac:dyDescent="0.2">
      <c r="D1591" s="2">
        <v>107000</v>
      </c>
      <c r="F1591" s="2">
        <f t="shared" si="32"/>
        <v>107000</v>
      </c>
    </row>
    <row r="1592" spans="4:6" x14ac:dyDescent="0.2">
      <c r="D1592" s="2">
        <v>41000000</v>
      </c>
      <c r="F1592" s="2">
        <f t="shared" si="32"/>
        <v>41000000</v>
      </c>
    </row>
    <row r="1593" spans="4:6" x14ac:dyDescent="0.2">
      <c r="D1593" s="2">
        <v>172000000</v>
      </c>
      <c r="F1593" s="2">
        <f t="shared" si="32"/>
        <v>172000000</v>
      </c>
    </row>
    <row r="1594" spans="4:6" x14ac:dyDescent="0.2">
      <c r="D1594" s="2">
        <v>3020000</v>
      </c>
      <c r="F1594" s="2">
        <f t="shared" si="32"/>
        <v>3020000</v>
      </c>
    </row>
    <row r="1595" spans="4:6" x14ac:dyDescent="0.2">
      <c r="D1595" s="2">
        <v>17900000</v>
      </c>
      <c r="F1595" s="2">
        <f t="shared" si="32"/>
        <v>17900000</v>
      </c>
    </row>
    <row r="1596" spans="4:6" x14ac:dyDescent="0.2">
      <c r="D1596" s="2">
        <v>3460000000</v>
      </c>
      <c r="F1596" s="2">
        <f t="shared" si="32"/>
        <v>3460000000</v>
      </c>
    </row>
    <row r="1597" spans="4:6" x14ac:dyDescent="0.2">
      <c r="D1597" s="2">
        <v>11200</v>
      </c>
      <c r="F1597" s="2">
        <f t="shared" si="32"/>
        <v>11200</v>
      </c>
    </row>
    <row r="1598" spans="4:6" x14ac:dyDescent="0.2">
      <c r="D1598" s="2">
        <v>738000</v>
      </c>
      <c r="F1598" s="2">
        <f t="shared" si="32"/>
        <v>738000</v>
      </c>
    </row>
    <row r="1599" spans="4:6" x14ac:dyDescent="0.2">
      <c r="D1599" s="2">
        <v>262000</v>
      </c>
      <c r="F1599" s="2">
        <f t="shared" si="32"/>
        <v>262000</v>
      </c>
    </row>
    <row r="1600" spans="4:6" x14ac:dyDescent="0.2">
      <c r="D1600" s="2">
        <v>3610000</v>
      </c>
      <c r="F1600" s="2">
        <f t="shared" si="32"/>
        <v>3610000</v>
      </c>
    </row>
    <row r="1601" spans="4:6" x14ac:dyDescent="0.2">
      <c r="D1601" s="2">
        <v>371000</v>
      </c>
      <c r="F1601" s="2">
        <f t="shared" si="32"/>
        <v>371000</v>
      </c>
    </row>
    <row r="1602" spans="4:6" x14ac:dyDescent="0.2">
      <c r="D1602" s="2">
        <v>10900000</v>
      </c>
      <c r="F1602" s="2">
        <f t="shared" si="32"/>
        <v>10900000</v>
      </c>
    </row>
    <row r="1603" spans="4:6" x14ac:dyDescent="0.2">
      <c r="D1603" s="2">
        <v>197000</v>
      </c>
      <c r="F1603" s="2">
        <f t="shared" si="32"/>
        <v>197000</v>
      </c>
    </row>
    <row r="1604" spans="4:6" x14ac:dyDescent="0.2">
      <c r="D1604" s="2">
        <v>1550000</v>
      </c>
      <c r="F1604" s="2">
        <f t="shared" si="32"/>
        <v>1550000</v>
      </c>
    </row>
    <row r="1605" spans="4:6" x14ac:dyDescent="0.2">
      <c r="D1605" s="2">
        <v>1580000</v>
      </c>
      <c r="F1605" s="2">
        <f t="shared" si="32"/>
        <v>1580000</v>
      </c>
    </row>
    <row r="1606" spans="4:6" x14ac:dyDescent="0.2">
      <c r="D1606" s="2">
        <v>60900</v>
      </c>
      <c r="F1606" s="2">
        <f t="shared" si="32"/>
        <v>60900</v>
      </c>
    </row>
    <row r="1607" spans="4:6" x14ac:dyDescent="0.2">
      <c r="D1607" s="2">
        <v>476000</v>
      </c>
      <c r="F1607" s="2">
        <f t="shared" si="32"/>
        <v>476000</v>
      </c>
    </row>
    <row r="1608" spans="4:6" x14ac:dyDescent="0.2">
      <c r="D1608" s="2">
        <v>354000</v>
      </c>
      <c r="F1608" s="2">
        <f t="shared" si="32"/>
        <v>354000</v>
      </c>
    </row>
    <row r="1609" spans="4:6" x14ac:dyDescent="0.2">
      <c r="D1609" s="2">
        <v>347000</v>
      </c>
      <c r="F1609" s="2">
        <f t="shared" si="32"/>
        <v>347000</v>
      </c>
    </row>
    <row r="1610" spans="4:6" x14ac:dyDescent="0.2">
      <c r="D1610" s="2">
        <v>307000</v>
      </c>
      <c r="F1610" s="2">
        <f t="shared" si="32"/>
        <v>307000</v>
      </c>
    </row>
    <row r="1611" spans="4:6" x14ac:dyDescent="0.2">
      <c r="D1611" s="2">
        <v>221000</v>
      </c>
      <c r="F1611" s="2">
        <f t="shared" si="32"/>
        <v>221000</v>
      </c>
    </row>
    <row r="1612" spans="4:6" x14ac:dyDescent="0.2">
      <c r="D1612" s="2">
        <v>2340</v>
      </c>
      <c r="F1612" s="2">
        <f t="shared" si="32"/>
        <v>2340</v>
      </c>
    </row>
    <row r="1613" spans="4:6" x14ac:dyDescent="0.2">
      <c r="D1613" s="2">
        <v>178000</v>
      </c>
      <c r="F1613" s="2">
        <f t="shared" si="32"/>
        <v>178000</v>
      </c>
    </row>
    <row r="1614" spans="4:6" x14ac:dyDescent="0.2">
      <c r="D1614" s="2">
        <v>246000</v>
      </c>
      <c r="F1614" s="2">
        <f t="shared" si="32"/>
        <v>246000</v>
      </c>
    </row>
    <row r="1615" spans="4:6" x14ac:dyDescent="0.2">
      <c r="D1615" s="2">
        <v>69000</v>
      </c>
      <c r="F1615" s="2">
        <f t="shared" si="32"/>
        <v>69000</v>
      </c>
    </row>
    <row r="1616" spans="4:6" x14ac:dyDescent="0.2">
      <c r="D1616" s="2">
        <v>9450000</v>
      </c>
      <c r="F1616" s="2">
        <f t="shared" si="32"/>
        <v>9450000</v>
      </c>
    </row>
    <row r="1617" spans="4:6" x14ac:dyDescent="0.2">
      <c r="D1617" s="2">
        <v>4140000</v>
      </c>
      <c r="F1617" s="2">
        <f t="shared" si="32"/>
        <v>4140000</v>
      </c>
    </row>
    <row r="1618" spans="4:6" x14ac:dyDescent="0.2">
      <c r="D1618" s="2">
        <v>937000</v>
      </c>
      <c r="F1618" s="2">
        <f t="shared" si="32"/>
        <v>937000</v>
      </c>
    </row>
    <row r="1619" spans="4:6" x14ac:dyDescent="0.2">
      <c r="D1619" s="2">
        <v>26500</v>
      </c>
      <c r="F1619" s="2">
        <f t="shared" si="32"/>
        <v>26500</v>
      </c>
    </row>
    <row r="1620" spans="4:6" x14ac:dyDescent="0.2">
      <c r="D1620" s="2">
        <v>46400</v>
      </c>
      <c r="F1620" s="2">
        <f t="shared" si="32"/>
        <v>46400</v>
      </c>
    </row>
    <row r="1621" spans="4:6" x14ac:dyDescent="0.2">
      <c r="D1621" s="2">
        <v>4550000</v>
      </c>
      <c r="F1621" s="2">
        <f t="shared" si="32"/>
        <v>4550000</v>
      </c>
    </row>
    <row r="1622" spans="4:6" x14ac:dyDescent="0.2">
      <c r="D1622" s="2">
        <v>20800000</v>
      </c>
      <c r="F1622" s="2">
        <f t="shared" si="32"/>
        <v>20800000</v>
      </c>
    </row>
    <row r="1623" spans="4:6" x14ac:dyDescent="0.2">
      <c r="D1623" s="2">
        <v>49100000</v>
      </c>
      <c r="F1623" s="2">
        <f t="shared" si="32"/>
        <v>49100000</v>
      </c>
    </row>
    <row r="1624" spans="4:6" x14ac:dyDescent="0.2">
      <c r="D1624" s="2">
        <v>1400000</v>
      </c>
      <c r="F1624" s="2">
        <f t="shared" si="32"/>
        <v>1400000</v>
      </c>
    </row>
    <row r="1625" spans="4:6" x14ac:dyDescent="0.2">
      <c r="D1625" s="2">
        <v>1320000</v>
      </c>
      <c r="F1625" s="2">
        <f t="shared" si="32"/>
        <v>1320000</v>
      </c>
    </row>
    <row r="1626" spans="4:6" x14ac:dyDescent="0.2">
      <c r="D1626" s="2">
        <v>9910000</v>
      </c>
      <c r="F1626" s="2">
        <f t="shared" ref="F1626:F1689" si="33">D1626</f>
        <v>9910000</v>
      </c>
    </row>
    <row r="1627" spans="4:6" x14ac:dyDescent="0.2">
      <c r="D1627" s="2">
        <v>1490000</v>
      </c>
      <c r="F1627" s="2">
        <f t="shared" si="33"/>
        <v>1490000</v>
      </c>
    </row>
    <row r="1628" spans="4:6" x14ac:dyDescent="0.2">
      <c r="D1628" s="2">
        <v>71900000</v>
      </c>
      <c r="F1628" s="2">
        <f t="shared" si="33"/>
        <v>71900000</v>
      </c>
    </row>
    <row r="1629" spans="4:6" x14ac:dyDescent="0.2">
      <c r="D1629" s="2">
        <v>242000000</v>
      </c>
      <c r="F1629" s="2">
        <f t="shared" si="33"/>
        <v>242000000</v>
      </c>
    </row>
    <row r="1630" spans="4:6" x14ac:dyDescent="0.2">
      <c r="D1630" s="2">
        <v>3840000</v>
      </c>
      <c r="F1630" s="2">
        <f t="shared" si="33"/>
        <v>3840000</v>
      </c>
    </row>
    <row r="1631" spans="4:6" x14ac:dyDescent="0.2">
      <c r="D1631" s="2">
        <v>144000000</v>
      </c>
      <c r="F1631" s="2">
        <f t="shared" si="33"/>
        <v>144000000</v>
      </c>
    </row>
    <row r="1632" spans="4:6" x14ac:dyDescent="0.2">
      <c r="D1632" s="2">
        <v>3860000000</v>
      </c>
      <c r="F1632" s="2">
        <f t="shared" si="33"/>
        <v>3860000000</v>
      </c>
    </row>
    <row r="1633" spans="4:6" x14ac:dyDescent="0.2">
      <c r="D1633" s="2">
        <v>80700</v>
      </c>
      <c r="F1633" s="2">
        <f t="shared" si="33"/>
        <v>80700</v>
      </c>
    </row>
    <row r="1634" spans="4:6" x14ac:dyDescent="0.2">
      <c r="D1634" s="2">
        <v>34700000</v>
      </c>
      <c r="F1634" s="2">
        <f t="shared" si="33"/>
        <v>34700000</v>
      </c>
    </row>
    <row r="1635" spans="4:6" x14ac:dyDescent="0.2">
      <c r="D1635" s="2">
        <v>696000</v>
      </c>
      <c r="F1635" s="2">
        <f t="shared" si="33"/>
        <v>696000</v>
      </c>
    </row>
    <row r="1636" spans="4:6" x14ac:dyDescent="0.2">
      <c r="D1636" s="2">
        <v>1920000</v>
      </c>
      <c r="F1636" s="2">
        <f t="shared" si="33"/>
        <v>1920000</v>
      </c>
    </row>
    <row r="1637" spans="4:6" x14ac:dyDescent="0.2">
      <c r="D1637" s="2">
        <v>757000</v>
      </c>
      <c r="F1637" s="2">
        <f t="shared" si="33"/>
        <v>757000</v>
      </c>
    </row>
    <row r="1638" spans="4:6" x14ac:dyDescent="0.2">
      <c r="D1638" s="2">
        <v>11200000</v>
      </c>
      <c r="F1638" s="2">
        <f t="shared" si="33"/>
        <v>11200000</v>
      </c>
    </row>
    <row r="1639" spans="4:6" x14ac:dyDescent="0.2">
      <c r="D1639" s="2">
        <v>414000</v>
      </c>
      <c r="F1639" s="2">
        <f t="shared" si="33"/>
        <v>414000</v>
      </c>
    </row>
    <row r="1640" spans="4:6" x14ac:dyDescent="0.2">
      <c r="D1640" s="2">
        <v>9080000</v>
      </c>
      <c r="F1640" s="2">
        <f t="shared" si="33"/>
        <v>9080000</v>
      </c>
    </row>
    <row r="1641" spans="4:6" x14ac:dyDescent="0.2">
      <c r="D1641" s="2">
        <v>5670000</v>
      </c>
      <c r="F1641" s="2">
        <f t="shared" si="33"/>
        <v>5670000</v>
      </c>
    </row>
    <row r="1642" spans="4:6" x14ac:dyDescent="0.2">
      <c r="D1642" s="2">
        <v>430000</v>
      </c>
      <c r="F1642" s="2">
        <f t="shared" si="33"/>
        <v>430000</v>
      </c>
    </row>
    <row r="1643" spans="4:6" x14ac:dyDescent="0.2">
      <c r="D1643" s="2">
        <v>1780000</v>
      </c>
      <c r="F1643" s="2">
        <f t="shared" si="33"/>
        <v>1780000</v>
      </c>
    </row>
    <row r="1644" spans="4:6" x14ac:dyDescent="0.2">
      <c r="D1644" s="2">
        <v>48500000</v>
      </c>
      <c r="F1644" s="2">
        <f t="shared" si="33"/>
        <v>48500000</v>
      </c>
    </row>
    <row r="1645" spans="4:6" x14ac:dyDescent="0.2">
      <c r="D1645" s="2">
        <v>2290000</v>
      </c>
      <c r="F1645" s="2">
        <f t="shared" si="33"/>
        <v>2290000</v>
      </c>
    </row>
    <row r="1646" spans="4:6" x14ac:dyDescent="0.2">
      <c r="D1646" s="2">
        <v>1200000</v>
      </c>
      <c r="F1646" s="2">
        <f t="shared" si="33"/>
        <v>1200000</v>
      </c>
    </row>
    <row r="1647" spans="4:6" x14ac:dyDescent="0.2">
      <c r="D1647" s="2">
        <v>1720000</v>
      </c>
      <c r="F1647" s="2">
        <f t="shared" si="33"/>
        <v>1720000</v>
      </c>
    </row>
    <row r="1648" spans="4:6" x14ac:dyDescent="0.2">
      <c r="D1648" s="2">
        <v>2410</v>
      </c>
      <c r="F1648" s="2">
        <f t="shared" si="33"/>
        <v>2410</v>
      </c>
    </row>
    <row r="1649" spans="4:6" x14ac:dyDescent="0.2">
      <c r="D1649" s="2">
        <v>4080000</v>
      </c>
      <c r="F1649" s="2">
        <f t="shared" si="33"/>
        <v>4080000</v>
      </c>
    </row>
    <row r="1650" spans="4:6" x14ac:dyDescent="0.2">
      <c r="D1650" s="2">
        <v>3130000</v>
      </c>
      <c r="F1650" s="2">
        <f t="shared" si="33"/>
        <v>3130000</v>
      </c>
    </row>
    <row r="1651" spans="4:6" x14ac:dyDescent="0.2">
      <c r="D1651" s="2">
        <v>6430000</v>
      </c>
      <c r="F1651" s="2">
        <f t="shared" si="33"/>
        <v>6430000</v>
      </c>
    </row>
    <row r="1652" spans="4:6" x14ac:dyDescent="0.2">
      <c r="D1652" s="2">
        <v>3490000</v>
      </c>
      <c r="F1652" s="2">
        <f t="shared" si="33"/>
        <v>3490000</v>
      </c>
    </row>
    <row r="1653" spans="4:6" x14ac:dyDescent="0.2">
      <c r="D1653" s="2">
        <v>93300000</v>
      </c>
      <c r="F1653" s="2">
        <f t="shared" si="33"/>
        <v>93300000</v>
      </c>
    </row>
    <row r="1654" spans="4:6" x14ac:dyDescent="0.2">
      <c r="D1654" s="2">
        <v>259000</v>
      </c>
      <c r="F1654" s="2">
        <f t="shared" si="33"/>
        <v>259000</v>
      </c>
    </row>
    <row r="1655" spans="4:6" x14ac:dyDescent="0.2">
      <c r="D1655" s="2">
        <v>77400</v>
      </c>
      <c r="F1655" s="2">
        <f t="shared" si="33"/>
        <v>77400</v>
      </c>
    </row>
    <row r="1656" spans="4:6" x14ac:dyDescent="0.2">
      <c r="D1656" s="2">
        <v>193000</v>
      </c>
      <c r="F1656" s="2">
        <f t="shared" si="33"/>
        <v>193000</v>
      </c>
    </row>
    <row r="1657" spans="4:6" x14ac:dyDescent="0.2">
      <c r="D1657" s="2">
        <v>3270000</v>
      </c>
      <c r="F1657" s="2">
        <f t="shared" si="33"/>
        <v>3270000</v>
      </c>
    </row>
    <row r="1658" spans="4:6" x14ac:dyDescent="0.2">
      <c r="D1658" s="2">
        <v>997000</v>
      </c>
      <c r="F1658" s="2">
        <f t="shared" si="33"/>
        <v>997000</v>
      </c>
    </row>
    <row r="1659" spans="4:6" x14ac:dyDescent="0.2">
      <c r="D1659" s="2">
        <v>527000</v>
      </c>
      <c r="F1659" s="2">
        <f t="shared" si="33"/>
        <v>527000</v>
      </c>
    </row>
    <row r="1660" spans="4:6" x14ac:dyDescent="0.2">
      <c r="D1660" s="2">
        <v>832000</v>
      </c>
      <c r="F1660" s="2">
        <f t="shared" si="33"/>
        <v>832000</v>
      </c>
    </row>
    <row r="1661" spans="4:6" x14ac:dyDescent="0.2">
      <c r="D1661" s="2">
        <v>3050000</v>
      </c>
      <c r="F1661" s="2">
        <f t="shared" si="33"/>
        <v>3050000</v>
      </c>
    </row>
    <row r="1662" spans="4:6" x14ac:dyDescent="0.2">
      <c r="D1662" s="2">
        <v>6910000</v>
      </c>
      <c r="F1662" s="2">
        <f t="shared" si="33"/>
        <v>6910000</v>
      </c>
    </row>
    <row r="1663" spans="4:6" x14ac:dyDescent="0.2">
      <c r="D1663" s="2">
        <v>599000</v>
      </c>
      <c r="F1663" s="2">
        <f t="shared" si="33"/>
        <v>599000</v>
      </c>
    </row>
    <row r="1664" spans="4:6" x14ac:dyDescent="0.2">
      <c r="D1664" s="2">
        <v>6200000</v>
      </c>
      <c r="F1664" s="2">
        <f t="shared" si="33"/>
        <v>6200000</v>
      </c>
    </row>
    <row r="1665" spans="4:6" x14ac:dyDescent="0.2">
      <c r="D1665" s="2">
        <v>5950000</v>
      </c>
      <c r="F1665" s="2">
        <f t="shared" si="33"/>
        <v>5950000</v>
      </c>
    </row>
    <row r="1666" spans="4:6" x14ac:dyDescent="0.2">
      <c r="D1666" s="2">
        <v>816000</v>
      </c>
      <c r="F1666" s="2">
        <f t="shared" si="33"/>
        <v>816000</v>
      </c>
    </row>
    <row r="1667" spans="4:6" x14ac:dyDescent="0.2">
      <c r="D1667" s="2">
        <v>887000</v>
      </c>
      <c r="F1667" s="2">
        <f t="shared" si="33"/>
        <v>887000</v>
      </c>
    </row>
    <row r="1668" spans="4:6" x14ac:dyDescent="0.2">
      <c r="D1668" s="2">
        <v>262000000</v>
      </c>
      <c r="F1668" s="2">
        <f t="shared" si="33"/>
        <v>262000000</v>
      </c>
    </row>
    <row r="1669" spans="4:6" x14ac:dyDescent="0.2">
      <c r="D1669" s="2">
        <v>10500</v>
      </c>
      <c r="F1669" s="2">
        <f t="shared" si="33"/>
        <v>10500</v>
      </c>
    </row>
    <row r="1670" spans="4:6" x14ac:dyDescent="0.2">
      <c r="D1670" s="2">
        <v>182000</v>
      </c>
      <c r="F1670" s="2">
        <f t="shared" si="33"/>
        <v>182000</v>
      </c>
    </row>
    <row r="1671" spans="4:6" x14ac:dyDescent="0.2">
      <c r="D1671" s="2">
        <v>73600</v>
      </c>
      <c r="F1671" s="2">
        <f t="shared" si="33"/>
        <v>73600</v>
      </c>
    </row>
    <row r="1672" spans="4:6" x14ac:dyDescent="0.2">
      <c r="D1672" s="2">
        <v>332000</v>
      </c>
      <c r="F1672" s="2">
        <f t="shared" si="33"/>
        <v>332000</v>
      </c>
    </row>
    <row r="1673" spans="4:6" x14ac:dyDescent="0.2">
      <c r="D1673" s="2">
        <v>161000</v>
      </c>
      <c r="F1673" s="2">
        <f t="shared" si="33"/>
        <v>161000</v>
      </c>
    </row>
    <row r="1674" spans="4:6" x14ac:dyDescent="0.2">
      <c r="D1674" s="2">
        <v>1340000</v>
      </c>
      <c r="F1674" s="2">
        <f t="shared" si="33"/>
        <v>1340000</v>
      </c>
    </row>
    <row r="1675" spans="4:6" x14ac:dyDescent="0.2">
      <c r="D1675" s="2">
        <v>21000</v>
      </c>
      <c r="F1675" s="2">
        <f t="shared" si="33"/>
        <v>21000</v>
      </c>
    </row>
    <row r="1676" spans="4:6" x14ac:dyDescent="0.2">
      <c r="D1676" s="2">
        <v>623000</v>
      </c>
      <c r="F1676" s="2">
        <f t="shared" si="33"/>
        <v>623000</v>
      </c>
    </row>
    <row r="1677" spans="4:6" x14ac:dyDescent="0.2">
      <c r="D1677" s="2">
        <v>170000</v>
      </c>
      <c r="F1677" s="2">
        <f t="shared" si="33"/>
        <v>170000</v>
      </c>
    </row>
    <row r="1678" spans="4:6" x14ac:dyDescent="0.2">
      <c r="D1678" s="2">
        <v>204000</v>
      </c>
      <c r="F1678" s="2">
        <f t="shared" si="33"/>
        <v>204000</v>
      </c>
    </row>
    <row r="1679" spans="4:6" x14ac:dyDescent="0.2">
      <c r="D1679" s="2">
        <v>228000</v>
      </c>
      <c r="F1679" s="2">
        <f t="shared" si="33"/>
        <v>228000</v>
      </c>
    </row>
    <row r="1680" spans="4:6" x14ac:dyDescent="0.2">
      <c r="D1680" s="2">
        <v>141000</v>
      </c>
      <c r="F1680" s="2">
        <f t="shared" si="33"/>
        <v>141000</v>
      </c>
    </row>
    <row r="1681" spans="4:6" x14ac:dyDescent="0.2">
      <c r="D1681" s="2">
        <v>198000</v>
      </c>
      <c r="F1681" s="2">
        <f t="shared" si="33"/>
        <v>198000</v>
      </c>
    </row>
    <row r="1682" spans="4:6" x14ac:dyDescent="0.2">
      <c r="D1682" s="2">
        <v>9480</v>
      </c>
      <c r="F1682" s="2">
        <f t="shared" si="33"/>
        <v>9480</v>
      </c>
    </row>
    <row r="1683" spans="4:6" x14ac:dyDescent="0.2">
      <c r="D1683" s="2">
        <v>72900</v>
      </c>
      <c r="F1683" s="2">
        <f t="shared" si="33"/>
        <v>72900</v>
      </c>
    </row>
    <row r="1684" spans="4:6" x14ac:dyDescent="0.2">
      <c r="D1684" s="2">
        <v>2120</v>
      </c>
      <c r="F1684" s="2">
        <f t="shared" si="33"/>
        <v>2120</v>
      </c>
    </row>
    <row r="1685" spans="4:6" x14ac:dyDescent="0.2">
      <c r="D1685" s="2">
        <v>279000</v>
      </c>
      <c r="F1685" s="2">
        <f t="shared" si="33"/>
        <v>279000</v>
      </c>
    </row>
    <row r="1686" spans="4:6" x14ac:dyDescent="0.2">
      <c r="D1686" s="2">
        <v>106000</v>
      </c>
      <c r="F1686" s="2">
        <f t="shared" si="33"/>
        <v>106000</v>
      </c>
    </row>
    <row r="1687" spans="4:6" x14ac:dyDescent="0.2">
      <c r="D1687" s="2">
        <v>74700</v>
      </c>
      <c r="F1687" s="2">
        <f t="shared" si="33"/>
        <v>74700</v>
      </c>
    </row>
    <row r="1688" spans="4:6" x14ac:dyDescent="0.2">
      <c r="D1688" s="2">
        <v>198000</v>
      </c>
      <c r="F1688" s="2">
        <f t="shared" si="33"/>
        <v>198000</v>
      </c>
    </row>
    <row r="1689" spans="4:6" x14ac:dyDescent="0.2">
      <c r="D1689" s="2">
        <v>969000</v>
      </c>
      <c r="F1689" s="2">
        <f t="shared" si="33"/>
        <v>969000</v>
      </c>
    </row>
    <row r="1690" spans="4:6" x14ac:dyDescent="0.2">
      <c r="D1690" s="2">
        <v>12200</v>
      </c>
      <c r="F1690" s="2">
        <f t="shared" ref="F1690:F1753" si="34">D1690</f>
        <v>12200</v>
      </c>
    </row>
    <row r="1691" spans="4:6" x14ac:dyDescent="0.2">
      <c r="D1691" s="2">
        <v>224000</v>
      </c>
      <c r="F1691" s="2">
        <f t="shared" si="34"/>
        <v>224000</v>
      </c>
    </row>
    <row r="1692" spans="4:6" x14ac:dyDescent="0.2">
      <c r="D1692" s="2">
        <v>37900</v>
      </c>
      <c r="F1692" s="2">
        <f t="shared" si="34"/>
        <v>37900</v>
      </c>
    </row>
    <row r="1693" spans="4:6" x14ac:dyDescent="0.2">
      <c r="D1693" s="2">
        <v>11700000</v>
      </c>
      <c r="F1693" s="2">
        <f t="shared" si="34"/>
        <v>11700000</v>
      </c>
    </row>
    <row r="1694" spans="4:6" x14ac:dyDescent="0.2">
      <c r="D1694" s="2">
        <v>216000000</v>
      </c>
      <c r="F1694" s="2">
        <f t="shared" si="34"/>
        <v>216000000</v>
      </c>
    </row>
    <row r="1695" spans="4:6" x14ac:dyDescent="0.2">
      <c r="D1695" s="2">
        <v>22000000</v>
      </c>
      <c r="F1695" s="2">
        <f t="shared" si="34"/>
        <v>22000000</v>
      </c>
    </row>
    <row r="1696" spans="4:6" x14ac:dyDescent="0.2">
      <c r="D1696" s="2">
        <v>3330000</v>
      </c>
      <c r="F1696" s="2">
        <f t="shared" si="34"/>
        <v>3330000</v>
      </c>
    </row>
    <row r="1697" spans="4:6" x14ac:dyDescent="0.2">
      <c r="D1697" s="2">
        <v>11800000</v>
      </c>
      <c r="F1697" s="2">
        <f t="shared" si="34"/>
        <v>11800000</v>
      </c>
    </row>
    <row r="1698" spans="4:6" x14ac:dyDescent="0.2">
      <c r="D1698" s="2">
        <v>5400000</v>
      </c>
      <c r="F1698" s="2">
        <f t="shared" si="34"/>
        <v>5400000</v>
      </c>
    </row>
    <row r="1699" spans="4:6" x14ac:dyDescent="0.2">
      <c r="D1699" s="2">
        <v>21400000</v>
      </c>
      <c r="F1699" s="2">
        <f t="shared" si="34"/>
        <v>21400000</v>
      </c>
    </row>
    <row r="1700" spans="4:6" x14ac:dyDescent="0.2">
      <c r="D1700" s="2">
        <v>38300000</v>
      </c>
      <c r="F1700" s="2">
        <f t="shared" si="34"/>
        <v>38300000</v>
      </c>
    </row>
    <row r="1701" spans="4:6" x14ac:dyDescent="0.2">
      <c r="D1701" s="2">
        <v>202000000</v>
      </c>
      <c r="F1701" s="2">
        <f t="shared" si="34"/>
        <v>202000000</v>
      </c>
    </row>
    <row r="1702" spans="4:6" x14ac:dyDescent="0.2">
      <c r="D1702" s="2">
        <v>44900000</v>
      </c>
      <c r="F1702" s="2">
        <f t="shared" si="34"/>
        <v>44900000</v>
      </c>
    </row>
    <row r="1703" spans="4:6" x14ac:dyDescent="0.2">
      <c r="D1703" s="2">
        <v>140000000</v>
      </c>
      <c r="F1703" s="2">
        <f t="shared" si="34"/>
        <v>140000000</v>
      </c>
    </row>
    <row r="1704" spans="4:6" x14ac:dyDescent="0.2">
      <c r="D1704" s="2">
        <v>14900000000</v>
      </c>
      <c r="F1704" s="2">
        <f t="shared" si="34"/>
        <v>14900000000</v>
      </c>
    </row>
    <row r="1705" spans="4:6" x14ac:dyDescent="0.2">
      <c r="D1705" s="2">
        <v>69800</v>
      </c>
      <c r="F1705" s="2">
        <f t="shared" si="34"/>
        <v>69800</v>
      </c>
    </row>
    <row r="1706" spans="4:6" x14ac:dyDescent="0.2">
      <c r="D1706" s="2">
        <v>7500000</v>
      </c>
      <c r="F1706" s="2">
        <f t="shared" si="34"/>
        <v>7500000</v>
      </c>
    </row>
    <row r="1707" spans="4:6" x14ac:dyDescent="0.2">
      <c r="D1707" s="2">
        <v>1290000</v>
      </c>
      <c r="F1707" s="2">
        <f t="shared" si="34"/>
        <v>1290000</v>
      </c>
    </row>
    <row r="1708" spans="4:6" x14ac:dyDescent="0.2">
      <c r="D1708" s="2">
        <v>12600000</v>
      </c>
      <c r="F1708" s="2">
        <f t="shared" si="34"/>
        <v>12600000</v>
      </c>
    </row>
    <row r="1709" spans="4:6" x14ac:dyDescent="0.2">
      <c r="D1709" s="2">
        <v>1060000</v>
      </c>
      <c r="F1709" s="2">
        <f t="shared" si="34"/>
        <v>1060000</v>
      </c>
    </row>
    <row r="1710" spans="4:6" x14ac:dyDescent="0.2">
      <c r="D1710" s="2">
        <v>3470000</v>
      </c>
      <c r="F1710" s="2">
        <f t="shared" si="34"/>
        <v>3470000</v>
      </c>
    </row>
    <row r="1711" spans="4:6" x14ac:dyDescent="0.2">
      <c r="D1711" s="2">
        <v>137000</v>
      </c>
      <c r="F1711" s="2">
        <f t="shared" si="34"/>
        <v>137000</v>
      </c>
    </row>
    <row r="1712" spans="4:6" x14ac:dyDescent="0.2">
      <c r="D1712" s="2">
        <v>3700000</v>
      </c>
      <c r="F1712" s="2">
        <f t="shared" si="34"/>
        <v>3700000</v>
      </c>
    </row>
    <row r="1713" spans="4:6" x14ac:dyDescent="0.2">
      <c r="D1713" s="2">
        <v>7880000</v>
      </c>
      <c r="F1713" s="2">
        <f t="shared" si="34"/>
        <v>7880000</v>
      </c>
    </row>
    <row r="1714" spans="4:6" x14ac:dyDescent="0.2">
      <c r="D1714" s="2">
        <v>952000</v>
      </c>
      <c r="F1714" s="2">
        <f t="shared" si="34"/>
        <v>952000</v>
      </c>
    </row>
    <row r="1715" spans="4:6" x14ac:dyDescent="0.2">
      <c r="D1715" s="2">
        <v>2270000</v>
      </c>
      <c r="F1715" s="2">
        <f t="shared" si="34"/>
        <v>2270000</v>
      </c>
    </row>
    <row r="1716" spans="4:6" x14ac:dyDescent="0.2">
      <c r="D1716" s="2">
        <v>3390000</v>
      </c>
      <c r="F1716" s="2">
        <f t="shared" si="34"/>
        <v>3390000</v>
      </c>
    </row>
    <row r="1717" spans="4:6" x14ac:dyDescent="0.2">
      <c r="D1717" s="2">
        <v>2360000</v>
      </c>
      <c r="F1717" s="2">
        <f t="shared" si="34"/>
        <v>2360000</v>
      </c>
    </row>
    <row r="1718" spans="4:6" x14ac:dyDescent="0.2">
      <c r="D1718" s="2">
        <v>175000</v>
      </c>
      <c r="F1718" s="2">
        <f t="shared" si="34"/>
        <v>175000</v>
      </c>
    </row>
    <row r="1719" spans="4:6" x14ac:dyDescent="0.2">
      <c r="D1719" s="2">
        <v>767000</v>
      </c>
      <c r="F1719" s="2">
        <f t="shared" si="34"/>
        <v>767000</v>
      </c>
    </row>
    <row r="1720" spans="4:6" x14ac:dyDescent="0.2">
      <c r="D1720" s="2">
        <v>1720</v>
      </c>
      <c r="F1720" s="2">
        <f t="shared" si="34"/>
        <v>1720</v>
      </c>
    </row>
    <row r="1721" spans="4:6" x14ac:dyDescent="0.2">
      <c r="D1721" s="2">
        <v>12400000</v>
      </c>
      <c r="F1721" s="2">
        <f t="shared" si="34"/>
        <v>12400000</v>
      </c>
    </row>
    <row r="1722" spans="4:6" x14ac:dyDescent="0.2">
      <c r="D1722" s="2">
        <v>1120000</v>
      </c>
      <c r="F1722" s="2">
        <f t="shared" si="34"/>
        <v>1120000</v>
      </c>
    </row>
    <row r="1723" spans="4:6" x14ac:dyDescent="0.2">
      <c r="D1723" s="2">
        <v>1710000</v>
      </c>
      <c r="F1723" s="2">
        <f t="shared" si="34"/>
        <v>1710000</v>
      </c>
    </row>
    <row r="1724" spans="4:6" x14ac:dyDescent="0.2">
      <c r="D1724" s="2">
        <v>3550000</v>
      </c>
      <c r="F1724" s="2">
        <f t="shared" si="34"/>
        <v>3550000</v>
      </c>
    </row>
    <row r="1725" spans="4:6" x14ac:dyDescent="0.2">
      <c r="D1725" s="2">
        <v>5520000</v>
      </c>
      <c r="F1725" s="2">
        <f t="shared" si="34"/>
        <v>5520000</v>
      </c>
    </row>
    <row r="1726" spans="4:6" x14ac:dyDescent="0.2">
      <c r="D1726" s="2">
        <v>463000</v>
      </c>
      <c r="F1726" s="2">
        <f t="shared" si="34"/>
        <v>463000</v>
      </c>
    </row>
    <row r="1727" spans="4:6" x14ac:dyDescent="0.2">
      <c r="D1727" s="2">
        <v>190000</v>
      </c>
      <c r="F1727" s="2">
        <f t="shared" si="34"/>
        <v>190000</v>
      </c>
    </row>
    <row r="1728" spans="4:6" x14ac:dyDescent="0.2">
      <c r="D1728" s="2">
        <v>57800</v>
      </c>
      <c r="F1728" s="2">
        <f t="shared" si="34"/>
        <v>57800</v>
      </c>
    </row>
    <row r="1729" spans="4:6" x14ac:dyDescent="0.2">
      <c r="D1729" s="2">
        <v>10100000</v>
      </c>
      <c r="F1729" s="2">
        <f t="shared" si="34"/>
        <v>10100000</v>
      </c>
    </row>
    <row r="1730" spans="4:6" x14ac:dyDescent="0.2">
      <c r="D1730" s="2">
        <v>5450000</v>
      </c>
      <c r="F1730" s="2">
        <f t="shared" si="34"/>
        <v>5450000</v>
      </c>
    </row>
    <row r="1731" spans="4:6" x14ac:dyDescent="0.2">
      <c r="D1731" s="2">
        <v>949000</v>
      </c>
      <c r="F1731" s="2">
        <f t="shared" si="34"/>
        <v>949000</v>
      </c>
    </row>
    <row r="1732" spans="4:6" x14ac:dyDescent="0.2">
      <c r="D1732" s="2">
        <v>3290000</v>
      </c>
      <c r="F1732" s="2">
        <f t="shared" si="34"/>
        <v>3290000</v>
      </c>
    </row>
    <row r="1733" spans="4:6" x14ac:dyDescent="0.2">
      <c r="D1733" s="2">
        <v>2550000</v>
      </c>
      <c r="F1733" s="2">
        <f t="shared" si="34"/>
        <v>2550000</v>
      </c>
    </row>
    <row r="1734" spans="4:6" x14ac:dyDescent="0.2">
      <c r="D1734" s="2">
        <v>8480000</v>
      </c>
      <c r="F1734" s="2">
        <f t="shared" si="34"/>
        <v>8480000</v>
      </c>
    </row>
    <row r="1735" spans="4:6" x14ac:dyDescent="0.2">
      <c r="D1735" s="2">
        <v>1680000</v>
      </c>
      <c r="F1735" s="2">
        <f t="shared" si="34"/>
        <v>1680000</v>
      </c>
    </row>
    <row r="1736" spans="4:6" x14ac:dyDescent="0.2">
      <c r="D1736" s="2">
        <v>16300000</v>
      </c>
      <c r="F1736" s="2">
        <f t="shared" si="34"/>
        <v>16300000</v>
      </c>
    </row>
    <row r="1737" spans="4:6" x14ac:dyDescent="0.2">
      <c r="D1737" s="2">
        <v>38900000</v>
      </c>
      <c r="F1737" s="2">
        <f t="shared" si="34"/>
        <v>38900000</v>
      </c>
    </row>
    <row r="1738" spans="4:6" x14ac:dyDescent="0.2">
      <c r="D1738" s="2">
        <v>1510000</v>
      </c>
      <c r="F1738" s="2">
        <f t="shared" si="34"/>
        <v>1510000</v>
      </c>
    </row>
    <row r="1739" spans="4:6" x14ac:dyDescent="0.2">
      <c r="D1739" s="2">
        <v>24700000</v>
      </c>
      <c r="F1739" s="2">
        <f t="shared" si="34"/>
        <v>24700000</v>
      </c>
    </row>
    <row r="1740" spans="4:6" x14ac:dyDescent="0.2">
      <c r="D1740" s="2">
        <v>1140000000</v>
      </c>
      <c r="F1740" s="2">
        <f t="shared" si="34"/>
        <v>1140000000</v>
      </c>
    </row>
    <row r="1741" spans="4:6" x14ac:dyDescent="0.2">
      <c r="D1741" s="2">
        <v>2800000</v>
      </c>
      <c r="F1741" s="2">
        <f t="shared" si="34"/>
        <v>2800000</v>
      </c>
    </row>
    <row r="1742" spans="4:6" x14ac:dyDescent="0.2">
      <c r="D1742" s="2">
        <v>23900</v>
      </c>
      <c r="F1742" s="2">
        <f t="shared" si="34"/>
        <v>23900</v>
      </c>
    </row>
    <row r="1743" spans="4:6" x14ac:dyDescent="0.2">
      <c r="D1743" s="2">
        <v>57600</v>
      </c>
      <c r="F1743" s="2">
        <f t="shared" si="34"/>
        <v>57600</v>
      </c>
    </row>
    <row r="1744" spans="4:6" x14ac:dyDescent="0.2">
      <c r="D1744" s="2">
        <v>1360000</v>
      </c>
      <c r="F1744" s="2">
        <f t="shared" si="34"/>
        <v>1360000</v>
      </c>
    </row>
    <row r="1745" spans="4:6" x14ac:dyDescent="0.2">
      <c r="D1745" s="2">
        <v>82700</v>
      </c>
      <c r="F1745" s="2">
        <f t="shared" si="34"/>
        <v>82700</v>
      </c>
    </row>
    <row r="1746" spans="4:6" x14ac:dyDescent="0.2">
      <c r="D1746" s="2">
        <v>16500000</v>
      </c>
      <c r="F1746" s="2">
        <f t="shared" si="34"/>
        <v>16500000</v>
      </c>
    </row>
    <row r="1747" spans="4:6" x14ac:dyDescent="0.2">
      <c r="D1747" s="2">
        <v>371000</v>
      </c>
      <c r="F1747" s="2">
        <f t="shared" si="34"/>
        <v>371000</v>
      </c>
    </row>
    <row r="1748" spans="4:6" x14ac:dyDescent="0.2">
      <c r="D1748" s="2">
        <v>3640000</v>
      </c>
      <c r="F1748" s="2">
        <f t="shared" si="34"/>
        <v>3640000</v>
      </c>
    </row>
    <row r="1749" spans="4:6" x14ac:dyDescent="0.2">
      <c r="D1749" s="2">
        <v>613000</v>
      </c>
      <c r="F1749" s="2">
        <f t="shared" si="34"/>
        <v>613000</v>
      </c>
    </row>
    <row r="1750" spans="4:6" x14ac:dyDescent="0.2">
      <c r="D1750" s="2">
        <v>66200</v>
      </c>
      <c r="F1750" s="2">
        <f t="shared" si="34"/>
        <v>66200</v>
      </c>
    </row>
    <row r="1751" spans="4:6" x14ac:dyDescent="0.2">
      <c r="D1751" s="2">
        <v>1110000</v>
      </c>
      <c r="F1751" s="2">
        <f t="shared" si="34"/>
        <v>1110000</v>
      </c>
    </row>
    <row r="1752" spans="4:6" x14ac:dyDescent="0.2">
      <c r="D1752" s="2">
        <v>8550000</v>
      </c>
      <c r="F1752" s="2">
        <f t="shared" si="34"/>
        <v>8550000</v>
      </c>
    </row>
    <row r="1753" spans="4:6" x14ac:dyDescent="0.2">
      <c r="D1753" s="2">
        <v>13900000</v>
      </c>
      <c r="F1753" s="2">
        <f t="shared" si="34"/>
        <v>13900000</v>
      </c>
    </row>
    <row r="1754" spans="4:6" x14ac:dyDescent="0.2">
      <c r="D1754" s="2">
        <v>331000</v>
      </c>
      <c r="F1754" s="2">
        <f t="shared" ref="F1754:F1817" si="35">D1754</f>
        <v>331000</v>
      </c>
    </row>
    <row r="1755" spans="4:6" x14ac:dyDescent="0.2">
      <c r="D1755" s="2">
        <v>971000</v>
      </c>
      <c r="F1755" s="2">
        <f t="shared" si="35"/>
        <v>971000</v>
      </c>
    </row>
    <row r="1756" spans="4:6" x14ac:dyDescent="0.2">
      <c r="D1756" s="2">
        <v>8960</v>
      </c>
      <c r="F1756" s="2">
        <f t="shared" si="35"/>
        <v>8960</v>
      </c>
    </row>
    <row r="1757" spans="4:6" x14ac:dyDescent="0.2">
      <c r="D1757" s="2">
        <v>966000</v>
      </c>
      <c r="F1757" s="2">
        <f t="shared" si="35"/>
        <v>966000</v>
      </c>
    </row>
    <row r="1758" spans="4:6" x14ac:dyDescent="0.2">
      <c r="D1758" s="2">
        <v>344000</v>
      </c>
      <c r="F1758" s="2">
        <f t="shared" si="35"/>
        <v>344000</v>
      </c>
    </row>
    <row r="1759" spans="4:6" x14ac:dyDescent="0.2">
      <c r="D1759" s="2">
        <v>455000</v>
      </c>
      <c r="F1759" s="2">
        <f t="shared" si="35"/>
        <v>455000</v>
      </c>
    </row>
    <row r="1760" spans="4:6" x14ac:dyDescent="0.2">
      <c r="D1760" s="2">
        <v>16900</v>
      </c>
      <c r="F1760" s="2">
        <f t="shared" si="35"/>
        <v>16900</v>
      </c>
    </row>
    <row r="1761" spans="4:6" x14ac:dyDescent="0.2">
      <c r="D1761" s="2">
        <v>3160000</v>
      </c>
      <c r="F1761" s="2">
        <f t="shared" si="35"/>
        <v>3160000</v>
      </c>
    </row>
    <row r="1762" spans="4:6" x14ac:dyDescent="0.2">
      <c r="D1762" s="2">
        <v>2070</v>
      </c>
      <c r="F1762" s="2">
        <f t="shared" si="35"/>
        <v>2070</v>
      </c>
    </row>
    <row r="1763" spans="4:6" x14ac:dyDescent="0.2">
      <c r="D1763" s="2">
        <v>20100</v>
      </c>
      <c r="F1763" s="2">
        <f t="shared" si="35"/>
        <v>20100</v>
      </c>
    </row>
    <row r="1764" spans="4:6" x14ac:dyDescent="0.2">
      <c r="D1764" s="2">
        <v>3720</v>
      </c>
      <c r="F1764" s="2">
        <f t="shared" si="35"/>
        <v>3720</v>
      </c>
    </row>
    <row r="1765" spans="4:6" x14ac:dyDescent="0.2">
      <c r="D1765" s="2">
        <v>43200000</v>
      </c>
      <c r="F1765" s="2">
        <f t="shared" si="35"/>
        <v>43200000</v>
      </c>
    </row>
    <row r="1766" spans="4:6" x14ac:dyDescent="0.2">
      <c r="D1766" s="2">
        <v>21600000</v>
      </c>
      <c r="F1766" s="2">
        <f t="shared" si="35"/>
        <v>21600000</v>
      </c>
    </row>
    <row r="1767" spans="4:6" x14ac:dyDescent="0.2">
      <c r="D1767" s="2">
        <v>2730000</v>
      </c>
      <c r="F1767" s="2">
        <f t="shared" si="35"/>
        <v>2730000</v>
      </c>
    </row>
    <row r="1768" spans="4:6" x14ac:dyDescent="0.2">
      <c r="D1768" s="2">
        <v>5280000</v>
      </c>
      <c r="F1768" s="2">
        <f t="shared" si="35"/>
        <v>5280000</v>
      </c>
    </row>
    <row r="1769" spans="4:6" x14ac:dyDescent="0.2">
      <c r="D1769" s="2">
        <v>78400000</v>
      </c>
      <c r="F1769" s="2">
        <f t="shared" si="35"/>
        <v>78400000</v>
      </c>
    </row>
    <row r="1770" spans="4:6" x14ac:dyDescent="0.2">
      <c r="D1770" s="2">
        <v>13700000</v>
      </c>
      <c r="F1770" s="2">
        <f t="shared" si="35"/>
        <v>13700000</v>
      </c>
    </row>
    <row r="1771" spans="4:6" x14ac:dyDescent="0.2">
      <c r="D1771" s="2">
        <v>6370000</v>
      </c>
      <c r="F1771" s="2">
        <f t="shared" si="35"/>
        <v>6370000</v>
      </c>
    </row>
    <row r="1772" spans="4:6" x14ac:dyDescent="0.2">
      <c r="D1772" s="2">
        <v>56200000</v>
      </c>
      <c r="F1772" s="2">
        <f t="shared" si="35"/>
        <v>56200000</v>
      </c>
    </row>
    <row r="1773" spans="4:6" x14ac:dyDescent="0.2">
      <c r="D1773" s="2">
        <v>103000000</v>
      </c>
      <c r="F1773" s="2">
        <f t="shared" si="35"/>
        <v>103000000</v>
      </c>
    </row>
    <row r="1774" spans="4:6" x14ac:dyDescent="0.2">
      <c r="D1774" s="2">
        <v>11700000</v>
      </c>
      <c r="F1774" s="2">
        <f t="shared" si="35"/>
        <v>11700000</v>
      </c>
    </row>
    <row r="1775" spans="4:6" x14ac:dyDescent="0.2">
      <c r="D1775" s="2">
        <v>115000000</v>
      </c>
      <c r="F1775" s="2">
        <f t="shared" si="35"/>
        <v>115000000</v>
      </c>
    </row>
    <row r="1776" spans="4:6" x14ac:dyDescent="0.2">
      <c r="D1776" s="2">
        <v>3020000000</v>
      </c>
      <c r="F1776" s="2">
        <f t="shared" si="35"/>
        <v>3020000000</v>
      </c>
    </row>
    <row r="1777" spans="4:6" x14ac:dyDescent="0.2">
      <c r="D1777" s="2">
        <v>335000</v>
      </c>
      <c r="F1777" s="2">
        <f t="shared" si="35"/>
        <v>335000</v>
      </c>
    </row>
    <row r="1778" spans="4:6" x14ac:dyDescent="0.2">
      <c r="D1778" s="2">
        <v>389000</v>
      </c>
      <c r="F1778" s="2">
        <f t="shared" si="35"/>
        <v>389000</v>
      </c>
    </row>
    <row r="1779" spans="4:6" x14ac:dyDescent="0.2">
      <c r="D1779" s="2">
        <v>11300</v>
      </c>
      <c r="F1779" s="2">
        <f t="shared" si="35"/>
        <v>11300</v>
      </c>
    </row>
    <row r="1780" spans="4:6" x14ac:dyDescent="0.2">
      <c r="D1780" s="2">
        <v>2160000</v>
      </c>
      <c r="F1780" s="2">
        <f t="shared" si="35"/>
        <v>2160000</v>
      </c>
    </row>
    <row r="1781" spans="4:6" x14ac:dyDescent="0.2">
      <c r="D1781" s="2">
        <v>17600</v>
      </c>
      <c r="F1781" s="2">
        <f t="shared" si="35"/>
        <v>17600</v>
      </c>
    </row>
    <row r="1782" spans="4:6" x14ac:dyDescent="0.2">
      <c r="D1782" s="2">
        <v>30300000</v>
      </c>
      <c r="F1782" s="2">
        <f t="shared" si="35"/>
        <v>30300000</v>
      </c>
    </row>
    <row r="1783" spans="4:6" x14ac:dyDescent="0.2">
      <c r="D1783" s="2">
        <v>24200000</v>
      </c>
      <c r="F1783" s="2">
        <f t="shared" si="35"/>
        <v>24200000</v>
      </c>
    </row>
    <row r="1784" spans="4:6" x14ac:dyDescent="0.2">
      <c r="D1784" s="2">
        <v>7640000</v>
      </c>
      <c r="F1784" s="2">
        <f t="shared" si="35"/>
        <v>7640000</v>
      </c>
    </row>
    <row r="1785" spans="4:6" x14ac:dyDescent="0.2">
      <c r="D1785" s="2">
        <v>182000</v>
      </c>
      <c r="F1785" s="2">
        <f t="shared" si="35"/>
        <v>182000</v>
      </c>
    </row>
    <row r="1786" spans="4:6" x14ac:dyDescent="0.2">
      <c r="D1786" s="2">
        <v>9930</v>
      </c>
      <c r="F1786" s="2">
        <f t="shared" si="35"/>
        <v>9930</v>
      </c>
    </row>
    <row r="1787" spans="4:6" x14ac:dyDescent="0.2">
      <c r="D1787" s="2">
        <v>88800</v>
      </c>
      <c r="F1787" s="2">
        <f t="shared" si="35"/>
        <v>88800</v>
      </c>
    </row>
    <row r="1788" spans="4:6" x14ac:dyDescent="0.2">
      <c r="D1788" s="2">
        <v>5120000</v>
      </c>
      <c r="F1788" s="2">
        <f t="shared" si="35"/>
        <v>5120000</v>
      </c>
    </row>
    <row r="1789" spans="4:6" x14ac:dyDescent="0.2">
      <c r="D1789" s="2">
        <v>34400000</v>
      </c>
      <c r="F1789" s="2">
        <f t="shared" si="35"/>
        <v>34400000</v>
      </c>
    </row>
    <row r="1790" spans="4:6" x14ac:dyDescent="0.2">
      <c r="D1790" s="2">
        <v>531000</v>
      </c>
      <c r="F1790" s="2">
        <f t="shared" si="35"/>
        <v>531000</v>
      </c>
    </row>
    <row r="1791" spans="4:6" x14ac:dyDescent="0.2">
      <c r="D1791" s="2">
        <v>4170000</v>
      </c>
      <c r="F1791" s="2">
        <f t="shared" si="35"/>
        <v>4170000</v>
      </c>
    </row>
    <row r="1792" spans="4:6" x14ac:dyDescent="0.2">
      <c r="D1792" s="2">
        <v>13600</v>
      </c>
      <c r="F1792" s="2">
        <f t="shared" si="35"/>
        <v>13600</v>
      </c>
    </row>
    <row r="1793" spans="4:6" x14ac:dyDescent="0.2">
      <c r="D1793" s="2">
        <v>1230000</v>
      </c>
      <c r="F1793" s="2">
        <f t="shared" si="35"/>
        <v>1230000</v>
      </c>
    </row>
    <row r="1794" spans="4:6" x14ac:dyDescent="0.2">
      <c r="D1794" s="2">
        <v>536000</v>
      </c>
      <c r="F1794" s="2">
        <f t="shared" si="35"/>
        <v>536000</v>
      </c>
    </row>
    <row r="1795" spans="4:6" x14ac:dyDescent="0.2">
      <c r="D1795" s="2">
        <v>1860000</v>
      </c>
      <c r="F1795" s="2">
        <f t="shared" si="35"/>
        <v>1860000</v>
      </c>
    </row>
    <row r="1796" spans="4:6" x14ac:dyDescent="0.2">
      <c r="D1796" s="2">
        <v>631000</v>
      </c>
      <c r="F1796" s="2">
        <f t="shared" si="35"/>
        <v>631000</v>
      </c>
    </row>
    <row r="1797" spans="4:6" x14ac:dyDescent="0.2">
      <c r="D1797" s="2">
        <v>7130000</v>
      </c>
      <c r="F1797" s="2">
        <f t="shared" si="35"/>
        <v>7130000</v>
      </c>
    </row>
    <row r="1798" spans="4:6" x14ac:dyDescent="0.2">
      <c r="D1798" s="2">
        <v>15100</v>
      </c>
      <c r="F1798" s="2">
        <f t="shared" si="35"/>
        <v>15100</v>
      </c>
    </row>
    <row r="1799" spans="4:6" x14ac:dyDescent="0.2">
      <c r="D1799" s="2">
        <v>88000</v>
      </c>
      <c r="F1799" s="2">
        <f t="shared" si="35"/>
        <v>88000</v>
      </c>
    </row>
    <row r="1800" spans="4:6" x14ac:dyDescent="0.2">
      <c r="D1800" s="2">
        <v>9680</v>
      </c>
      <c r="F1800" s="2">
        <f t="shared" si="35"/>
        <v>9680</v>
      </c>
    </row>
    <row r="1801" spans="4:6" x14ac:dyDescent="0.2">
      <c r="D1801" s="2">
        <v>7900000</v>
      </c>
      <c r="F1801" s="2">
        <f t="shared" si="35"/>
        <v>7900000</v>
      </c>
    </row>
    <row r="1802" spans="4:6" x14ac:dyDescent="0.2">
      <c r="D1802" s="2">
        <v>12400000</v>
      </c>
      <c r="F1802" s="2">
        <f t="shared" si="35"/>
        <v>12400000</v>
      </c>
    </row>
    <row r="1803" spans="4:6" x14ac:dyDescent="0.2">
      <c r="D1803" s="2">
        <v>2820000</v>
      </c>
      <c r="F1803" s="2">
        <f t="shared" si="35"/>
        <v>2820000</v>
      </c>
    </row>
    <row r="1804" spans="4:6" x14ac:dyDescent="0.2">
      <c r="D1804" s="2">
        <v>324000</v>
      </c>
      <c r="F1804" s="2">
        <f t="shared" si="35"/>
        <v>324000</v>
      </c>
    </row>
    <row r="1805" spans="4:6" x14ac:dyDescent="0.2">
      <c r="D1805" s="2">
        <v>1480000</v>
      </c>
      <c r="F1805" s="2">
        <f t="shared" si="35"/>
        <v>1480000</v>
      </c>
    </row>
    <row r="1806" spans="4:6" x14ac:dyDescent="0.2">
      <c r="D1806" s="2">
        <v>805000</v>
      </c>
      <c r="F1806" s="2">
        <f t="shared" si="35"/>
        <v>805000</v>
      </c>
    </row>
    <row r="1807" spans="4:6" x14ac:dyDescent="0.2">
      <c r="D1807" s="2">
        <v>837000</v>
      </c>
      <c r="F1807" s="2">
        <f t="shared" si="35"/>
        <v>837000</v>
      </c>
    </row>
    <row r="1808" spans="4:6" x14ac:dyDescent="0.2">
      <c r="D1808" s="2">
        <v>30500000</v>
      </c>
      <c r="F1808" s="2">
        <f t="shared" si="35"/>
        <v>30500000</v>
      </c>
    </row>
    <row r="1809" spans="4:6" x14ac:dyDescent="0.2">
      <c r="D1809" s="2">
        <v>45900000</v>
      </c>
      <c r="F1809" s="2">
        <f t="shared" si="35"/>
        <v>45900000</v>
      </c>
    </row>
    <row r="1810" spans="4:6" x14ac:dyDescent="0.2">
      <c r="D1810" s="2">
        <v>3970000</v>
      </c>
      <c r="F1810" s="2">
        <f t="shared" si="35"/>
        <v>3970000</v>
      </c>
    </row>
    <row r="1811" spans="4:6" x14ac:dyDescent="0.2">
      <c r="D1811" s="2">
        <v>10300</v>
      </c>
      <c r="F1811" s="2">
        <f t="shared" si="35"/>
        <v>10300</v>
      </c>
    </row>
    <row r="1812" spans="4:6" x14ac:dyDescent="0.2">
      <c r="D1812" s="2">
        <v>2330000000</v>
      </c>
      <c r="F1812" s="2">
        <f t="shared" si="35"/>
        <v>2330000000</v>
      </c>
    </row>
    <row r="1813" spans="4:6" x14ac:dyDescent="0.2">
      <c r="D1813" s="2">
        <v>8000000</v>
      </c>
      <c r="F1813" s="2">
        <f t="shared" si="35"/>
        <v>8000000</v>
      </c>
    </row>
    <row r="1814" spans="4:6" x14ac:dyDescent="0.2">
      <c r="D1814" s="2">
        <v>73000</v>
      </c>
      <c r="F1814" s="2">
        <f t="shared" si="35"/>
        <v>73000</v>
      </c>
    </row>
    <row r="1815" spans="4:6" x14ac:dyDescent="0.2">
      <c r="D1815" s="2">
        <v>112000</v>
      </c>
      <c r="F1815" s="2">
        <f t="shared" si="35"/>
        <v>112000</v>
      </c>
    </row>
    <row r="1816" spans="4:6" x14ac:dyDescent="0.2">
      <c r="D1816" s="2">
        <v>1070000</v>
      </c>
      <c r="F1816" s="2">
        <f t="shared" si="35"/>
        <v>1070000</v>
      </c>
    </row>
    <row r="1817" spans="4:6" x14ac:dyDescent="0.2">
      <c r="D1817" s="2">
        <v>21200</v>
      </c>
      <c r="F1817" s="2">
        <f t="shared" si="35"/>
        <v>21200</v>
      </c>
    </row>
    <row r="1818" spans="4:6" x14ac:dyDescent="0.2">
      <c r="D1818" s="2">
        <v>642000</v>
      </c>
      <c r="F1818" s="2">
        <f t="shared" ref="F1818:F1881" si="36">D1818</f>
        <v>642000</v>
      </c>
    </row>
    <row r="1819" spans="4:6" x14ac:dyDescent="0.2">
      <c r="D1819" s="2">
        <v>75700</v>
      </c>
      <c r="F1819" s="2">
        <f t="shared" si="36"/>
        <v>75700</v>
      </c>
    </row>
    <row r="1820" spans="4:6" x14ac:dyDescent="0.2">
      <c r="D1820" s="2">
        <v>765000</v>
      </c>
      <c r="F1820" s="2">
        <f t="shared" si="36"/>
        <v>765000</v>
      </c>
    </row>
    <row r="1821" spans="4:6" x14ac:dyDescent="0.2">
      <c r="D1821" s="2">
        <v>5300</v>
      </c>
      <c r="F1821" s="2">
        <f t="shared" si="36"/>
        <v>5300</v>
      </c>
    </row>
    <row r="1822" spans="4:6" x14ac:dyDescent="0.2">
      <c r="D1822" s="2">
        <v>83500</v>
      </c>
      <c r="F1822" s="2">
        <f t="shared" si="36"/>
        <v>83500</v>
      </c>
    </row>
    <row r="1823" spans="4:6" x14ac:dyDescent="0.2">
      <c r="D1823" s="2">
        <v>2560</v>
      </c>
      <c r="F1823" s="2">
        <f t="shared" si="36"/>
        <v>2560</v>
      </c>
    </row>
    <row r="1824" spans="4:6" x14ac:dyDescent="0.2">
      <c r="D1824" s="2">
        <v>105000</v>
      </c>
      <c r="F1824" s="2">
        <f t="shared" si="36"/>
        <v>105000</v>
      </c>
    </row>
    <row r="1825" spans="4:6" x14ac:dyDescent="0.2">
      <c r="D1825" s="2">
        <v>2610000</v>
      </c>
      <c r="F1825" s="2">
        <f t="shared" si="36"/>
        <v>2610000</v>
      </c>
    </row>
    <row r="1826" spans="4:6" x14ac:dyDescent="0.2">
      <c r="D1826" s="2">
        <v>35500</v>
      </c>
      <c r="F1826" s="2">
        <f t="shared" si="36"/>
        <v>35500</v>
      </c>
    </row>
    <row r="1827" spans="4:6" x14ac:dyDescent="0.2">
      <c r="D1827" s="2">
        <v>511000</v>
      </c>
      <c r="F1827" s="2">
        <f t="shared" si="36"/>
        <v>511000</v>
      </c>
    </row>
    <row r="1828" spans="4:6" x14ac:dyDescent="0.2">
      <c r="D1828" s="2">
        <v>7650</v>
      </c>
      <c r="F1828" s="2">
        <f t="shared" si="36"/>
        <v>7650</v>
      </c>
    </row>
    <row r="1829" spans="4:6" x14ac:dyDescent="0.2">
      <c r="D1829" s="2">
        <v>346000</v>
      </c>
      <c r="F1829" s="2">
        <f t="shared" si="36"/>
        <v>346000</v>
      </c>
    </row>
    <row r="1830" spans="4:6" x14ac:dyDescent="0.2">
      <c r="D1830" s="2">
        <v>9740</v>
      </c>
      <c r="F1830" s="2">
        <f t="shared" si="36"/>
        <v>9740</v>
      </c>
    </row>
    <row r="1831" spans="4:6" x14ac:dyDescent="0.2">
      <c r="D1831" s="2">
        <v>43300</v>
      </c>
      <c r="F1831" s="2">
        <f t="shared" si="36"/>
        <v>43300</v>
      </c>
    </row>
    <row r="1832" spans="4:6" x14ac:dyDescent="0.2">
      <c r="D1832" s="2">
        <v>2000</v>
      </c>
      <c r="F1832" s="2">
        <f t="shared" si="36"/>
        <v>2000</v>
      </c>
    </row>
    <row r="1833" spans="4:6" x14ac:dyDescent="0.2">
      <c r="D1833" s="2">
        <v>373000</v>
      </c>
      <c r="F1833" s="2">
        <f t="shared" si="36"/>
        <v>373000</v>
      </c>
    </row>
    <row r="1834" spans="4:6" x14ac:dyDescent="0.2">
      <c r="D1834" s="2">
        <v>1110</v>
      </c>
      <c r="F1834" s="2">
        <f t="shared" si="36"/>
        <v>1110</v>
      </c>
    </row>
    <row r="1835" spans="4:6" x14ac:dyDescent="0.2">
      <c r="D1835" s="2">
        <v>1130</v>
      </c>
      <c r="F1835" s="2">
        <f t="shared" si="36"/>
        <v>1130</v>
      </c>
    </row>
    <row r="1836" spans="4:6" x14ac:dyDescent="0.2">
      <c r="D1836" s="2">
        <v>1260</v>
      </c>
      <c r="F1836" s="2">
        <f t="shared" si="36"/>
        <v>1260</v>
      </c>
    </row>
    <row r="1837" spans="4:6" x14ac:dyDescent="0.2">
      <c r="D1837" s="2">
        <v>413000</v>
      </c>
      <c r="F1837" s="2">
        <f t="shared" si="36"/>
        <v>413000</v>
      </c>
    </row>
    <row r="1838" spans="4:6" x14ac:dyDescent="0.2">
      <c r="D1838" s="2">
        <v>161000</v>
      </c>
      <c r="F1838" s="2">
        <f t="shared" si="36"/>
        <v>161000</v>
      </c>
    </row>
    <row r="1839" spans="4:6" x14ac:dyDescent="0.2">
      <c r="D1839" s="2">
        <v>280000</v>
      </c>
      <c r="F1839" s="2">
        <f t="shared" si="36"/>
        <v>280000</v>
      </c>
    </row>
    <row r="1840" spans="4:6" x14ac:dyDescent="0.2">
      <c r="D1840" s="2">
        <v>3620000</v>
      </c>
      <c r="F1840" s="2">
        <f t="shared" si="36"/>
        <v>3620000</v>
      </c>
    </row>
    <row r="1841" spans="4:6" x14ac:dyDescent="0.2">
      <c r="D1841" s="2">
        <v>7470000</v>
      </c>
      <c r="F1841" s="2">
        <f t="shared" si="36"/>
        <v>7470000</v>
      </c>
    </row>
    <row r="1842" spans="4:6" x14ac:dyDescent="0.2">
      <c r="D1842" s="2">
        <v>10200000</v>
      </c>
      <c r="F1842" s="2">
        <f t="shared" si="36"/>
        <v>10200000</v>
      </c>
    </row>
    <row r="1843" spans="4:6" x14ac:dyDescent="0.2">
      <c r="D1843" s="2">
        <v>3510000</v>
      </c>
      <c r="F1843" s="2">
        <f t="shared" si="36"/>
        <v>3510000</v>
      </c>
    </row>
    <row r="1844" spans="4:6" x14ac:dyDescent="0.2">
      <c r="D1844" s="2">
        <v>7300000</v>
      </c>
      <c r="F1844" s="2">
        <f t="shared" si="36"/>
        <v>7300000</v>
      </c>
    </row>
    <row r="1845" spans="4:6" x14ac:dyDescent="0.2">
      <c r="D1845" s="2">
        <v>7340000</v>
      </c>
      <c r="F1845" s="2">
        <f t="shared" si="36"/>
        <v>7340000</v>
      </c>
    </row>
    <row r="1846" spans="4:6" x14ac:dyDescent="0.2">
      <c r="D1846" s="2">
        <v>1280000</v>
      </c>
      <c r="F1846" s="2">
        <f t="shared" si="36"/>
        <v>1280000</v>
      </c>
    </row>
    <row r="1847" spans="4:6" x14ac:dyDescent="0.2">
      <c r="D1847" s="2">
        <v>127000</v>
      </c>
      <c r="F1847" s="2">
        <f t="shared" si="36"/>
        <v>127000</v>
      </c>
    </row>
    <row r="1848" spans="4:6" x14ac:dyDescent="0.2">
      <c r="D1848" s="2">
        <v>257000000</v>
      </c>
      <c r="F1848" s="2">
        <f t="shared" si="36"/>
        <v>257000000</v>
      </c>
    </row>
    <row r="1849" spans="4:6" x14ac:dyDescent="0.2">
      <c r="D1849" s="2">
        <v>1470000</v>
      </c>
      <c r="F1849" s="2">
        <f t="shared" si="36"/>
        <v>1470000</v>
      </c>
    </row>
    <row r="1850" spans="4:6" x14ac:dyDescent="0.2">
      <c r="D1850" s="2">
        <v>514000</v>
      </c>
      <c r="F1850" s="2">
        <f t="shared" si="36"/>
        <v>514000</v>
      </c>
    </row>
    <row r="1851" spans="4:6" x14ac:dyDescent="0.2">
      <c r="D1851" s="2">
        <v>33800</v>
      </c>
      <c r="F1851" s="2">
        <f t="shared" si="36"/>
        <v>33800</v>
      </c>
    </row>
    <row r="1852" spans="4:6" x14ac:dyDescent="0.2">
      <c r="D1852" s="2">
        <v>301000</v>
      </c>
      <c r="F1852" s="2">
        <f t="shared" si="36"/>
        <v>301000</v>
      </c>
    </row>
    <row r="1853" spans="4:6" x14ac:dyDescent="0.2">
      <c r="D1853" s="2">
        <v>282000</v>
      </c>
      <c r="F1853" s="2">
        <f t="shared" si="36"/>
        <v>282000</v>
      </c>
    </row>
    <row r="1854" spans="4:6" x14ac:dyDescent="0.2">
      <c r="D1854" s="2">
        <v>728000</v>
      </c>
      <c r="F1854" s="2">
        <f t="shared" si="36"/>
        <v>728000</v>
      </c>
    </row>
    <row r="1855" spans="4:6" x14ac:dyDescent="0.2">
      <c r="D1855" s="2">
        <v>1610000</v>
      </c>
      <c r="F1855" s="2">
        <f t="shared" si="36"/>
        <v>1610000</v>
      </c>
    </row>
    <row r="1856" spans="4:6" x14ac:dyDescent="0.2">
      <c r="D1856" s="2">
        <v>849000</v>
      </c>
      <c r="F1856" s="2">
        <f t="shared" si="36"/>
        <v>849000</v>
      </c>
    </row>
    <row r="1857" spans="4:6" x14ac:dyDescent="0.2">
      <c r="D1857" s="2">
        <v>645000</v>
      </c>
      <c r="F1857" s="2">
        <f t="shared" si="36"/>
        <v>645000</v>
      </c>
    </row>
    <row r="1858" spans="4:6" x14ac:dyDescent="0.2">
      <c r="D1858" s="2">
        <v>80900</v>
      </c>
      <c r="F1858" s="2">
        <f t="shared" si="36"/>
        <v>80900</v>
      </c>
    </row>
    <row r="1859" spans="4:6" x14ac:dyDescent="0.2">
      <c r="D1859" s="2">
        <v>792000</v>
      </c>
      <c r="F1859" s="2">
        <f t="shared" si="36"/>
        <v>792000</v>
      </c>
    </row>
    <row r="1860" spans="4:6" x14ac:dyDescent="0.2">
      <c r="D1860" s="2">
        <v>8110000</v>
      </c>
      <c r="F1860" s="2">
        <f t="shared" si="36"/>
        <v>8110000</v>
      </c>
    </row>
    <row r="1861" spans="4:6" x14ac:dyDescent="0.2">
      <c r="D1861" s="2">
        <v>9040000</v>
      </c>
      <c r="F1861" s="2">
        <f t="shared" si="36"/>
        <v>9040000</v>
      </c>
    </row>
    <row r="1862" spans="4:6" x14ac:dyDescent="0.2">
      <c r="D1862" s="2">
        <v>224000</v>
      </c>
      <c r="F1862" s="2">
        <f t="shared" si="36"/>
        <v>224000</v>
      </c>
    </row>
    <row r="1863" spans="4:6" x14ac:dyDescent="0.2">
      <c r="D1863" s="2">
        <v>715000</v>
      </c>
      <c r="F1863" s="2">
        <f t="shared" si="36"/>
        <v>715000</v>
      </c>
    </row>
    <row r="1864" spans="4:6" x14ac:dyDescent="0.2">
      <c r="D1864" s="2">
        <v>1030</v>
      </c>
      <c r="F1864" s="2">
        <f t="shared" si="36"/>
        <v>1030</v>
      </c>
    </row>
    <row r="1865" spans="4:6" x14ac:dyDescent="0.2">
      <c r="D1865" s="2">
        <v>442000</v>
      </c>
      <c r="F1865" s="2">
        <f t="shared" si="36"/>
        <v>442000</v>
      </c>
    </row>
    <row r="1866" spans="4:6" x14ac:dyDescent="0.2">
      <c r="D1866" s="2">
        <v>187000</v>
      </c>
      <c r="F1866" s="2">
        <f t="shared" si="36"/>
        <v>187000</v>
      </c>
    </row>
    <row r="1867" spans="4:6" x14ac:dyDescent="0.2">
      <c r="D1867" s="2">
        <v>54300</v>
      </c>
      <c r="F1867" s="2">
        <f t="shared" si="36"/>
        <v>54300</v>
      </c>
    </row>
    <row r="1868" spans="4:6" x14ac:dyDescent="0.2">
      <c r="D1868" s="2">
        <v>72600</v>
      </c>
      <c r="F1868" s="2">
        <f t="shared" si="36"/>
        <v>72600</v>
      </c>
    </row>
    <row r="1869" spans="4:6" x14ac:dyDescent="0.2">
      <c r="D1869" s="2">
        <v>8500000</v>
      </c>
      <c r="F1869" s="2">
        <f t="shared" si="36"/>
        <v>8500000</v>
      </c>
    </row>
    <row r="1870" spans="4:6" x14ac:dyDescent="0.2">
      <c r="D1870" s="2">
        <v>107000</v>
      </c>
      <c r="F1870" s="2">
        <f t="shared" si="36"/>
        <v>107000</v>
      </c>
    </row>
    <row r="1871" spans="4:6" x14ac:dyDescent="0.2">
      <c r="D1871" s="2">
        <v>36200</v>
      </c>
      <c r="F1871" s="2">
        <f t="shared" si="36"/>
        <v>36200</v>
      </c>
    </row>
    <row r="1872" spans="4:6" x14ac:dyDescent="0.2">
      <c r="D1872" s="2">
        <v>29300</v>
      </c>
      <c r="F1872" s="2">
        <f t="shared" si="36"/>
        <v>29300</v>
      </c>
    </row>
    <row r="1873" spans="4:6" x14ac:dyDescent="0.2">
      <c r="D1873" s="2">
        <v>116000</v>
      </c>
      <c r="F1873" s="2">
        <f t="shared" si="36"/>
        <v>116000</v>
      </c>
    </row>
    <row r="1874" spans="4:6" x14ac:dyDescent="0.2">
      <c r="D1874" s="2">
        <v>38800</v>
      </c>
      <c r="F1874" s="2">
        <f t="shared" si="36"/>
        <v>38800</v>
      </c>
    </row>
    <row r="1875" spans="4:6" x14ac:dyDescent="0.2">
      <c r="D1875" s="2">
        <v>48800</v>
      </c>
      <c r="F1875" s="2">
        <f t="shared" si="36"/>
        <v>48800</v>
      </c>
    </row>
    <row r="1876" spans="4:6" x14ac:dyDescent="0.2">
      <c r="D1876" s="2">
        <v>55500</v>
      </c>
      <c r="F1876" s="2">
        <f t="shared" si="36"/>
        <v>55500</v>
      </c>
    </row>
    <row r="1877" spans="4:6" x14ac:dyDescent="0.2">
      <c r="D1877" s="2">
        <v>11800</v>
      </c>
      <c r="F1877" s="2">
        <f t="shared" si="36"/>
        <v>11800</v>
      </c>
    </row>
    <row r="1878" spans="4:6" x14ac:dyDescent="0.2">
      <c r="D1878" s="2">
        <v>774000</v>
      </c>
      <c r="F1878" s="2">
        <f t="shared" si="36"/>
        <v>774000</v>
      </c>
    </row>
    <row r="1879" spans="4:6" x14ac:dyDescent="0.2">
      <c r="D1879" s="2">
        <v>4090</v>
      </c>
      <c r="F1879" s="2">
        <f t="shared" si="36"/>
        <v>4090</v>
      </c>
    </row>
    <row r="1880" spans="4:6" x14ac:dyDescent="0.2">
      <c r="D1880" s="2">
        <v>108000</v>
      </c>
      <c r="F1880" s="2">
        <f t="shared" si="36"/>
        <v>108000</v>
      </c>
    </row>
    <row r="1881" spans="4:6" x14ac:dyDescent="0.2">
      <c r="D1881" s="2">
        <v>390000</v>
      </c>
      <c r="F1881" s="2">
        <f t="shared" si="36"/>
        <v>390000</v>
      </c>
    </row>
    <row r="1882" spans="4:6" x14ac:dyDescent="0.2">
      <c r="D1882" s="2">
        <v>14700</v>
      </c>
      <c r="F1882" s="2">
        <f t="shared" ref="F1882:F1945" si="37">D1882</f>
        <v>14700</v>
      </c>
    </row>
    <row r="1883" spans="4:6" x14ac:dyDescent="0.2">
      <c r="D1883" s="2">
        <v>88500</v>
      </c>
      <c r="F1883" s="2">
        <f t="shared" si="37"/>
        <v>88500</v>
      </c>
    </row>
    <row r="1884" spans="4:6" x14ac:dyDescent="0.2">
      <c r="D1884" s="2">
        <v>56000000</v>
      </c>
      <c r="F1884" s="2">
        <f t="shared" si="37"/>
        <v>56000000</v>
      </c>
    </row>
    <row r="1885" spans="4:6" x14ac:dyDescent="0.2">
      <c r="D1885" s="2">
        <v>17400</v>
      </c>
      <c r="F1885" s="2">
        <f t="shared" si="37"/>
        <v>17400</v>
      </c>
    </row>
    <row r="1886" spans="4:6" x14ac:dyDescent="0.2">
      <c r="D1886" s="2">
        <v>97300</v>
      </c>
      <c r="F1886" s="2">
        <f t="shared" si="37"/>
        <v>97300</v>
      </c>
    </row>
    <row r="1887" spans="4:6" x14ac:dyDescent="0.2">
      <c r="D1887" s="2">
        <v>6140</v>
      </c>
      <c r="F1887" s="2">
        <f t="shared" si="37"/>
        <v>6140</v>
      </c>
    </row>
    <row r="1888" spans="4:6" x14ac:dyDescent="0.2">
      <c r="D1888" s="2">
        <v>7510</v>
      </c>
      <c r="F1888" s="2">
        <f t="shared" si="37"/>
        <v>7510</v>
      </c>
    </row>
    <row r="1889" spans="4:6" x14ac:dyDescent="0.2">
      <c r="D1889" s="2">
        <v>92900</v>
      </c>
      <c r="F1889" s="2">
        <f t="shared" si="37"/>
        <v>92900</v>
      </c>
    </row>
    <row r="1890" spans="4:6" x14ac:dyDescent="0.2">
      <c r="D1890" s="2">
        <v>85000</v>
      </c>
      <c r="F1890" s="2">
        <f t="shared" si="37"/>
        <v>85000</v>
      </c>
    </row>
    <row r="1891" spans="4:6" x14ac:dyDescent="0.2">
      <c r="D1891" s="2">
        <v>1100000</v>
      </c>
      <c r="F1891" s="2">
        <f t="shared" si="37"/>
        <v>1100000</v>
      </c>
    </row>
    <row r="1892" spans="4:6" x14ac:dyDescent="0.2">
      <c r="D1892" s="2">
        <v>12200</v>
      </c>
      <c r="F1892" s="2">
        <f t="shared" si="37"/>
        <v>12200</v>
      </c>
    </row>
    <row r="1893" spans="4:6" x14ac:dyDescent="0.2">
      <c r="D1893" s="2">
        <v>59400</v>
      </c>
      <c r="F1893" s="2">
        <f t="shared" si="37"/>
        <v>59400</v>
      </c>
    </row>
    <row r="1894" spans="4:6" x14ac:dyDescent="0.2">
      <c r="D1894" s="2">
        <v>69400</v>
      </c>
      <c r="F1894" s="2">
        <f t="shared" si="37"/>
        <v>69400</v>
      </c>
    </row>
    <row r="1895" spans="4:6" x14ac:dyDescent="0.2">
      <c r="D1895" s="2">
        <v>67500</v>
      </c>
      <c r="F1895" s="2">
        <f t="shared" si="37"/>
        <v>67500</v>
      </c>
    </row>
    <row r="1896" spans="4:6" x14ac:dyDescent="0.2">
      <c r="D1896" s="2">
        <v>14800</v>
      </c>
      <c r="F1896" s="2">
        <f t="shared" si="37"/>
        <v>14800</v>
      </c>
    </row>
    <row r="1897" spans="4:6" x14ac:dyDescent="0.2">
      <c r="D1897" s="2">
        <v>393000</v>
      </c>
      <c r="F1897" s="2">
        <f t="shared" si="37"/>
        <v>393000</v>
      </c>
    </row>
    <row r="1898" spans="4:6" x14ac:dyDescent="0.2">
      <c r="D1898" s="2">
        <v>3690</v>
      </c>
      <c r="F1898" s="2">
        <f t="shared" si="37"/>
        <v>3690</v>
      </c>
    </row>
    <row r="1899" spans="4:6" x14ac:dyDescent="0.2">
      <c r="D1899" s="2">
        <v>12400</v>
      </c>
      <c r="F1899" s="2">
        <f t="shared" si="37"/>
        <v>12400</v>
      </c>
    </row>
    <row r="1900" spans="4:6" x14ac:dyDescent="0.2">
      <c r="D1900" s="2">
        <v>1000</v>
      </c>
      <c r="F1900" s="2">
        <f t="shared" si="37"/>
        <v>1000</v>
      </c>
    </row>
    <row r="1901" spans="4:6" x14ac:dyDescent="0.2">
      <c r="D1901" s="2">
        <v>25400</v>
      </c>
      <c r="F1901" s="2">
        <f t="shared" si="37"/>
        <v>25400</v>
      </c>
    </row>
    <row r="1902" spans="4:6" x14ac:dyDescent="0.2">
      <c r="D1902" s="2">
        <v>7070</v>
      </c>
      <c r="F1902" s="2">
        <f t="shared" si="37"/>
        <v>7070</v>
      </c>
    </row>
    <row r="1903" spans="4:6" x14ac:dyDescent="0.2">
      <c r="D1903" s="2">
        <v>4030</v>
      </c>
      <c r="F1903" s="2">
        <f t="shared" si="37"/>
        <v>4030</v>
      </c>
    </row>
    <row r="1904" spans="4:6" x14ac:dyDescent="0.2">
      <c r="D1904" s="2">
        <v>13900</v>
      </c>
      <c r="F1904" s="2">
        <f t="shared" si="37"/>
        <v>13900</v>
      </c>
    </row>
    <row r="1905" spans="4:6" x14ac:dyDescent="0.2">
      <c r="D1905" s="2">
        <v>55500</v>
      </c>
      <c r="F1905" s="2">
        <f t="shared" si="37"/>
        <v>55500</v>
      </c>
    </row>
    <row r="1906" spans="4:6" x14ac:dyDescent="0.2">
      <c r="D1906" s="2">
        <v>2930</v>
      </c>
      <c r="F1906" s="2">
        <f t="shared" si="37"/>
        <v>2930</v>
      </c>
    </row>
    <row r="1907" spans="4:6" x14ac:dyDescent="0.2">
      <c r="D1907" s="2">
        <v>3610</v>
      </c>
      <c r="F1907" s="2">
        <f t="shared" si="37"/>
        <v>3610</v>
      </c>
    </row>
    <row r="1908" spans="4:6" x14ac:dyDescent="0.2">
      <c r="D1908" s="2">
        <v>2560</v>
      </c>
      <c r="F1908" s="2">
        <f t="shared" si="37"/>
        <v>2560</v>
      </c>
    </row>
    <row r="1909" spans="4:6" x14ac:dyDescent="0.2">
      <c r="D1909" s="2">
        <v>45400</v>
      </c>
      <c r="F1909" s="2">
        <f t="shared" si="37"/>
        <v>45400</v>
      </c>
    </row>
    <row r="1910" spans="4:6" x14ac:dyDescent="0.2">
      <c r="D1910" s="2">
        <v>21500</v>
      </c>
      <c r="F1910" s="2">
        <f t="shared" si="37"/>
        <v>21500</v>
      </c>
    </row>
    <row r="1911" spans="4:6" x14ac:dyDescent="0.2">
      <c r="D1911" s="2">
        <v>3480</v>
      </c>
      <c r="F1911" s="2">
        <f t="shared" si="37"/>
        <v>3480</v>
      </c>
    </row>
    <row r="1912" spans="4:6" x14ac:dyDescent="0.2">
      <c r="D1912" s="2">
        <v>64700</v>
      </c>
      <c r="F1912" s="2">
        <f t="shared" si="37"/>
        <v>64700</v>
      </c>
    </row>
    <row r="1913" spans="4:6" x14ac:dyDescent="0.2">
      <c r="D1913" s="2">
        <v>72600</v>
      </c>
      <c r="F1913" s="2">
        <f t="shared" si="37"/>
        <v>72600</v>
      </c>
    </row>
    <row r="1914" spans="4:6" x14ac:dyDescent="0.2">
      <c r="D1914" s="2">
        <v>315000</v>
      </c>
      <c r="F1914" s="2">
        <f t="shared" si="37"/>
        <v>315000</v>
      </c>
    </row>
    <row r="1915" spans="4:6" x14ac:dyDescent="0.2">
      <c r="D1915" s="2">
        <v>5110</v>
      </c>
      <c r="F1915" s="2">
        <f t="shared" si="37"/>
        <v>5110</v>
      </c>
    </row>
    <row r="1916" spans="4:6" x14ac:dyDescent="0.2">
      <c r="D1916" s="2">
        <v>944000</v>
      </c>
      <c r="F1916" s="2">
        <f t="shared" si="37"/>
        <v>944000</v>
      </c>
    </row>
    <row r="1917" spans="4:6" x14ac:dyDescent="0.2">
      <c r="D1917" s="2">
        <v>3990000</v>
      </c>
      <c r="F1917" s="2">
        <f t="shared" si="37"/>
        <v>3990000</v>
      </c>
    </row>
    <row r="1918" spans="4:6" x14ac:dyDescent="0.2">
      <c r="D1918" s="2">
        <v>27900</v>
      </c>
      <c r="F1918" s="2">
        <f t="shared" si="37"/>
        <v>27900</v>
      </c>
    </row>
    <row r="1919" spans="4:6" x14ac:dyDescent="0.2">
      <c r="D1919" s="2">
        <v>160000</v>
      </c>
      <c r="F1919" s="2">
        <f t="shared" si="37"/>
        <v>160000</v>
      </c>
    </row>
    <row r="1920" spans="4:6" x14ac:dyDescent="0.2">
      <c r="D1920" s="2">
        <v>56300000</v>
      </c>
      <c r="F1920" s="2">
        <f t="shared" si="37"/>
        <v>56300000</v>
      </c>
    </row>
    <row r="1921" spans="4:6" x14ac:dyDescent="0.2">
      <c r="D1921" s="2">
        <v>109000</v>
      </c>
      <c r="F1921" s="2">
        <f t="shared" si="37"/>
        <v>109000</v>
      </c>
    </row>
    <row r="1922" spans="4:6" x14ac:dyDescent="0.2">
      <c r="D1922" s="2">
        <v>1180000</v>
      </c>
      <c r="F1922" s="2">
        <f t="shared" si="37"/>
        <v>1180000</v>
      </c>
    </row>
    <row r="1923" spans="4:6" x14ac:dyDescent="0.2">
      <c r="D1923" s="2">
        <v>3240</v>
      </c>
      <c r="F1923" s="2">
        <f t="shared" si="37"/>
        <v>3240</v>
      </c>
    </row>
    <row r="1924" spans="4:6" x14ac:dyDescent="0.2">
      <c r="D1924" s="2">
        <v>39200</v>
      </c>
      <c r="F1924" s="2">
        <f t="shared" si="37"/>
        <v>39200</v>
      </c>
    </row>
    <row r="1925" spans="4:6" x14ac:dyDescent="0.2">
      <c r="D1925" s="2">
        <v>8550</v>
      </c>
      <c r="F1925" s="2">
        <f t="shared" si="37"/>
        <v>8550</v>
      </c>
    </row>
    <row r="1926" spans="4:6" x14ac:dyDescent="0.2">
      <c r="D1926" s="2">
        <v>619000</v>
      </c>
      <c r="F1926" s="2">
        <f t="shared" si="37"/>
        <v>619000</v>
      </c>
    </row>
    <row r="1927" spans="4:6" x14ac:dyDescent="0.2">
      <c r="D1927" s="2">
        <v>1530</v>
      </c>
      <c r="F1927" s="2">
        <f t="shared" si="37"/>
        <v>1530</v>
      </c>
    </row>
    <row r="1928" spans="4:6" x14ac:dyDescent="0.2">
      <c r="D1928" s="2">
        <v>57400</v>
      </c>
      <c r="F1928" s="2">
        <f t="shared" si="37"/>
        <v>57400</v>
      </c>
    </row>
    <row r="1929" spans="4:6" x14ac:dyDescent="0.2">
      <c r="D1929" s="2">
        <v>9160</v>
      </c>
      <c r="F1929" s="2">
        <f t="shared" si="37"/>
        <v>9160</v>
      </c>
    </row>
    <row r="1930" spans="4:6" x14ac:dyDescent="0.2">
      <c r="D1930" s="2">
        <v>1780</v>
      </c>
      <c r="F1930" s="2">
        <f t="shared" si="37"/>
        <v>1780</v>
      </c>
    </row>
    <row r="1931" spans="4:6" x14ac:dyDescent="0.2">
      <c r="D1931" s="2">
        <v>10000</v>
      </c>
      <c r="F1931" s="2">
        <f t="shared" si="37"/>
        <v>10000</v>
      </c>
    </row>
    <row r="1932" spans="4:6" x14ac:dyDescent="0.2">
      <c r="D1932" s="2">
        <v>29400</v>
      </c>
      <c r="F1932" s="2">
        <f t="shared" si="37"/>
        <v>29400</v>
      </c>
    </row>
    <row r="1933" spans="4:6" x14ac:dyDescent="0.2">
      <c r="D1933" s="2">
        <v>240000</v>
      </c>
      <c r="F1933" s="2">
        <f t="shared" si="37"/>
        <v>240000</v>
      </c>
    </row>
    <row r="1934" spans="4:6" x14ac:dyDescent="0.2">
      <c r="D1934" s="2">
        <v>10700</v>
      </c>
      <c r="F1934" s="2">
        <f t="shared" si="37"/>
        <v>10700</v>
      </c>
    </row>
    <row r="1935" spans="4:6" x14ac:dyDescent="0.2">
      <c r="D1935" s="2">
        <v>2970</v>
      </c>
      <c r="F1935" s="2">
        <f t="shared" si="37"/>
        <v>2970</v>
      </c>
    </row>
    <row r="1936" spans="4:6" x14ac:dyDescent="0.2">
      <c r="D1936" s="2">
        <v>2370</v>
      </c>
      <c r="F1936" s="2">
        <f t="shared" si="37"/>
        <v>2370</v>
      </c>
    </row>
    <row r="1937" spans="4:6" x14ac:dyDescent="0.2">
      <c r="D1937" s="2">
        <v>5000</v>
      </c>
      <c r="F1937" s="2">
        <f t="shared" si="37"/>
        <v>5000</v>
      </c>
    </row>
    <row r="1938" spans="4:6" x14ac:dyDescent="0.2">
      <c r="D1938" s="2">
        <v>8740</v>
      </c>
      <c r="F1938" s="2">
        <f t="shared" si="37"/>
        <v>8740</v>
      </c>
    </row>
    <row r="1939" spans="4:6" x14ac:dyDescent="0.2">
      <c r="D1939" s="2">
        <v>39800</v>
      </c>
      <c r="F1939" s="2">
        <f t="shared" si="37"/>
        <v>39800</v>
      </c>
    </row>
    <row r="1940" spans="4:6" x14ac:dyDescent="0.2">
      <c r="D1940" s="2">
        <v>14500</v>
      </c>
      <c r="F1940" s="2">
        <f t="shared" si="37"/>
        <v>14500</v>
      </c>
    </row>
    <row r="1941" spans="4:6" x14ac:dyDescent="0.2">
      <c r="D1941" s="2">
        <v>106000</v>
      </c>
      <c r="F1941" s="2">
        <f t="shared" si="37"/>
        <v>106000</v>
      </c>
    </row>
    <row r="1942" spans="4:6" x14ac:dyDescent="0.2">
      <c r="D1942" s="2">
        <v>1120</v>
      </c>
      <c r="F1942" s="2">
        <f t="shared" si="37"/>
        <v>1120</v>
      </c>
    </row>
    <row r="1943" spans="4:6" x14ac:dyDescent="0.2">
      <c r="D1943" s="2">
        <v>1300</v>
      </c>
      <c r="F1943" s="2">
        <f t="shared" si="37"/>
        <v>1300</v>
      </c>
    </row>
    <row r="1944" spans="4:6" x14ac:dyDescent="0.2">
      <c r="D1944" s="2">
        <v>1470</v>
      </c>
      <c r="F1944" s="2">
        <f t="shared" si="37"/>
        <v>1470</v>
      </c>
    </row>
    <row r="1945" spans="4:6" x14ac:dyDescent="0.2">
      <c r="D1945" s="2">
        <v>178000</v>
      </c>
      <c r="F1945" s="2">
        <f t="shared" si="37"/>
        <v>178000</v>
      </c>
    </row>
    <row r="1946" spans="4:6" x14ac:dyDescent="0.2">
      <c r="D1946" s="2">
        <v>35000</v>
      </c>
      <c r="F1946" s="2">
        <f t="shared" ref="F1946:F2009" si="38">D1946</f>
        <v>35000</v>
      </c>
    </row>
    <row r="1947" spans="4:6" x14ac:dyDescent="0.2">
      <c r="D1947" s="2">
        <v>31400</v>
      </c>
      <c r="F1947" s="2">
        <f t="shared" si="38"/>
        <v>31400</v>
      </c>
    </row>
    <row r="1948" spans="4:6" x14ac:dyDescent="0.2">
      <c r="D1948" s="2">
        <v>197000</v>
      </c>
      <c r="F1948" s="2">
        <f t="shared" si="38"/>
        <v>197000</v>
      </c>
    </row>
    <row r="1949" spans="4:6" x14ac:dyDescent="0.2">
      <c r="D1949" s="2">
        <v>106000</v>
      </c>
      <c r="F1949" s="2">
        <f t="shared" si="38"/>
        <v>106000</v>
      </c>
    </row>
    <row r="1950" spans="4:6" x14ac:dyDescent="0.2">
      <c r="D1950" s="2">
        <v>1150000</v>
      </c>
      <c r="F1950" s="2">
        <f t="shared" si="38"/>
        <v>1150000</v>
      </c>
    </row>
    <row r="1951" spans="4:6" x14ac:dyDescent="0.2">
      <c r="D1951" s="2">
        <v>358000</v>
      </c>
      <c r="F1951" s="2">
        <f t="shared" si="38"/>
        <v>358000</v>
      </c>
    </row>
    <row r="1952" spans="4:6" x14ac:dyDescent="0.2">
      <c r="D1952" s="2">
        <v>602000</v>
      </c>
      <c r="F1952" s="2">
        <f t="shared" si="38"/>
        <v>602000</v>
      </c>
    </row>
    <row r="1953" spans="4:6" x14ac:dyDescent="0.2">
      <c r="D1953" s="2">
        <v>3280000</v>
      </c>
      <c r="F1953" s="2">
        <f t="shared" si="38"/>
        <v>3280000</v>
      </c>
    </row>
    <row r="1954" spans="4:6" x14ac:dyDescent="0.2">
      <c r="D1954" s="2">
        <v>48100</v>
      </c>
      <c r="F1954" s="2">
        <f t="shared" si="38"/>
        <v>48100</v>
      </c>
    </row>
    <row r="1955" spans="4:6" x14ac:dyDescent="0.2">
      <c r="D1955" s="2">
        <v>3590000</v>
      </c>
      <c r="F1955" s="2">
        <f t="shared" si="38"/>
        <v>3590000</v>
      </c>
    </row>
    <row r="1956" spans="4:6" x14ac:dyDescent="0.2">
      <c r="D1956" s="2">
        <v>94100000</v>
      </c>
      <c r="F1956" s="2">
        <f t="shared" si="38"/>
        <v>94100000</v>
      </c>
    </row>
    <row r="1957" spans="4:6" x14ac:dyDescent="0.2">
      <c r="D1957" s="2">
        <v>97300</v>
      </c>
      <c r="F1957" s="2">
        <f t="shared" si="38"/>
        <v>97300</v>
      </c>
    </row>
    <row r="1958" spans="4:6" x14ac:dyDescent="0.2">
      <c r="D1958" s="2">
        <v>17900000</v>
      </c>
      <c r="F1958" s="2">
        <f t="shared" si="38"/>
        <v>17900000</v>
      </c>
    </row>
    <row r="1959" spans="4:6" x14ac:dyDescent="0.2">
      <c r="D1959" s="2">
        <v>6420</v>
      </c>
      <c r="F1959" s="2">
        <f t="shared" si="38"/>
        <v>6420</v>
      </c>
    </row>
    <row r="1960" spans="4:6" x14ac:dyDescent="0.2">
      <c r="D1960" s="2">
        <v>33300</v>
      </c>
      <c r="F1960" s="2">
        <f t="shared" si="38"/>
        <v>33300</v>
      </c>
    </row>
    <row r="1961" spans="4:6" x14ac:dyDescent="0.2">
      <c r="D1961" s="2">
        <v>199000</v>
      </c>
      <c r="F1961" s="2">
        <f t="shared" si="38"/>
        <v>199000</v>
      </c>
    </row>
    <row r="1962" spans="4:6" x14ac:dyDescent="0.2">
      <c r="D1962" s="2">
        <v>3460000</v>
      </c>
      <c r="F1962" s="2">
        <f t="shared" si="38"/>
        <v>3460000</v>
      </c>
    </row>
    <row r="1963" spans="4:6" x14ac:dyDescent="0.2">
      <c r="D1963" s="2">
        <v>15000</v>
      </c>
      <c r="F1963" s="2">
        <f t="shared" si="38"/>
        <v>15000</v>
      </c>
    </row>
    <row r="1964" spans="4:6" x14ac:dyDescent="0.2">
      <c r="D1964" s="2">
        <v>917000</v>
      </c>
      <c r="F1964" s="2">
        <f t="shared" si="38"/>
        <v>917000</v>
      </c>
    </row>
    <row r="1965" spans="4:6" x14ac:dyDescent="0.2">
      <c r="D1965" s="2">
        <v>111000</v>
      </c>
      <c r="F1965" s="2">
        <f t="shared" si="38"/>
        <v>111000</v>
      </c>
    </row>
    <row r="1966" spans="4:6" x14ac:dyDescent="0.2">
      <c r="D1966" s="2">
        <v>122000</v>
      </c>
      <c r="F1966" s="2">
        <f t="shared" si="38"/>
        <v>122000</v>
      </c>
    </row>
    <row r="1967" spans="4:6" x14ac:dyDescent="0.2">
      <c r="D1967" s="2">
        <v>208000</v>
      </c>
      <c r="F1967" s="2">
        <f t="shared" si="38"/>
        <v>208000</v>
      </c>
    </row>
    <row r="1968" spans="4:6" x14ac:dyDescent="0.2">
      <c r="D1968" s="2">
        <v>6620000</v>
      </c>
      <c r="F1968" s="2">
        <f t="shared" si="38"/>
        <v>6620000</v>
      </c>
    </row>
    <row r="1969" spans="4:6" x14ac:dyDescent="0.2">
      <c r="D1969" s="2">
        <v>4130000</v>
      </c>
      <c r="F1969" s="2">
        <f t="shared" si="38"/>
        <v>4130000</v>
      </c>
    </row>
    <row r="1970" spans="4:6" x14ac:dyDescent="0.2">
      <c r="D1970" s="2">
        <v>63000</v>
      </c>
      <c r="F1970" s="2">
        <f t="shared" si="38"/>
        <v>63000</v>
      </c>
    </row>
    <row r="1971" spans="4:6" x14ac:dyDescent="0.2">
      <c r="D1971" s="2">
        <v>171000</v>
      </c>
      <c r="F1971" s="2">
        <f t="shared" si="38"/>
        <v>171000</v>
      </c>
    </row>
    <row r="1972" spans="4:6" x14ac:dyDescent="0.2">
      <c r="D1972" s="2">
        <v>3250</v>
      </c>
      <c r="F1972" s="2">
        <f t="shared" si="38"/>
        <v>3250</v>
      </c>
    </row>
    <row r="1973" spans="4:6" x14ac:dyDescent="0.2">
      <c r="D1973" s="2">
        <v>79500</v>
      </c>
      <c r="F1973" s="2">
        <f t="shared" si="38"/>
        <v>79500</v>
      </c>
    </row>
    <row r="1974" spans="4:6" x14ac:dyDescent="0.2">
      <c r="D1974" s="2">
        <v>277000</v>
      </c>
      <c r="F1974" s="2">
        <f t="shared" si="38"/>
        <v>277000</v>
      </c>
    </row>
    <row r="1975" spans="4:6" x14ac:dyDescent="0.2">
      <c r="D1975" s="2">
        <v>26100</v>
      </c>
      <c r="F1975" s="2">
        <f t="shared" si="38"/>
        <v>26100</v>
      </c>
    </row>
    <row r="1976" spans="4:6" x14ac:dyDescent="0.2">
      <c r="D1976" s="2">
        <v>69200</v>
      </c>
      <c r="F1976" s="2">
        <f t="shared" si="38"/>
        <v>69200</v>
      </c>
    </row>
    <row r="1977" spans="4:6" x14ac:dyDescent="0.2">
      <c r="D1977" s="2">
        <v>330000</v>
      </c>
      <c r="F1977" s="2">
        <f t="shared" si="38"/>
        <v>330000</v>
      </c>
    </row>
    <row r="1978" spans="4:6" x14ac:dyDescent="0.2">
      <c r="D1978" s="2">
        <v>1100</v>
      </c>
      <c r="F1978" s="2">
        <f t="shared" si="38"/>
        <v>1100</v>
      </c>
    </row>
    <row r="1979" spans="4:6" x14ac:dyDescent="0.2">
      <c r="D1979" s="2">
        <v>3860</v>
      </c>
      <c r="F1979" s="2">
        <f t="shared" si="38"/>
        <v>3860</v>
      </c>
    </row>
    <row r="1980" spans="4:6" x14ac:dyDescent="0.2">
      <c r="D1980" s="2">
        <v>4420</v>
      </c>
      <c r="F1980" s="2">
        <f t="shared" si="38"/>
        <v>4420</v>
      </c>
    </row>
    <row r="1981" spans="4:6" x14ac:dyDescent="0.2">
      <c r="D1981" s="2">
        <v>35500</v>
      </c>
      <c r="F1981" s="2">
        <f t="shared" si="38"/>
        <v>35500</v>
      </c>
    </row>
    <row r="1982" spans="4:6" x14ac:dyDescent="0.2">
      <c r="D1982" s="2">
        <v>7010</v>
      </c>
      <c r="F1982" s="2">
        <f t="shared" si="38"/>
        <v>7010</v>
      </c>
    </row>
    <row r="1983" spans="4:6" x14ac:dyDescent="0.2">
      <c r="D1983" s="2">
        <v>6290</v>
      </c>
      <c r="F1983" s="2">
        <f t="shared" si="38"/>
        <v>6290</v>
      </c>
    </row>
    <row r="1984" spans="4:6" x14ac:dyDescent="0.2">
      <c r="D1984" s="2">
        <v>39400</v>
      </c>
      <c r="F1984" s="2">
        <f t="shared" si="38"/>
        <v>39400</v>
      </c>
    </row>
    <row r="1985" spans="4:6" x14ac:dyDescent="0.2">
      <c r="D1985" s="2">
        <v>21200</v>
      </c>
      <c r="F1985" s="2">
        <f t="shared" si="38"/>
        <v>21200</v>
      </c>
    </row>
    <row r="1986" spans="4:6" x14ac:dyDescent="0.2">
      <c r="D1986" s="2">
        <v>230000</v>
      </c>
      <c r="F1986" s="2">
        <f t="shared" si="38"/>
        <v>230000</v>
      </c>
    </row>
    <row r="1987" spans="4:6" x14ac:dyDescent="0.2">
      <c r="D1987" s="2">
        <v>71500</v>
      </c>
      <c r="F1987" s="2">
        <f t="shared" si="38"/>
        <v>71500</v>
      </c>
    </row>
    <row r="1988" spans="4:6" x14ac:dyDescent="0.2">
      <c r="D1988" s="2">
        <v>120000</v>
      </c>
      <c r="F1988" s="2">
        <f t="shared" si="38"/>
        <v>120000</v>
      </c>
    </row>
    <row r="1989" spans="4:6" x14ac:dyDescent="0.2">
      <c r="D1989" s="2">
        <v>656000</v>
      </c>
      <c r="F1989" s="2">
        <f t="shared" si="38"/>
        <v>656000</v>
      </c>
    </row>
    <row r="1990" spans="4:6" x14ac:dyDescent="0.2">
      <c r="D1990" s="2">
        <v>9630</v>
      </c>
      <c r="F1990" s="2">
        <f t="shared" si="38"/>
        <v>9630</v>
      </c>
    </row>
    <row r="1991" spans="4:6" x14ac:dyDescent="0.2">
      <c r="D1991" s="2">
        <v>719000</v>
      </c>
      <c r="F1991" s="2">
        <f t="shared" si="38"/>
        <v>719000</v>
      </c>
    </row>
    <row r="1992" spans="4:6" x14ac:dyDescent="0.2">
      <c r="D1992" s="2">
        <v>90800000</v>
      </c>
      <c r="F1992" s="2">
        <f t="shared" si="38"/>
        <v>90800000</v>
      </c>
    </row>
    <row r="1993" spans="4:6" x14ac:dyDescent="0.2">
      <c r="D1993" s="2">
        <v>605000</v>
      </c>
      <c r="F1993" s="2">
        <f t="shared" si="38"/>
        <v>605000</v>
      </c>
    </row>
    <row r="1994" spans="4:6" x14ac:dyDescent="0.2">
      <c r="D1994" s="2">
        <v>3570000</v>
      </c>
      <c r="F1994" s="2">
        <f t="shared" si="38"/>
        <v>3570000</v>
      </c>
    </row>
    <row r="1995" spans="4:6" x14ac:dyDescent="0.2">
      <c r="D1995" s="2">
        <v>1280</v>
      </c>
      <c r="F1995" s="2">
        <f t="shared" si="38"/>
        <v>1280</v>
      </c>
    </row>
    <row r="1996" spans="4:6" x14ac:dyDescent="0.2">
      <c r="D1996" s="2">
        <v>110000</v>
      </c>
      <c r="F1996" s="2">
        <f t="shared" si="38"/>
        <v>110000</v>
      </c>
    </row>
    <row r="1997" spans="4:6" x14ac:dyDescent="0.2">
      <c r="D1997" s="2">
        <v>208000</v>
      </c>
      <c r="F1997" s="2">
        <f t="shared" si="38"/>
        <v>208000</v>
      </c>
    </row>
    <row r="1998" spans="4:6" x14ac:dyDescent="0.2">
      <c r="D1998" s="2">
        <v>692000</v>
      </c>
      <c r="F1998" s="2">
        <f t="shared" si="38"/>
        <v>692000</v>
      </c>
    </row>
    <row r="1999" spans="4:6" x14ac:dyDescent="0.2">
      <c r="D1999" s="2">
        <v>3000</v>
      </c>
      <c r="F1999" s="2">
        <f t="shared" si="38"/>
        <v>3000</v>
      </c>
    </row>
    <row r="2000" spans="4:6" x14ac:dyDescent="0.2">
      <c r="D2000" s="2">
        <v>933000</v>
      </c>
      <c r="F2000" s="2">
        <f t="shared" si="38"/>
        <v>933000</v>
      </c>
    </row>
    <row r="2001" spans="4:6" x14ac:dyDescent="0.2">
      <c r="D2001" s="2">
        <v>22200</v>
      </c>
      <c r="F2001" s="2">
        <f t="shared" si="38"/>
        <v>22200</v>
      </c>
    </row>
    <row r="2002" spans="4:6" x14ac:dyDescent="0.2">
      <c r="D2002" s="2">
        <v>24500</v>
      </c>
      <c r="F2002" s="2">
        <f t="shared" si="38"/>
        <v>24500</v>
      </c>
    </row>
    <row r="2003" spans="4:6" x14ac:dyDescent="0.2">
      <c r="D2003" s="2">
        <v>41500</v>
      </c>
      <c r="F2003" s="2">
        <f t="shared" si="38"/>
        <v>41500</v>
      </c>
    </row>
    <row r="2004" spans="4:6" x14ac:dyDescent="0.2">
      <c r="D2004" s="2">
        <v>1320000</v>
      </c>
      <c r="F2004" s="2">
        <f t="shared" si="38"/>
        <v>1320000</v>
      </c>
    </row>
    <row r="2005" spans="4:6" x14ac:dyDescent="0.2">
      <c r="D2005" s="2">
        <v>4260000</v>
      </c>
      <c r="F2005" s="2">
        <f t="shared" si="38"/>
        <v>4260000</v>
      </c>
    </row>
    <row r="2006" spans="4:6" x14ac:dyDescent="0.2">
      <c r="D2006" s="2">
        <v>12600</v>
      </c>
      <c r="F2006" s="2">
        <f t="shared" si="38"/>
        <v>12600</v>
      </c>
    </row>
    <row r="2007" spans="4:6" x14ac:dyDescent="0.2">
      <c r="D2007" s="2">
        <v>172000</v>
      </c>
      <c r="F2007" s="2">
        <f t="shared" si="38"/>
        <v>172000</v>
      </c>
    </row>
    <row r="2008" spans="4:6" x14ac:dyDescent="0.2">
      <c r="D2008" s="2">
        <v>1270</v>
      </c>
      <c r="F2008" s="2">
        <f t="shared" si="38"/>
        <v>1270</v>
      </c>
    </row>
    <row r="2009" spans="4:6" x14ac:dyDescent="0.2">
      <c r="D2009" s="2">
        <v>15900</v>
      </c>
      <c r="F2009" s="2">
        <f t="shared" si="38"/>
        <v>15900</v>
      </c>
    </row>
    <row r="2010" spans="4:6" x14ac:dyDescent="0.2">
      <c r="D2010" s="2">
        <v>284000</v>
      </c>
      <c r="F2010" s="2">
        <f t="shared" ref="F2010:F2073" si="39">D2010</f>
        <v>284000</v>
      </c>
    </row>
    <row r="2011" spans="4:6" x14ac:dyDescent="0.2">
      <c r="D2011" s="2">
        <v>5220</v>
      </c>
      <c r="F2011" s="2">
        <f t="shared" si="39"/>
        <v>5220</v>
      </c>
    </row>
    <row r="2012" spans="4:6" x14ac:dyDescent="0.2">
      <c r="D2012" s="2">
        <v>13800</v>
      </c>
      <c r="F2012" s="2">
        <f t="shared" si="39"/>
        <v>13800</v>
      </c>
    </row>
    <row r="2013" spans="4:6" x14ac:dyDescent="0.2">
      <c r="D2013" s="2">
        <v>65900</v>
      </c>
      <c r="F2013" s="2">
        <f t="shared" si="39"/>
        <v>65900</v>
      </c>
    </row>
    <row r="2014" spans="4:6" x14ac:dyDescent="0.2">
      <c r="D2014" s="2">
        <v>1040</v>
      </c>
      <c r="F2014" s="2">
        <f t="shared" si="39"/>
        <v>1040</v>
      </c>
    </row>
    <row r="2015" spans="4:6" x14ac:dyDescent="0.2">
      <c r="D2015" s="2">
        <v>1070</v>
      </c>
      <c r="F2015" s="2">
        <f t="shared" si="39"/>
        <v>1070</v>
      </c>
    </row>
    <row r="2016" spans="4:6" x14ac:dyDescent="0.2">
      <c r="D2016" s="2">
        <v>1080</v>
      </c>
      <c r="F2016" s="2">
        <f t="shared" si="39"/>
        <v>1080</v>
      </c>
    </row>
    <row r="2017" spans="4:6" x14ac:dyDescent="0.2">
      <c r="D2017" s="2">
        <v>45600</v>
      </c>
      <c r="F2017" s="2">
        <f t="shared" si="39"/>
        <v>45600</v>
      </c>
    </row>
    <row r="2018" spans="4:6" x14ac:dyDescent="0.2">
      <c r="D2018" s="2">
        <v>158000</v>
      </c>
      <c r="F2018" s="2">
        <f t="shared" si="39"/>
        <v>158000</v>
      </c>
    </row>
    <row r="2019" spans="4:6" x14ac:dyDescent="0.2">
      <c r="D2019" s="2">
        <v>48100</v>
      </c>
      <c r="F2019" s="2">
        <f t="shared" si="39"/>
        <v>48100</v>
      </c>
    </row>
    <row r="2020" spans="4:6" x14ac:dyDescent="0.2">
      <c r="D2020" s="2">
        <v>42300</v>
      </c>
      <c r="F2020" s="2">
        <f t="shared" si="39"/>
        <v>42300</v>
      </c>
    </row>
    <row r="2021" spans="4:6" x14ac:dyDescent="0.2">
      <c r="D2021" s="2">
        <v>110000</v>
      </c>
      <c r="F2021" s="2">
        <f t="shared" si="39"/>
        <v>110000</v>
      </c>
    </row>
    <row r="2022" spans="4:6" x14ac:dyDescent="0.2">
      <c r="D2022" s="2">
        <v>2080000</v>
      </c>
      <c r="F2022" s="2">
        <f t="shared" si="39"/>
        <v>2080000</v>
      </c>
    </row>
    <row r="2023" spans="4:6" x14ac:dyDescent="0.2">
      <c r="D2023" s="2">
        <v>41200</v>
      </c>
      <c r="F2023" s="2">
        <f t="shared" si="39"/>
        <v>41200</v>
      </c>
    </row>
    <row r="2024" spans="4:6" x14ac:dyDescent="0.2">
      <c r="D2024" s="2">
        <v>203000</v>
      </c>
      <c r="F2024" s="2">
        <f t="shared" si="39"/>
        <v>203000</v>
      </c>
    </row>
    <row r="2025" spans="4:6" x14ac:dyDescent="0.2">
      <c r="D2025" s="2">
        <v>2460000</v>
      </c>
      <c r="F2025" s="2">
        <f t="shared" si="39"/>
        <v>2460000</v>
      </c>
    </row>
    <row r="2026" spans="4:6" x14ac:dyDescent="0.2">
      <c r="D2026" s="2">
        <v>599000</v>
      </c>
      <c r="F2026" s="2">
        <f t="shared" si="39"/>
        <v>599000</v>
      </c>
    </row>
    <row r="2027" spans="4:6" x14ac:dyDescent="0.2">
      <c r="D2027" s="2">
        <v>103000</v>
      </c>
      <c r="F2027" s="2">
        <f t="shared" si="39"/>
        <v>103000</v>
      </c>
    </row>
    <row r="2028" spans="4:6" x14ac:dyDescent="0.2">
      <c r="D2028" s="2">
        <v>87400000</v>
      </c>
      <c r="F2028" s="2">
        <f t="shared" si="39"/>
        <v>87400000</v>
      </c>
    </row>
    <row r="2029" spans="4:6" x14ac:dyDescent="0.2">
      <c r="D2029" s="2">
        <v>620000</v>
      </c>
      <c r="F2029" s="2">
        <f t="shared" si="39"/>
        <v>620000</v>
      </c>
    </row>
    <row r="2030" spans="4:6" x14ac:dyDescent="0.2">
      <c r="D2030" s="2">
        <v>8150</v>
      </c>
      <c r="F2030" s="2">
        <f t="shared" si="39"/>
        <v>8150</v>
      </c>
    </row>
    <row r="2031" spans="4:6" x14ac:dyDescent="0.2">
      <c r="D2031" s="2">
        <v>15000</v>
      </c>
      <c r="F2031" s="2">
        <f t="shared" si="39"/>
        <v>15000</v>
      </c>
    </row>
    <row r="2032" spans="4:6" x14ac:dyDescent="0.2">
      <c r="D2032" s="2">
        <v>84100</v>
      </c>
      <c r="F2032" s="2">
        <f t="shared" si="39"/>
        <v>84100</v>
      </c>
    </row>
    <row r="2033" spans="4:6" x14ac:dyDescent="0.2">
      <c r="D2033" s="2">
        <v>253000</v>
      </c>
      <c r="F2033" s="2">
        <f t="shared" si="39"/>
        <v>253000</v>
      </c>
    </row>
    <row r="2034" spans="4:6" x14ac:dyDescent="0.2">
      <c r="D2034" s="2">
        <v>70500</v>
      </c>
      <c r="F2034" s="2">
        <f t="shared" si="39"/>
        <v>70500</v>
      </c>
    </row>
    <row r="2035" spans="4:6" x14ac:dyDescent="0.2">
      <c r="D2035" s="2">
        <v>18200</v>
      </c>
      <c r="F2035" s="2">
        <f t="shared" si="39"/>
        <v>18200</v>
      </c>
    </row>
    <row r="2036" spans="4:6" x14ac:dyDescent="0.2">
      <c r="D2036" s="2">
        <v>58000</v>
      </c>
      <c r="F2036" s="2">
        <f t="shared" si="39"/>
        <v>58000</v>
      </c>
    </row>
    <row r="2037" spans="4:6" x14ac:dyDescent="0.2">
      <c r="D2037" s="2">
        <v>119000</v>
      </c>
      <c r="F2037" s="2">
        <f t="shared" si="39"/>
        <v>119000</v>
      </c>
    </row>
    <row r="2038" spans="4:6" x14ac:dyDescent="0.2">
      <c r="D2038" s="2">
        <v>21900</v>
      </c>
      <c r="F2038" s="2">
        <f t="shared" si="39"/>
        <v>21900</v>
      </c>
    </row>
    <row r="2039" spans="4:6" x14ac:dyDescent="0.2">
      <c r="D2039" s="2">
        <v>20700</v>
      </c>
      <c r="F2039" s="2">
        <f t="shared" si="39"/>
        <v>20700</v>
      </c>
    </row>
    <row r="2040" spans="4:6" x14ac:dyDescent="0.2">
      <c r="D2040" s="2">
        <v>653000</v>
      </c>
      <c r="F2040" s="2">
        <f t="shared" si="39"/>
        <v>653000</v>
      </c>
    </row>
    <row r="2041" spans="4:6" x14ac:dyDescent="0.2">
      <c r="D2041" s="2">
        <v>108000</v>
      </c>
      <c r="F2041" s="2">
        <f t="shared" si="39"/>
        <v>108000</v>
      </c>
    </row>
    <row r="2042" spans="4:6" x14ac:dyDescent="0.2">
      <c r="D2042" s="2">
        <v>122000</v>
      </c>
      <c r="F2042" s="2">
        <f t="shared" si="39"/>
        <v>122000</v>
      </c>
    </row>
    <row r="2043" spans="4:6" x14ac:dyDescent="0.2">
      <c r="D2043" s="2">
        <v>28800</v>
      </c>
      <c r="F2043" s="2">
        <f t="shared" si="39"/>
        <v>28800</v>
      </c>
    </row>
    <row r="2044" spans="4:6" x14ac:dyDescent="0.2">
      <c r="D2044" s="2">
        <v>1480</v>
      </c>
      <c r="F2044" s="2">
        <f t="shared" si="39"/>
        <v>1480</v>
      </c>
    </row>
    <row r="2045" spans="4:6" x14ac:dyDescent="0.2">
      <c r="D2045" s="2">
        <v>201000</v>
      </c>
      <c r="F2045" s="2">
        <f t="shared" si="39"/>
        <v>201000</v>
      </c>
    </row>
    <row r="2046" spans="4:6" x14ac:dyDescent="0.2">
      <c r="D2046" s="2">
        <v>12800</v>
      </c>
      <c r="F2046" s="2">
        <f t="shared" si="39"/>
        <v>12800</v>
      </c>
    </row>
    <row r="2047" spans="4:6" x14ac:dyDescent="0.2">
      <c r="D2047" s="2">
        <v>25900</v>
      </c>
      <c r="F2047" s="2">
        <f t="shared" si="39"/>
        <v>25900</v>
      </c>
    </row>
    <row r="2048" spans="4:6" x14ac:dyDescent="0.2">
      <c r="D2048" s="2">
        <v>18100</v>
      </c>
      <c r="F2048" s="2">
        <f t="shared" si="39"/>
        <v>18100</v>
      </c>
    </row>
    <row r="2049" spans="4:6" x14ac:dyDescent="0.2">
      <c r="D2049" s="2">
        <v>2580000</v>
      </c>
      <c r="F2049" s="2">
        <f t="shared" si="39"/>
        <v>2580000</v>
      </c>
    </row>
    <row r="2050" spans="4:6" x14ac:dyDescent="0.2">
      <c r="D2050" s="2">
        <v>1050</v>
      </c>
      <c r="F2050" s="2">
        <f t="shared" si="39"/>
        <v>1050</v>
      </c>
    </row>
    <row r="2051" spans="4:6" x14ac:dyDescent="0.2">
      <c r="D2051" s="2">
        <v>1040</v>
      </c>
      <c r="F2051" s="2">
        <f t="shared" si="39"/>
        <v>1040</v>
      </c>
    </row>
    <row r="2052" spans="4:6" x14ac:dyDescent="0.2">
      <c r="D2052" s="2">
        <v>1080</v>
      </c>
      <c r="F2052" s="2">
        <f t="shared" si="39"/>
        <v>1080</v>
      </c>
    </row>
    <row r="2053" spans="4:6" x14ac:dyDescent="0.2">
      <c r="D2053" s="2">
        <v>374000</v>
      </c>
      <c r="F2053" s="2">
        <f t="shared" si="39"/>
        <v>374000</v>
      </c>
    </row>
    <row r="2054" spans="4:6" x14ac:dyDescent="0.2">
      <c r="D2054" s="2">
        <v>180000</v>
      </c>
      <c r="F2054" s="2">
        <f t="shared" si="39"/>
        <v>180000</v>
      </c>
    </row>
    <row r="2055" spans="4:6" x14ac:dyDescent="0.2">
      <c r="D2055" s="2">
        <v>22800</v>
      </c>
      <c r="F2055" s="2">
        <f t="shared" si="39"/>
        <v>22800</v>
      </c>
    </row>
    <row r="2056" spans="4:6" x14ac:dyDescent="0.2">
      <c r="D2056" s="2">
        <v>586000</v>
      </c>
      <c r="F2056" s="2">
        <f t="shared" si="39"/>
        <v>586000</v>
      </c>
    </row>
    <row r="2057" spans="4:6" x14ac:dyDescent="0.2">
      <c r="D2057" s="2">
        <v>129000</v>
      </c>
      <c r="F2057" s="2">
        <f t="shared" si="39"/>
        <v>129000</v>
      </c>
    </row>
    <row r="2058" spans="4:6" x14ac:dyDescent="0.2">
      <c r="D2058" s="2">
        <v>391000</v>
      </c>
      <c r="F2058" s="2">
        <f t="shared" si="39"/>
        <v>391000</v>
      </c>
    </row>
    <row r="2059" spans="4:6" x14ac:dyDescent="0.2">
      <c r="D2059" s="2">
        <v>263000</v>
      </c>
      <c r="F2059" s="2">
        <f t="shared" si="39"/>
        <v>263000</v>
      </c>
    </row>
    <row r="2060" spans="4:6" x14ac:dyDescent="0.2">
      <c r="D2060" s="2">
        <v>2060000</v>
      </c>
      <c r="F2060" s="2">
        <f t="shared" si="39"/>
        <v>2060000</v>
      </c>
    </row>
    <row r="2061" spans="4:6" x14ac:dyDescent="0.2">
      <c r="D2061" s="2">
        <v>6050000</v>
      </c>
      <c r="F2061" s="2">
        <f t="shared" si="39"/>
        <v>6050000</v>
      </c>
    </row>
    <row r="2062" spans="4:6" x14ac:dyDescent="0.2">
      <c r="D2062" s="2">
        <v>116000</v>
      </c>
      <c r="F2062" s="2">
        <f t="shared" si="39"/>
        <v>116000</v>
      </c>
    </row>
    <row r="2063" spans="4:6" x14ac:dyDescent="0.2">
      <c r="D2063" s="2">
        <v>2300000</v>
      </c>
      <c r="F2063" s="2">
        <f t="shared" si="39"/>
        <v>2300000</v>
      </c>
    </row>
    <row r="2064" spans="4:6" x14ac:dyDescent="0.2">
      <c r="D2064" s="2">
        <v>88900000</v>
      </c>
      <c r="F2064" s="2">
        <f t="shared" si="39"/>
        <v>88900000</v>
      </c>
    </row>
    <row r="2065" spans="4:6" x14ac:dyDescent="0.2">
      <c r="D2065" s="2">
        <v>450000</v>
      </c>
      <c r="F2065" s="2">
        <f t="shared" si="39"/>
        <v>450000</v>
      </c>
    </row>
    <row r="2066" spans="4:6" x14ac:dyDescent="0.2">
      <c r="D2066" s="2">
        <v>4080000</v>
      </c>
      <c r="F2066" s="2">
        <f t="shared" si="39"/>
        <v>4080000</v>
      </c>
    </row>
    <row r="2067" spans="4:6" x14ac:dyDescent="0.2">
      <c r="D2067" s="2">
        <v>6250</v>
      </c>
      <c r="F2067" s="2">
        <f t="shared" si="39"/>
        <v>6250</v>
      </c>
    </row>
    <row r="2068" spans="4:6" x14ac:dyDescent="0.2">
      <c r="D2068" s="2">
        <v>51300</v>
      </c>
      <c r="F2068" s="2">
        <f t="shared" si="39"/>
        <v>51300</v>
      </c>
    </row>
    <row r="2069" spans="4:6" x14ac:dyDescent="0.2">
      <c r="D2069" s="2">
        <v>37600</v>
      </c>
      <c r="F2069" s="2">
        <f t="shared" si="39"/>
        <v>37600</v>
      </c>
    </row>
    <row r="2070" spans="4:6" x14ac:dyDescent="0.2">
      <c r="D2070" s="2">
        <v>325000</v>
      </c>
      <c r="F2070" s="2">
        <f t="shared" si="39"/>
        <v>325000</v>
      </c>
    </row>
    <row r="2071" spans="4:6" x14ac:dyDescent="0.2">
      <c r="D2071" s="2">
        <v>11200</v>
      </c>
      <c r="F2071" s="2">
        <f t="shared" si="39"/>
        <v>11200</v>
      </c>
    </row>
    <row r="2072" spans="4:6" x14ac:dyDescent="0.2">
      <c r="D2072" s="2">
        <v>903000</v>
      </c>
      <c r="F2072" s="2">
        <f t="shared" si="39"/>
        <v>903000</v>
      </c>
    </row>
    <row r="2073" spans="4:6" x14ac:dyDescent="0.2">
      <c r="D2073" s="2">
        <v>56400</v>
      </c>
      <c r="F2073" s="2">
        <f t="shared" si="39"/>
        <v>56400</v>
      </c>
    </row>
    <row r="2074" spans="4:6" x14ac:dyDescent="0.2">
      <c r="D2074" s="2">
        <v>47700</v>
      </c>
      <c r="F2074" s="2">
        <f t="shared" ref="F2074:F2137" si="40">D2074</f>
        <v>47700</v>
      </c>
    </row>
    <row r="2075" spans="4:6" x14ac:dyDescent="0.2">
      <c r="D2075" s="2">
        <v>55100</v>
      </c>
      <c r="F2075" s="2">
        <f t="shared" si="40"/>
        <v>55100</v>
      </c>
    </row>
    <row r="2076" spans="4:6" x14ac:dyDescent="0.2">
      <c r="D2076" s="2">
        <v>6310000</v>
      </c>
      <c r="F2076" s="2">
        <f t="shared" si="40"/>
        <v>6310000</v>
      </c>
    </row>
    <row r="2077" spans="4:6" x14ac:dyDescent="0.2">
      <c r="D2077" s="2">
        <v>3910000</v>
      </c>
      <c r="F2077" s="2">
        <f t="shared" si="40"/>
        <v>3910000</v>
      </c>
    </row>
    <row r="2078" spans="4:6" x14ac:dyDescent="0.2">
      <c r="D2078" s="2">
        <v>53800</v>
      </c>
      <c r="F2078" s="2">
        <f t="shared" si="40"/>
        <v>53800</v>
      </c>
    </row>
    <row r="2079" spans="4:6" x14ac:dyDescent="0.2">
      <c r="D2079" s="2">
        <v>175000</v>
      </c>
      <c r="F2079" s="2">
        <f t="shared" si="40"/>
        <v>175000</v>
      </c>
    </row>
    <row r="2080" spans="4:6" x14ac:dyDescent="0.2">
      <c r="D2080" s="2">
        <v>1560</v>
      </c>
      <c r="F2080" s="2">
        <f t="shared" si="40"/>
        <v>1560</v>
      </c>
    </row>
    <row r="2081" spans="4:6" x14ac:dyDescent="0.2">
      <c r="D2081" s="2">
        <v>30400</v>
      </c>
      <c r="F2081" s="2">
        <f t="shared" si="40"/>
        <v>30400</v>
      </c>
    </row>
    <row r="2082" spans="4:6" x14ac:dyDescent="0.2">
      <c r="D2082" s="2">
        <v>91400</v>
      </c>
      <c r="F2082" s="2">
        <f t="shared" si="40"/>
        <v>91400</v>
      </c>
    </row>
    <row r="2083" spans="4:6" x14ac:dyDescent="0.2">
      <c r="D2083" s="2">
        <v>93400</v>
      </c>
      <c r="F2083" s="2">
        <f t="shared" si="40"/>
        <v>93400</v>
      </c>
    </row>
    <row r="2084" spans="4:6" x14ac:dyDescent="0.2">
      <c r="D2084" s="2">
        <v>33300</v>
      </c>
      <c r="F2084" s="2">
        <f t="shared" si="40"/>
        <v>33300</v>
      </c>
    </row>
    <row r="2085" spans="4:6" x14ac:dyDescent="0.2">
      <c r="D2085" s="2">
        <v>1060000</v>
      </c>
      <c r="F2085" s="2">
        <f t="shared" si="40"/>
        <v>1060000</v>
      </c>
    </row>
    <row r="2086" spans="4:6" x14ac:dyDescent="0.2">
      <c r="D2086" s="2">
        <v>2100</v>
      </c>
      <c r="F2086" s="2">
        <f t="shared" si="40"/>
        <v>2100</v>
      </c>
    </row>
    <row r="2087" spans="4:6" x14ac:dyDescent="0.2">
      <c r="D2087" s="2">
        <v>5190</v>
      </c>
      <c r="F2087" s="2">
        <f t="shared" si="40"/>
        <v>5190</v>
      </c>
    </row>
    <row r="2088" spans="4:6" x14ac:dyDescent="0.2">
      <c r="D2088" s="2">
        <v>5510</v>
      </c>
      <c r="F2088" s="2">
        <f t="shared" si="40"/>
        <v>5510</v>
      </c>
    </row>
    <row r="2089" spans="4:6" x14ac:dyDescent="0.2">
      <c r="D2089" s="2">
        <v>6250000</v>
      </c>
      <c r="F2089" s="2">
        <f t="shared" si="40"/>
        <v>6250000</v>
      </c>
    </row>
    <row r="2090" spans="4:6" x14ac:dyDescent="0.2">
      <c r="D2090" s="2">
        <v>2430000</v>
      </c>
      <c r="F2090" s="2">
        <f t="shared" si="40"/>
        <v>2430000</v>
      </c>
    </row>
    <row r="2091" spans="4:6" x14ac:dyDescent="0.2">
      <c r="D2091" s="2">
        <v>424000</v>
      </c>
      <c r="F2091" s="2">
        <f t="shared" si="40"/>
        <v>424000</v>
      </c>
    </row>
    <row r="2092" spans="4:6" x14ac:dyDescent="0.2">
      <c r="D2092" s="2">
        <v>27800000</v>
      </c>
      <c r="F2092" s="2">
        <f t="shared" si="40"/>
        <v>27800000</v>
      </c>
    </row>
    <row r="2093" spans="4:6" x14ac:dyDescent="0.2">
      <c r="D2093" s="2">
        <v>62900000</v>
      </c>
      <c r="F2093" s="2">
        <f t="shared" si="40"/>
        <v>62900000</v>
      </c>
    </row>
    <row r="2094" spans="4:6" x14ac:dyDescent="0.2">
      <c r="D2094" s="2">
        <v>15400000</v>
      </c>
      <c r="F2094" s="2">
        <f t="shared" si="40"/>
        <v>15400000</v>
      </c>
    </row>
    <row r="2095" spans="4:6" x14ac:dyDescent="0.2">
      <c r="D2095" s="2">
        <v>5300000</v>
      </c>
      <c r="F2095" s="2">
        <f t="shared" si="40"/>
        <v>5300000</v>
      </c>
    </row>
    <row r="2096" spans="4:6" x14ac:dyDescent="0.2">
      <c r="D2096" s="2">
        <v>11000000</v>
      </c>
      <c r="F2096" s="2">
        <f t="shared" si="40"/>
        <v>11000000</v>
      </c>
    </row>
    <row r="2097" spans="4:6" x14ac:dyDescent="0.2">
      <c r="D2097" s="2">
        <v>11100000</v>
      </c>
      <c r="F2097" s="2">
        <f t="shared" si="40"/>
        <v>11100000</v>
      </c>
    </row>
    <row r="2098" spans="4:6" x14ac:dyDescent="0.2">
      <c r="D2098" s="2">
        <v>1930000</v>
      </c>
      <c r="F2098" s="2">
        <f t="shared" si="40"/>
        <v>1930000</v>
      </c>
    </row>
    <row r="2099" spans="4:6" x14ac:dyDescent="0.2">
      <c r="D2099" s="2">
        <v>1920000</v>
      </c>
      <c r="F2099" s="2">
        <f t="shared" si="40"/>
        <v>1920000</v>
      </c>
    </row>
    <row r="2100" spans="4:6" x14ac:dyDescent="0.2">
      <c r="D2100" s="2">
        <v>388000000</v>
      </c>
      <c r="F2100" s="2">
        <f t="shared" si="40"/>
        <v>388000000</v>
      </c>
    </row>
    <row r="2101" spans="4:6" x14ac:dyDescent="0.2">
      <c r="D2101" s="2">
        <v>2730000</v>
      </c>
      <c r="F2101" s="2">
        <f t="shared" si="40"/>
        <v>2730000</v>
      </c>
    </row>
    <row r="2102" spans="4:6" x14ac:dyDescent="0.2">
      <c r="D2102" s="2">
        <v>7770000</v>
      </c>
      <c r="F2102" s="2">
        <f t="shared" si="40"/>
        <v>7770000</v>
      </c>
    </row>
    <row r="2103" spans="4:6" x14ac:dyDescent="0.2">
      <c r="D2103" s="2">
        <v>51200</v>
      </c>
      <c r="F2103" s="2">
        <f t="shared" si="40"/>
        <v>51200</v>
      </c>
    </row>
    <row r="2104" spans="4:6" x14ac:dyDescent="0.2">
      <c r="D2104" s="2">
        <v>106000</v>
      </c>
      <c r="F2104" s="2">
        <f t="shared" si="40"/>
        <v>106000</v>
      </c>
    </row>
    <row r="2105" spans="4:6" x14ac:dyDescent="0.2">
      <c r="D2105" s="2">
        <v>427000</v>
      </c>
      <c r="F2105" s="2">
        <f t="shared" si="40"/>
        <v>427000</v>
      </c>
    </row>
    <row r="2106" spans="4:6" x14ac:dyDescent="0.2">
      <c r="D2106" s="2">
        <v>11000000</v>
      </c>
      <c r="F2106" s="2">
        <f t="shared" si="40"/>
        <v>11000000</v>
      </c>
    </row>
    <row r="2107" spans="4:6" x14ac:dyDescent="0.2">
      <c r="D2107" s="2">
        <v>17300000</v>
      </c>
      <c r="F2107" s="2">
        <f t="shared" si="40"/>
        <v>17300000</v>
      </c>
    </row>
    <row r="2108" spans="4:6" x14ac:dyDescent="0.2">
      <c r="D2108" s="2">
        <v>1280000</v>
      </c>
      <c r="F2108" s="2">
        <f t="shared" si="40"/>
        <v>1280000</v>
      </c>
    </row>
    <row r="2109" spans="4:6" x14ac:dyDescent="0.2">
      <c r="D2109" s="2">
        <v>975000</v>
      </c>
      <c r="F2109" s="2">
        <f t="shared" si="40"/>
        <v>975000</v>
      </c>
    </row>
    <row r="2110" spans="4:6" x14ac:dyDescent="0.2">
      <c r="D2110" s="2">
        <v>922000</v>
      </c>
      <c r="F2110" s="2">
        <f t="shared" si="40"/>
        <v>922000</v>
      </c>
    </row>
    <row r="2111" spans="4:6" x14ac:dyDescent="0.2">
      <c r="D2111" s="2">
        <v>1200000</v>
      </c>
      <c r="F2111" s="2">
        <f t="shared" si="40"/>
        <v>1200000</v>
      </c>
    </row>
    <row r="2112" spans="4:6" x14ac:dyDescent="0.2">
      <c r="D2112" s="2">
        <v>12300000</v>
      </c>
      <c r="F2112" s="2">
        <f t="shared" si="40"/>
        <v>12300000</v>
      </c>
    </row>
    <row r="2113" spans="4:6" x14ac:dyDescent="0.2">
      <c r="D2113" s="2">
        <v>13700000</v>
      </c>
      <c r="F2113" s="2">
        <f t="shared" si="40"/>
        <v>13700000</v>
      </c>
    </row>
    <row r="2114" spans="4:6" x14ac:dyDescent="0.2">
      <c r="D2114" s="2">
        <v>339000</v>
      </c>
      <c r="F2114" s="2">
        <f t="shared" si="40"/>
        <v>339000</v>
      </c>
    </row>
    <row r="2115" spans="4:6" x14ac:dyDescent="0.2">
      <c r="D2115" s="2">
        <v>582000</v>
      </c>
      <c r="F2115" s="2">
        <f t="shared" si="40"/>
        <v>582000</v>
      </c>
    </row>
    <row r="2116" spans="4:6" x14ac:dyDescent="0.2">
      <c r="D2116" s="2">
        <v>1460</v>
      </c>
      <c r="F2116" s="2">
        <f t="shared" si="40"/>
        <v>1460</v>
      </c>
    </row>
    <row r="2117" spans="4:6" x14ac:dyDescent="0.2">
      <c r="D2117" s="2">
        <v>668000</v>
      </c>
      <c r="F2117" s="2">
        <f t="shared" si="40"/>
        <v>668000</v>
      </c>
    </row>
    <row r="2118" spans="4:6" x14ac:dyDescent="0.2">
      <c r="D2118" s="2">
        <v>1830000</v>
      </c>
      <c r="F2118" s="2">
        <f t="shared" si="40"/>
        <v>1830000</v>
      </c>
    </row>
    <row r="2119" spans="4:6" x14ac:dyDescent="0.2">
      <c r="D2119" s="2">
        <v>821000</v>
      </c>
      <c r="F2119" s="2">
        <f t="shared" si="40"/>
        <v>821000</v>
      </c>
    </row>
    <row r="2120" spans="4:6" x14ac:dyDescent="0.2">
      <c r="D2120" s="2">
        <v>1100000</v>
      </c>
      <c r="F2120" s="2">
        <f t="shared" si="40"/>
        <v>1100000</v>
      </c>
    </row>
    <row r="2121" spans="4:6" x14ac:dyDescent="0.2">
      <c r="D2121" s="2">
        <v>12900000</v>
      </c>
      <c r="F2121" s="2">
        <f t="shared" si="40"/>
        <v>12900000</v>
      </c>
    </row>
    <row r="2122" spans="4:6" x14ac:dyDescent="0.2">
      <c r="D2122" s="2">
        <v>16200</v>
      </c>
      <c r="F2122" s="2">
        <f t="shared" si="40"/>
        <v>16200</v>
      </c>
    </row>
    <row r="2123" spans="4:6" x14ac:dyDescent="0.2">
      <c r="D2123" s="2">
        <v>546000</v>
      </c>
      <c r="F2123" s="2">
        <f t="shared" si="40"/>
        <v>546000</v>
      </c>
    </row>
    <row r="2124" spans="4:6" x14ac:dyDescent="0.2">
      <c r="D2124" s="2">
        <v>7350</v>
      </c>
      <c r="F2124" s="2">
        <f t="shared" si="40"/>
        <v>7350</v>
      </c>
    </row>
    <row r="2125" spans="4:6" x14ac:dyDescent="0.2">
      <c r="D2125" s="2">
        <v>1440000</v>
      </c>
      <c r="F2125" s="2">
        <f t="shared" si="40"/>
        <v>1440000</v>
      </c>
    </row>
    <row r="2126" spans="4:6" x14ac:dyDescent="0.2">
      <c r="D2126" s="2">
        <v>6670000</v>
      </c>
      <c r="F2126" s="2">
        <f t="shared" si="40"/>
        <v>6670000</v>
      </c>
    </row>
    <row r="2127" spans="4:6" x14ac:dyDescent="0.2">
      <c r="D2127" s="2">
        <v>1180000</v>
      </c>
      <c r="F2127" s="2">
        <f t="shared" si="40"/>
        <v>1180000</v>
      </c>
    </row>
    <row r="2128" spans="4:6" x14ac:dyDescent="0.2">
      <c r="D2128" s="2">
        <v>8910000</v>
      </c>
      <c r="F2128" s="2">
        <f t="shared" si="40"/>
        <v>8910000</v>
      </c>
    </row>
    <row r="2129" spans="4:6" x14ac:dyDescent="0.2">
      <c r="D2129" s="2">
        <v>8450000</v>
      </c>
      <c r="F2129" s="2">
        <f t="shared" si="40"/>
        <v>8450000</v>
      </c>
    </row>
    <row r="2130" spans="4:6" x14ac:dyDescent="0.2">
      <c r="D2130" s="2">
        <v>13400000</v>
      </c>
      <c r="F2130" s="2">
        <f t="shared" si="40"/>
        <v>13400000</v>
      </c>
    </row>
    <row r="2131" spans="4:6" x14ac:dyDescent="0.2">
      <c r="D2131" s="2">
        <v>1460000</v>
      </c>
      <c r="F2131" s="2">
        <f t="shared" si="40"/>
        <v>1460000</v>
      </c>
    </row>
    <row r="2132" spans="4:6" x14ac:dyDescent="0.2">
      <c r="D2132" s="2">
        <v>16100000</v>
      </c>
      <c r="F2132" s="2">
        <f t="shared" si="40"/>
        <v>16100000</v>
      </c>
    </row>
    <row r="2133" spans="4:6" x14ac:dyDescent="0.2">
      <c r="D2133" s="2">
        <v>35600000</v>
      </c>
      <c r="F2133" s="2">
        <f t="shared" si="40"/>
        <v>35600000</v>
      </c>
    </row>
    <row r="2134" spans="4:6" x14ac:dyDescent="0.2">
      <c r="D2134" s="2">
        <v>2790000</v>
      </c>
      <c r="F2134" s="2">
        <f t="shared" si="40"/>
        <v>2790000</v>
      </c>
    </row>
    <row r="2135" spans="4:6" x14ac:dyDescent="0.2">
      <c r="D2135" s="2">
        <v>355000</v>
      </c>
      <c r="F2135" s="2">
        <f t="shared" si="40"/>
        <v>355000</v>
      </c>
    </row>
    <row r="2136" spans="4:6" x14ac:dyDescent="0.2">
      <c r="D2136" s="2">
        <v>556000000</v>
      </c>
      <c r="F2136" s="2">
        <f t="shared" si="40"/>
        <v>556000000</v>
      </c>
    </row>
    <row r="2137" spans="4:6" x14ac:dyDescent="0.2">
      <c r="D2137" s="2">
        <v>3670000</v>
      </c>
      <c r="F2137" s="2">
        <f t="shared" si="40"/>
        <v>3670000</v>
      </c>
    </row>
    <row r="2138" spans="4:6" x14ac:dyDescent="0.2">
      <c r="D2138" s="2">
        <v>489000</v>
      </c>
      <c r="F2138" s="2">
        <f t="shared" ref="F2138:F2201" si="41">D2138</f>
        <v>489000</v>
      </c>
    </row>
    <row r="2139" spans="4:6" x14ac:dyDescent="0.2">
      <c r="D2139" s="2">
        <v>161000</v>
      </c>
      <c r="F2139" s="2">
        <f t="shared" si="41"/>
        <v>161000</v>
      </c>
    </row>
    <row r="2140" spans="4:6" x14ac:dyDescent="0.2">
      <c r="D2140" s="2">
        <v>685000</v>
      </c>
      <c r="F2140" s="2">
        <f t="shared" si="41"/>
        <v>685000</v>
      </c>
    </row>
    <row r="2141" spans="4:6" x14ac:dyDescent="0.2">
      <c r="D2141" s="2">
        <v>369000</v>
      </c>
      <c r="F2141" s="2">
        <f t="shared" si="41"/>
        <v>369000</v>
      </c>
    </row>
    <row r="2142" spans="4:6" x14ac:dyDescent="0.2">
      <c r="D2142" s="2">
        <v>93000000</v>
      </c>
      <c r="F2142" s="2">
        <f t="shared" si="41"/>
        <v>93000000</v>
      </c>
    </row>
    <row r="2143" spans="4:6" x14ac:dyDescent="0.2">
      <c r="D2143" s="2">
        <v>16700000</v>
      </c>
      <c r="F2143" s="2">
        <f t="shared" si="41"/>
        <v>16700000</v>
      </c>
    </row>
    <row r="2144" spans="4:6" x14ac:dyDescent="0.2">
      <c r="D2144" s="2">
        <v>6000000</v>
      </c>
      <c r="F2144" s="2">
        <f t="shared" si="41"/>
        <v>6000000</v>
      </c>
    </row>
    <row r="2145" spans="4:6" x14ac:dyDescent="0.2">
      <c r="D2145" s="2">
        <v>820000</v>
      </c>
      <c r="F2145" s="2">
        <f t="shared" si="41"/>
        <v>820000</v>
      </c>
    </row>
    <row r="2146" spans="4:6" x14ac:dyDescent="0.2">
      <c r="D2146" s="2">
        <v>378000</v>
      </c>
      <c r="F2146" s="2">
        <f t="shared" si="41"/>
        <v>378000</v>
      </c>
    </row>
    <row r="2147" spans="4:6" x14ac:dyDescent="0.2">
      <c r="D2147" s="2">
        <v>1110000</v>
      </c>
      <c r="F2147" s="2">
        <f t="shared" si="41"/>
        <v>1110000</v>
      </c>
    </row>
    <row r="2148" spans="4:6" x14ac:dyDescent="0.2">
      <c r="D2148" s="2">
        <v>4530000</v>
      </c>
      <c r="F2148" s="2">
        <f t="shared" si="41"/>
        <v>4530000</v>
      </c>
    </row>
    <row r="2149" spans="4:6" x14ac:dyDescent="0.2">
      <c r="D2149" s="2">
        <v>3210000</v>
      </c>
      <c r="F2149" s="2">
        <f t="shared" si="41"/>
        <v>3210000</v>
      </c>
    </row>
    <row r="2150" spans="4:6" x14ac:dyDescent="0.2">
      <c r="D2150" s="2">
        <v>716000</v>
      </c>
      <c r="F2150" s="2">
        <f t="shared" si="41"/>
        <v>716000</v>
      </c>
    </row>
    <row r="2151" spans="4:6" x14ac:dyDescent="0.2">
      <c r="D2151" s="2">
        <v>1070000</v>
      </c>
      <c r="F2151" s="2">
        <f t="shared" si="41"/>
        <v>1070000</v>
      </c>
    </row>
    <row r="2152" spans="4:6" x14ac:dyDescent="0.2">
      <c r="D2152" s="2">
        <v>1220</v>
      </c>
      <c r="F2152" s="2">
        <f t="shared" si="41"/>
        <v>1220</v>
      </c>
    </row>
    <row r="2153" spans="4:6" x14ac:dyDescent="0.2">
      <c r="D2153" s="2">
        <v>1090000</v>
      </c>
      <c r="F2153" s="2">
        <f t="shared" si="41"/>
        <v>1090000</v>
      </c>
    </row>
    <row r="2154" spans="4:6" x14ac:dyDescent="0.2">
      <c r="D2154" s="2">
        <v>259000</v>
      </c>
      <c r="F2154" s="2">
        <f t="shared" si="41"/>
        <v>259000</v>
      </c>
    </row>
    <row r="2155" spans="4:6" x14ac:dyDescent="0.2">
      <c r="D2155" s="2">
        <v>211000</v>
      </c>
      <c r="F2155" s="2">
        <f t="shared" si="41"/>
        <v>211000</v>
      </c>
    </row>
    <row r="2156" spans="4:6" x14ac:dyDescent="0.2">
      <c r="D2156" s="2">
        <v>389000</v>
      </c>
      <c r="F2156" s="2">
        <f t="shared" si="41"/>
        <v>389000</v>
      </c>
    </row>
    <row r="2157" spans="4:6" x14ac:dyDescent="0.2">
      <c r="D2157" s="2">
        <v>7050000</v>
      </c>
      <c r="F2157" s="2">
        <f t="shared" si="41"/>
        <v>7050000</v>
      </c>
    </row>
    <row r="2158" spans="4:6" x14ac:dyDescent="0.2">
      <c r="D2158" s="2">
        <v>49100</v>
      </c>
      <c r="F2158" s="2">
        <f t="shared" si="41"/>
        <v>49100</v>
      </c>
    </row>
    <row r="2159" spans="4:6" x14ac:dyDescent="0.2">
      <c r="D2159" s="2">
        <v>109000</v>
      </c>
      <c r="F2159" s="2">
        <f t="shared" si="41"/>
        <v>109000</v>
      </c>
    </row>
    <row r="2160" spans="4:6" x14ac:dyDescent="0.2">
      <c r="D2160" s="2">
        <v>5900</v>
      </c>
      <c r="F2160" s="2">
        <f t="shared" si="41"/>
        <v>5900</v>
      </c>
    </row>
    <row r="2161" spans="4:6" x14ac:dyDescent="0.2">
      <c r="D2161" s="2">
        <v>796000</v>
      </c>
      <c r="F2161" s="2">
        <f t="shared" si="41"/>
        <v>796000</v>
      </c>
    </row>
    <row r="2162" spans="4:6" x14ac:dyDescent="0.2">
      <c r="D2162" s="2">
        <v>1330000</v>
      </c>
      <c r="F2162" s="2">
        <f t="shared" si="41"/>
        <v>1330000</v>
      </c>
    </row>
    <row r="2163" spans="4:6" x14ac:dyDescent="0.2">
      <c r="D2163" s="2">
        <v>107000</v>
      </c>
      <c r="F2163" s="2">
        <f t="shared" si="41"/>
        <v>107000</v>
      </c>
    </row>
    <row r="2164" spans="4:6" x14ac:dyDescent="0.2">
      <c r="D2164" s="2">
        <v>5440000</v>
      </c>
      <c r="F2164" s="2">
        <f t="shared" si="41"/>
        <v>5440000</v>
      </c>
    </row>
    <row r="2165" spans="4:6" x14ac:dyDescent="0.2">
      <c r="D2165" s="2">
        <v>8800000</v>
      </c>
      <c r="F2165" s="2">
        <f t="shared" si="41"/>
        <v>8800000</v>
      </c>
    </row>
    <row r="2166" spans="4:6" x14ac:dyDescent="0.2">
      <c r="D2166" s="2">
        <v>9710000</v>
      </c>
      <c r="F2166" s="2">
        <f t="shared" si="41"/>
        <v>9710000</v>
      </c>
    </row>
    <row r="2167" spans="4:6" x14ac:dyDescent="0.2">
      <c r="D2167" s="2">
        <v>574000</v>
      </c>
      <c r="F2167" s="2">
        <f t="shared" si="41"/>
        <v>574000</v>
      </c>
    </row>
    <row r="2168" spans="4:6" x14ac:dyDescent="0.2">
      <c r="D2168" s="2">
        <v>1470000</v>
      </c>
      <c r="F2168" s="2">
        <f t="shared" si="41"/>
        <v>1470000</v>
      </c>
    </row>
    <row r="2169" spans="4:6" x14ac:dyDescent="0.2">
      <c r="D2169" s="2">
        <v>3620000</v>
      </c>
      <c r="F2169" s="2">
        <f t="shared" si="41"/>
        <v>3620000</v>
      </c>
    </row>
    <row r="2170" spans="4:6" x14ac:dyDescent="0.2">
      <c r="D2170" s="2">
        <v>232000</v>
      </c>
      <c r="F2170" s="2">
        <f t="shared" si="41"/>
        <v>232000</v>
      </c>
    </row>
    <row r="2171" spans="4:6" x14ac:dyDescent="0.2">
      <c r="D2171" s="2">
        <v>4910000</v>
      </c>
      <c r="F2171" s="2">
        <f t="shared" si="41"/>
        <v>4910000</v>
      </c>
    </row>
    <row r="2172" spans="4:6" x14ac:dyDescent="0.2">
      <c r="D2172" s="2">
        <v>55400000</v>
      </c>
      <c r="F2172" s="2">
        <f t="shared" si="41"/>
        <v>55400000</v>
      </c>
    </row>
    <row r="2173" spans="4:6" x14ac:dyDescent="0.2">
      <c r="D2173" s="2">
        <v>311000</v>
      </c>
      <c r="F2173" s="2">
        <f t="shared" si="41"/>
        <v>311000</v>
      </c>
    </row>
    <row r="2174" spans="4:6" x14ac:dyDescent="0.2">
      <c r="D2174" s="2">
        <v>12100000</v>
      </c>
      <c r="F2174" s="2">
        <f t="shared" si="41"/>
        <v>12100000</v>
      </c>
    </row>
    <row r="2175" spans="4:6" x14ac:dyDescent="0.2">
      <c r="D2175" s="2">
        <v>10700</v>
      </c>
      <c r="F2175" s="2">
        <f t="shared" si="41"/>
        <v>10700</v>
      </c>
    </row>
    <row r="2176" spans="4:6" x14ac:dyDescent="0.2">
      <c r="D2176" s="2">
        <v>45000</v>
      </c>
      <c r="F2176" s="2">
        <f t="shared" si="41"/>
        <v>45000</v>
      </c>
    </row>
    <row r="2177" spans="4:6" x14ac:dyDescent="0.2">
      <c r="D2177" s="2">
        <v>126000</v>
      </c>
      <c r="F2177" s="2">
        <f t="shared" si="41"/>
        <v>126000</v>
      </c>
    </row>
    <row r="2178" spans="4:6" x14ac:dyDescent="0.2">
      <c r="D2178" s="2">
        <v>15000000</v>
      </c>
      <c r="F2178" s="2">
        <f t="shared" si="41"/>
        <v>15000000</v>
      </c>
    </row>
    <row r="2179" spans="4:6" x14ac:dyDescent="0.2">
      <c r="D2179" s="2">
        <v>1070000</v>
      </c>
      <c r="F2179" s="2">
        <f t="shared" si="41"/>
        <v>1070000</v>
      </c>
    </row>
    <row r="2180" spans="4:6" x14ac:dyDescent="0.2">
      <c r="D2180" s="2">
        <v>412000</v>
      </c>
      <c r="F2180" s="2">
        <f t="shared" si="41"/>
        <v>412000</v>
      </c>
    </row>
    <row r="2181" spans="4:6" x14ac:dyDescent="0.2">
      <c r="D2181" s="2">
        <v>378000</v>
      </c>
      <c r="F2181" s="2">
        <f t="shared" si="41"/>
        <v>378000</v>
      </c>
    </row>
    <row r="2182" spans="4:6" x14ac:dyDescent="0.2">
      <c r="D2182" s="2">
        <v>82100</v>
      </c>
      <c r="F2182" s="2">
        <f t="shared" si="41"/>
        <v>82100</v>
      </c>
    </row>
    <row r="2183" spans="4:6" x14ac:dyDescent="0.2">
      <c r="D2183" s="2">
        <v>480000</v>
      </c>
      <c r="F2183" s="2">
        <f t="shared" si="41"/>
        <v>480000</v>
      </c>
    </row>
    <row r="2184" spans="4:6" x14ac:dyDescent="0.2">
      <c r="D2184" s="2">
        <v>4240000</v>
      </c>
      <c r="F2184" s="2">
        <f t="shared" si="41"/>
        <v>4240000</v>
      </c>
    </row>
    <row r="2185" spans="4:6" x14ac:dyDescent="0.2">
      <c r="D2185" s="2">
        <v>1700000</v>
      </c>
      <c r="F2185" s="2">
        <f t="shared" si="41"/>
        <v>1700000</v>
      </c>
    </row>
    <row r="2186" spans="4:6" x14ac:dyDescent="0.2">
      <c r="D2186" s="2">
        <v>40600</v>
      </c>
      <c r="F2186" s="2">
        <f t="shared" si="41"/>
        <v>40600</v>
      </c>
    </row>
    <row r="2187" spans="4:6" x14ac:dyDescent="0.2">
      <c r="D2187" s="2">
        <v>55900</v>
      </c>
      <c r="F2187" s="2">
        <f t="shared" si="41"/>
        <v>55900</v>
      </c>
    </row>
    <row r="2188" spans="4:6" x14ac:dyDescent="0.2">
      <c r="D2188" s="2">
        <v>1160</v>
      </c>
      <c r="F2188" s="2">
        <f t="shared" si="41"/>
        <v>1160</v>
      </c>
    </row>
    <row r="2189" spans="4:6" x14ac:dyDescent="0.2">
      <c r="D2189" s="2">
        <v>108000</v>
      </c>
      <c r="F2189" s="2">
        <f t="shared" si="41"/>
        <v>108000</v>
      </c>
    </row>
    <row r="2190" spans="4:6" x14ac:dyDescent="0.2">
      <c r="D2190" s="2">
        <v>180000</v>
      </c>
      <c r="F2190" s="2">
        <f t="shared" si="41"/>
        <v>180000</v>
      </c>
    </row>
    <row r="2191" spans="4:6" x14ac:dyDescent="0.2">
      <c r="D2191" s="2">
        <v>147000</v>
      </c>
      <c r="F2191" s="2">
        <f t="shared" si="41"/>
        <v>147000</v>
      </c>
    </row>
    <row r="2192" spans="4:6" x14ac:dyDescent="0.2">
      <c r="D2192" s="2">
        <v>279000</v>
      </c>
      <c r="F2192" s="2">
        <f t="shared" si="41"/>
        <v>279000</v>
      </c>
    </row>
    <row r="2193" spans="4:6" x14ac:dyDescent="0.2">
      <c r="D2193" s="2">
        <v>1480000</v>
      </c>
      <c r="F2193" s="2">
        <f t="shared" si="41"/>
        <v>1480000</v>
      </c>
    </row>
    <row r="2194" spans="4:6" x14ac:dyDescent="0.2">
      <c r="D2194" s="2">
        <v>12600</v>
      </c>
      <c r="F2194" s="2">
        <f t="shared" si="41"/>
        <v>12600</v>
      </c>
    </row>
    <row r="2195" spans="4:6" x14ac:dyDescent="0.2">
      <c r="D2195" s="2">
        <v>352000</v>
      </c>
      <c r="F2195" s="2">
        <f t="shared" si="41"/>
        <v>352000</v>
      </c>
    </row>
    <row r="2196" spans="4:6" x14ac:dyDescent="0.2">
      <c r="D2196" s="2">
        <v>3610</v>
      </c>
      <c r="F2196" s="2">
        <f t="shared" si="41"/>
        <v>3610</v>
      </c>
    </row>
    <row r="2197" spans="4:6" x14ac:dyDescent="0.2">
      <c r="D2197" s="2">
        <v>12700000</v>
      </c>
      <c r="F2197" s="2">
        <f t="shared" si="41"/>
        <v>12700000</v>
      </c>
    </row>
    <row r="2198" spans="4:6" x14ac:dyDescent="0.2">
      <c r="D2198" s="2">
        <v>60400000</v>
      </c>
      <c r="F2198" s="2">
        <f t="shared" si="41"/>
        <v>60400000</v>
      </c>
    </row>
    <row r="2199" spans="4:6" x14ac:dyDescent="0.2">
      <c r="D2199" s="2">
        <v>1570000</v>
      </c>
      <c r="F2199" s="2">
        <f t="shared" si="41"/>
        <v>1570000</v>
      </c>
    </row>
    <row r="2200" spans="4:6" x14ac:dyDescent="0.2">
      <c r="D2200" s="2">
        <v>21200000</v>
      </c>
      <c r="F2200" s="2">
        <f t="shared" si="41"/>
        <v>21200000</v>
      </c>
    </row>
    <row r="2201" spans="4:6" x14ac:dyDescent="0.2">
      <c r="D2201" s="2">
        <v>75600000</v>
      </c>
      <c r="F2201" s="2">
        <f t="shared" si="41"/>
        <v>75600000</v>
      </c>
    </row>
    <row r="2202" spans="4:6" x14ac:dyDescent="0.2">
      <c r="D2202" s="2">
        <v>7320000</v>
      </c>
      <c r="F2202" s="2">
        <f t="shared" ref="F2202:F2239" si="42">D2202</f>
        <v>7320000</v>
      </c>
    </row>
    <row r="2203" spans="4:6" x14ac:dyDescent="0.2">
      <c r="D2203" s="2">
        <v>21000000</v>
      </c>
      <c r="F2203" s="2">
        <f t="shared" si="42"/>
        <v>21000000</v>
      </c>
    </row>
    <row r="2204" spans="4:6" x14ac:dyDescent="0.2">
      <c r="D2204" s="2">
        <v>18200000</v>
      </c>
      <c r="F2204" s="2">
        <f t="shared" si="42"/>
        <v>18200000</v>
      </c>
    </row>
    <row r="2205" spans="4:6" x14ac:dyDescent="0.2">
      <c r="D2205" s="2">
        <v>63100000</v>
      </c>
      <c r="F2205" s="2">
        <f t="shared" si="42"/>
        <v>63100000</v>
      </c>
    </row>
    <row r="2206" spans="4:6" x14ac:dyDescent="0.2">
      <c r="D2206" s="2">
        <v>630000</v>
      </c>
      <c r="F2206" s="2">
        <f t="shared" si="42"/>
        <v>630000</v>
      </c>
    </row>
    <row r="2207" spans="4:6" x14ac:dyDescent="0.2">
      <c r="D2207" s="2">
        <v>5690000</v>
      </c>
      <c r="F2207" s="2">
        <f t="shared" si="42"/>
        <v>5690000</v>
      </c>
    </row>
    <row r="2208" spans="4:6" x14ac:dyDescent="0.2">
      <c r="D2208" s="2">
        <v>1950000000</v>
      </c>
      <c r="F2208" s="2">
        <f t="shared" si="42"/>
        <v>1950000000</v>
      </c>
    </row>
    <row r="2209" spans="4:6" x14ac:dyDescent="0.2">
      <c r="D2209" s="2">
        <v>10800000</v>
      </c>
      <c r="F2209" s="2">
        <f t="shared" si="42"/>
        <v>10800000</v>
      </c>
    </row>
    <row r="2210" spans="4:6" x14ac:dyDescent="0.2">
      <c r="D2210" s="2">
        <v>103000000</v>
      </c>
      <c r="F2210" s="2">
        <f t="shared" si="42"/>
        <v>103000000</v>
      </c>
    </row>
    <row r="2211" spans="4:6" x14ac:dyDescent="0.2">
      <c r="D2211" s="2">
        <v>447000</v>
      </c>
      <c r="F2211" s="2">
        <f t="shared" si="42"/>
        <v>447000</v>
      </c>
    </row>
    <row r="2212" spans="4:6" x14ac:dyDescent="0.2">
      <c r="D2212" s="2">
        <v>452000</v>
      </c>
      <c r="F2212" s="2">
        <f t="shared" si="42"/>
        <v>452000</v>
      </c>
    </row>
    <row r="2213" spans="4:6" x14ac:dyDescent="0.2">
      <c r="D2213" s="2">
        <v>518000</v>
      </c>
      <c r="F2213" s="2">
        <f t="shared" si="42"/>
        <v>518000</v>
      </c>
    </row>
    <row r="2214" spans="4:6" x14ac:dyDescent="0.2">
      <c r="D2214" s="2">
        <v>28700000</v>
      </c>
      <c r="F2214" s="2">
        <f t="shared" si="42"/>
        <v>28700000</v>
      </c>
    </row>
    <row r="2215" spans="4:6" x14ac:dyDescent="0.2">
      <c r="D2215" s="2">
        <v>5500000</v>
      </c>
      <c r="F2215" s="2">
        <f t="shared" si="42"/>
        <v>5500000</v>
      </c>
    </row>
    <row r="2216" spans="4:6" x14ac:dyDescent="0.2">
      <c r="D2216" s="2">
        <v>5300000</v>
      </c>
      <c r="F2216" s="2">
        <f t="shared" si="42"/>
        <v>5300000</v>
      </c>
    </row>
    <row r="2217" spans="4:6" x14ac:dyDescent="0.2">
      <c r="D2217" s="2">
        <v>555000</v>
      </c>
      <c r="F2217" s="2">
        <f t="shared" si="42"/>
        <v>555000</v>
      </c>
    </row>
    <row r="2218" spans="4:6" x14ac:dyDescent="0.2">
      <c r="D2218" s="2">
        <v>837000</v>
      </c>
      <c r="F2218" s="2">
        <f t="shared" si="42"/>
        <v>837000</v>
      </c>
    </row>
    <row r="2219" spans="4:6" x14ac:dyDescent="0.2">
      <c r="D2219" s="2">
        <v>1420000</v>
      </c>
      <c r="F2219" s="2">
        <f t="shared" si="42"/>
        <v>1420000</v>
      </c>
    </row>
    <row r="2220" spans="4:6" x14ac:dyDescent="0.2">
      <c r="D2220" s="2">
        <v>5020000</v>
      </c>
      <c r="F2220" s="2">
        <f t="shared" si="42"/>
        <v>5020000</v>
      </c>
    </row>
    <row r="2221" spans="4:6" x14ac:dyDescent="0.2">
      <c r="D2221" s="2">
        <v>3110000</v>
      </c>
      <c r="F2221" s="2">
        <f t="shared" si="42"/>
        <v>3110000</v>
      </c>
    </row>
    <row r="2222" spans="4:6" x14ac:dyDescent="0.2">
      <c r="D2222" s="2">
        <v>1050000</v>
      </c>
      <c r="F2222" s="2">
        <f t="shared" si="42"/>
        <v>1050000</v>
      </c>
    </row>
    <row r="2223" spans="4:6" x14ac:dyDescent="0.2">
      <c r="D2223" s="2">
        <v>1100000</v>
      </c>
      <c r="F2223" s="2">
        <f t="shared" si="42"/>
        <v>1100000</v>
      </c>
    </row>
    <row r="2224" spans="4:6" x14ac:dyDescent="0.2">
      <c r="D2224" s="2">
        <v>1110</v>
      </c>
      <c r="F2224" s="2">
        <f t="shared" si="42"/>
        <v>1110</v>
      </c>
    </row>
    <row r="2225" spans="1:8" x14ac:dyDescent="0.2">
      <c r="D2225" s="2">
        <v>4020000</v>
      </c>
      <c r="F2225" s="2">
        <f t="shared" si="42"/>
        <v>4020000</v>
      </c>
    </row>
    <row r="2226" spans="1:8" x14ac:dyDescent="0.2">
      <c r="D2226" s="2">
        <v>927000</v>
      </c>
      <c r="F2226" s="2">
        <f t="shared" si="42"/>
        <v>927000</v>
      </c>
    </row>
    <row r="2227" spans="1:8" x14ac:dyDescent="0.2">
      <c r="D2227" s="2">
        <v>561000</v>
      </c>
      <c r="F2227" s="2">
        <f t="shared" si="42"/>
        <v>561000</v>
      </c>
    </row>
    <row r="2228" spans="1:8" x14ac:dyDescent="0.2">
      <c r="D2228" s="2">
        <v>397000</v>
      </c>
      <c r="F2228" s="2">
        <f t="shared" si="42"/>
        <v>397000</v>
      </c>
    </row>
    <row r="2229" spans="1:8" x14ac:dyDescent="0.2">
      <c r="D2229" s="2">
        <v>41700000</v>
      </c>
      <c r="F2229" s="2">
        <f t="shared" si="42"/>
        <v>41700000</v>
      </c>
    </row>
    <row r="2230" spans="1:8" x14ac:dyDescent="0.2">
      <c r="D2230" s="2">
        <v>87700</v>
      </c>
      <c r="F2230" s="2">
        <f t="shared" si="42"/>
        <v>87700</v>
      </c>
    </row>
    <row r="2231" spans="1:8" x14ac:dyDescent="0.2">
      <c r="D2231" s="2">
        <v>528000</v>
      </c>
      <c r="F2231" s="2">
        <f t="shared" si="42"/>
        <v>528000</v>
      </c>
    </row>
    <row r="2232" spans="1:8" x14ac:dyDescent="0.2">
      <c r="D2232" s="2">
        <v>17600</v>
      </c>
      <c r="F2232" s="2">
        <f t="shared" si="42"/>
        <v>17600</v>
      </c>
    </row>
    <row r="2233" spans="1:8" x14ac:dyDescent="0.2">
      <c r="A2233" t="s">
        <v>571</v>
      </c>
      <c r="B2233">
        <v>2016</v>
      </c>
      <c r="C2233" t="s">
        <v>45</v>
      </c>
      <c r="D2233" s="2">
        <v>3000000</v>
      </c>
      <c r="E2233" t="s">
        <v>541</v>
      </c>
      <c r="F2233" s="2">
        <f t="shared" si="42"/>
        <v>3000000</v>
      </c>
      <c r="H2233" t="s">
        <v>570</v>
      </c>
    </row>
    <row r="2234" spans="1:8" x14ac:dyDescent="0.2">
      <c r="D2234" s="2">
        <v>6000000</v>
      </c>
      <c r="F2234" s="2">
        <f t="shared" si="42"/>
        <v>6000000</v>
      </c>
    </row>
    <row r="2235" spans="1:8" x14ac:dyDescent="0.2">
      <c r="D2235" s="2">
        <v>44000</v>
      </c>
      <c r="F2235" s="2">
        <f t="shared" si="42"/>
        <v>44000</v>
      </c>
    </row>
    <row r="2236" spans="1:8" x14ac:dyDescent="0.2">
      <c r="D2236" s="2">
        <v>4000000</v>
      </c>
      <c r="F2236" s="2">
        <f t="shared" si="42"/>
        <v>4000000</v>
      </c>
    </row>
    <row r="2237" spans="1:8" x14ac:dyDescent="0.2">
      <c r="D2237" s="2">
        <v>6300000</v>
      </c>
      <c r="F2237" s="2">
        <f t="shared" si="42"/>
        <v>6300000</v>
      </c>
    </row>
    <row r="2238" spans="1:8" x14ac:dyDescent="0.2">
      <c r="D2238" s="2">
        <v>6500000</v>
      </c>
      <c r="F2238" s="2">
        <f t="shared" si="42"/>
        <v>6500000</v>
      </c>
    </row>
    <row r="2239" spans="1:8" x14ac:dyDescent="0.2">
      <c r="D2239" s="2">
        <v>300000</v>
      </c>
      <c r="F2239" s="2">
        <f t="shared" si="42"/>
        <v>300000</v>
      </c>
    </row>
    <row r="2240" spans="1:8" x14ac:dyDescent="0.2">
      <c r="A2240" t="s">
        <v>573</v>
      </c>
      <c r="B2240">
        <v>2020</v>
      </c>
      <c r="C2240" t="s">
        <v>45</v>
      </c>
      <c r="D2240" s="2">
        <v>7.35</v>
      </c>
      <c r="E2240" t="s">
        <v>540</v>
      </c>
      <c r="F2240" s="2">
        <f t="shared" ref="F2240:F2250" si="43">10^D2240</f>
        <v>22387211.385683414</v>
      </c>
      <c r="H2240" t="s">
        <v>572</v>
      </c>
    </row>
    <row r="2241" spans="1:8" x14ac:dyDescent="0.2">
      <c r="D2241" s="2">
        <v>5.16</v>
      </c>
      <c r="F2241" s="2">
        <f t="shared" si="43"/>
        <v>144543.97707459307</v>
      </c>
    </row>
    <row r="2242" spans="1:8" x14ac:dyDescent="0.2">
      <c r="D2242" s="2">
        <v>6.52</v>
      </c>
      <c r="F2242" s="2">
        <f t="shared" si="43"/>
        <v>3311311.2148259105</v>
      </c>
    </row>
    <row r="2243" spans="1:8" x14ac:dyDescent="0.2">
      <c r="D2243" s="2">
        <v>7.62</v>
      </c>
      <c r="F2243" s="2">
        <f t="shared" si="43"/>
        <v>41686938.347033612</v>
      </c>
    </row>
    <row r="2244" spans="1:8" x14ac:dyDescent="0.2">
      <c r="D2244" s="2">
        <v>3.35</v>
      </c>
      <c r="F2244" s="2">
        <f t="shared" si="43"/>
        <v>2238.7211385683418</v>
      </c>
    </row>
    <row r="2245" spans="1:8" x14ac:dyDescent="0.2">
      <c r="D2245" s="2">
        <v>10.19</v>
      </c>
      <c r="F2245" s="2">
        <f t="shared" si="43"/>
        <v>15488166189.124847</v>
      </c>
    </row>
    <row r="2246" spans="1:8" x14ac:dyDescent="0.2">
      <c r="A2246" t="s">
        <v>258</v>
      </c>
      <c r="B2246">
        <v>2019</v>
      </c>
      <c r="C2246" t="s">
        <v>45</v>
      </c>
      <c r="D2246" s="2">
        <v>8.4</v>
      </c>
      <c r="E2246" t="s">
        <v>540</v>
      </c>
      <c r="F2246" s="2">
        <f t="shared" si="43"/>
        <v>251188643.15095839</v>
      </c>
      <c r="H2246" t="s">
        <v>574</v>
      </c>
    </row>
    <row r="2247" spans="1:8" x14ac:dyDescent="0.2">
      <c r="D2247" s="2">
        <v>7</v>
      </c>
      <c r="F2247" s="2">
        <f t="shared" si="43"/>
        <v>10000000</v>
      </c>
    </row>
    <row r="2248" spans="1:8" x14ac:dyDescent="0.2">
      <c r="D2248" s="2">
        <v>4.9000000000000004</v>
      </c>
      <c r="F2248" s="2">
        <f t="shared" si="43"/>
        <v>79432.823472428237</v>
      </c>
    </row>
    <row r="2249" spans="1:8" x14ac:dyDescent="0.2">
      <c r="D2249" s="2">
        <v>4.0999999999999996</v>
      </c>
      <c r="F2249" s="2">
        <f t="shared" si="43"/>
        <v>12589.254117941671</v>
      </c>
    </row>
    <row r="2250" spans="1:8" x14ac:dyDescent="0.2">
      <c r="D2250" s="2">
        <v>5.2</v>
      </c>
      <c r="F2250" s="2">
        <f t="shared" si="43"/>
        <v>158489.31924611164</v>
      </c>
    </row>
    <row r="2251" spans="1:8" x14ac:dyDescent="0.2">
      <c r="A2251" t="s">
        <v>291</v>
      </c>
      <c r="B2251">
        <v>2018</v>
      </c>
      <c r="C2251" t="s">
        <v>45</v>
      </c>
      <c r="D2251" s="2">
        <v>37800000</v>
      </c>
      <c r="E2251" t="s">
        <v>541</v>
      </c>
      <c r="F2251" s="2">
        <f t="shared" ref="F2251:F2284" si="44">D2251</f>
        <v>37800000</v>
      </c>
      <c r="H2251" t="s">
        <v>575</v>
      </c>
    </row>
    <row r="2252" spans="1:8" x14ac:dyDescent="0.2">
      <c r="D2252" s="2">
        <v>90400000</v>
      </c>
      <c r="F2252" s="2">
        <f t="shared" si="44"/>
        <v>90400000</v>
      </c>
    </row>
    <row r="2253" spans="1:8" x14ac:dyDescent="0.2">
      <c r="D2253" s="2">
        <v>117000</v>
      </c>
      <c r="F2253" s="2">
        <f t="shared" si="44"/>
        <v>117000</v>
      </c>
    </row>
    <row r="2254" spans="1:8" x14ac:dyDescent="0.2">
      <c r="D2254" s="2">
        <v>690000000</v>
      </c>
      <c r="F2254" s="2">
        <f t="shared" si="44"/>
        <v>690000000</v>
      </c>
    </row>
    <row r="2255" spans="1:8" x14ac:dyDescent="0.2">
      <c r="D2255" s="2">
        <v>416000</v>
      </c>
      <c r="F2255" s="2">
        <f t="shared" si="44"/>
        <v>416000</v>
      </c>
    </row>
    <row r="2256" spans="1:8" x14ac:dyDescent="0.2">
      <c r="D2256" s="2">
        <v>2140000</v>
      </c>
      <c r="F2256" s="2">
        <f t="shared" si="44"/>
        <v>2140000</v>
      </c>
    </row>
    <row r="2257" spans="1:8" x14ac:dyDescent="0.2">
      <c r="D2257" s="2">
        <v>9290000</v>
      </c>
      <c r="F2257" s="2">
        <f t="shared" si="44"/>
        <v>9290000</v>
      </c>
    </row>
    <row r="2258" spans="1:8" x14ac:dyDescent="0.2">
      <c r="D2258" s="2">
        <v>53500000</v>
      </c>
      <c r="F2258" s="2">
        <f t="shared" si="44"/>
        <v>53500000</v>
      </c>
    </row>
    <row r="2259" spans="1:8" x14ac:dyDescent="0.2">
      <c r="D2259" s="2">
        <v>6090000</v>
      </c>
      <c r="F2259" s="2">
        <f t="shared" si="44"/>
        <v>6090000</v>
      </c>
    </row>
    <row r="2260" spans="1:8" x14ac:dyDescent="0.2">
      <c r="D2260" s="2">
        <v>66000000</v>
      </c>
      <c r="F2260" s="2">
        <f t="shared" si="44"/>
        <v>66000000</v>
      </c>
    </row>
    <row r="2261" spans="1:8" x14ac:dyDescent="0.2">
      <c r="D2261" s="2">
        <v>2870000</v>
      </c>
      <c r="F2261" s="2">
        <f t="shared" si="44"/>
        <v>2870000</v>
      </c>
    </row>
    <row r="2262" spans="1:8" x14ac:dyDescent="0.2">
      <c r="D2262" s="2">
        <v>11100000</v>
      </c>
      <c r="F2262" s="2">
        <f t="shared" si="44"/>
        <v>11100000</v>
      </c>
    </row>
    <row r="2263" spans="1:8" x14ac:dyDescent="0.2">
      <c r="A2263" t="s">
        <v>577</v>
      </c>
      <c r="B2263">
        <v>2021</v>
      </c>
      <c r="C2263" t="s">
        <v>45</v>
      </c>
      <c r="D2263" s="2">
        <v>7200</v>
      </c>
      <c r="E2263" t="s">
        <v>541</v>
      </c>
      <c r="F2263" s="2">
        <f t="shared" si="44"/>
        <v>7200</v>
      </c>
      <c r="H2263" t="s">
        <v>576</v>
      </c>
    </row>
    <row r="2264" spans="1:8" x14ac:dyDescent="0.2">
      <c r="D2264" s="2">
        <v>3200</v>
      </c>
      <c r="F2264" s="2">
        <f t="shared" si="44"/>
        <v>3200</v>
      </c>
    </row>
    <row r="2265" spans="1:8" x14ac:dyDescent="0.2">
      <c r="D2265" s="2">
        <v>3500000</v>
      </c>
      <c r="F2265" s="2">
        <f t="shared" si="44"/>
        <v>3500000</v>
      </c>
    </row>
    <row r="2266" spans="1:8" x14ac:dyDescent="0.2">
      <c r="D2266" s="2">
        <v>2100000</v>
      </c>
      <c r="F2266" s="2">
        <f t="shared" si="44"/>
        <v>2100000</v>
      </c>
    </row>
    <row r="2267" spans="1:8" x14ac:dyDescent="0.2">
      <c r="D2267" s="2">
        <v>1700000</v>
      </c>
      <c r="F2267" s="2">
        <f t="shared" si="44"/>
        <v>1700000</v>
      </c>
    </row>
    <row r="2268" spans="1:8" x14ac:dyDescent="0.2">
      <c r="D2268" s="2">
        <v>1100000</v>
      </c>
      <c r="F2268" s="2">
        <f t="shared" si="44"/>
        <v>1100000</v>
      </c>
    </row>
    <row r="2269" spans="1:8" x14ac:dyDescent="0.2">
      <c r="D2269" s="2">
        <v>33000</v>
      </c>
      <c r="F2269" s="2">
        <f t="shared" si="44"/>
        <v>33000</v>
      </c>
    </row>
    <row r="2270" spans="1:8" x14ac:dyDescent="0.2">
      <c r="D2270" s="2">
        <v>20000</v>
      </c>
      <c r="F2270" s="2">
        <f t="shared" si="44"/>
        <v>20000</v>
      </c>
    </row>
    <row r="2271" spans="1:8" x14ac:dyDescent="0.2">
      <c r="D2271" s="2">
        <v>0</v>
      </c>
      <c r="F2271" s="2">
        <f t="shared" si="44"/>
        <v>0</v>
      </c>
    </row>
    <row r="2272" spans="1:8" x14ac:dyDescent="0.2">
      <c r="D2272" s="2">
        <v>0</v>
      </c>
      <c r="F2272" s="2">
        <f t="shared" si="44"/>
        <v>0</v>
      </c>
    </row>
    <row r="2273" spans="1:8" x14ac:dyDescent="0.2">
      <c r="D2273" s="2">
        <v>0</v>
      </c>
      <c r="F2273" s="2">
        <f t="shared" si="44"/>
        <v>0</v>
      </c>
    </row>
    <row r="2274" spans="1:8" x14ac:dyDescent="0.2">
      <c r="D2274" s="2">
        <v>0</v>
      </c>
      <c r="F2274" s="2">
        <f t="shared" si="44"/>
        <v>0</v>
      </c>
    </row>
    <row r="2275" spans="1:8" x14ac:dyDescent="0.2">
      <c r="D2275" s="2">
        <v>0</v>
      </c>
      <c r="F2275" s="2">
        <f t="shared" si="44"/>
        <v>0</v>
      </c>
    </row>
    <row r="2276" spans="1:8" x14ac:dyDescent="0.2">
      <c r="D2276" s="2">
        <v>0</v>
      </c>
      <c r="F2276" s="2">
        <f t="shared" si="44"/>
        <v>0</v>
      </c>
    </row>
    <row r="2277" spans="1:8" x14ac:dyDescent="0.2">
      <c r="D2277" s="2">
        <v>0</v>
      </c>
      <c r="F2277" s="2">
        <f t="shared" si="44"/>
        <v>0</v>
      </c>
    </row>
    <row r="2278" spans="1:8" x14ac:dyDescent="0.2">
      <c r="D2278" s="2">
        <v>0</v>
      </c>
      <c r="F2278" s="2">
        <f t="shared" si="44"/>
        <v>0</v>
      </c>
    </row>
    <row r="2279" spans="1:8" x14ac:dyDescent="0.2">
      <c r="D2279" s="2">
        <v>0</v>
      </c>
      <c r="F2279" s="2">
        <f t="shared" si="44"/>
        <v>0</v>
      </c>
    </row>
    <row r="2280" spans="1:8" x14ac:dyDescent="0.2">
      <c r="D2280" s="2">
        <v>0</v>
      </c>
      <c r="F2280" s="2">
        <f t="shared" si="44"/>
        <v>0</v>
      </c>
    </row>
    <row r="2281" spans="1:8" x14ac:dyDescent="0.2">
      <c r="D2281" s="2">
        <v>0</v>
      </c>
      <c r="F2281" s="2">
        <f t="shared" si="44"/>
        <v>0</v>
      </c>
    </row>
    <row r="2282" spans="1:8" x14ac:dyDescent="0.2">
      <c r="D2282" s="2">
        <v>0</v>
      </c>
      <c r="F2282" s="2">
        <f t="shared" si="44"/>
        <v>0</v>
      </c>
    </row>
    <row r="2283" spans="1:8" x14ac:dyDescent="0.2">
      <c r="D2283" s="2">
        <v>0</v>
      </c>
      <c r="F2283" s="2">
        <f t="shared" si="44"/>
        <v>0</v>
      </c>
    </row>
    <row r="2284" spans="1:8" x14ac:dyDescent="0.2">
      <c r="D2284" s="2">
        <v>0</v>
      </c>
      <c r="F2284" s="2">
        <f t="shared" si="44"/>
        <v>0</v>
      </c>
    </row>
    <row r="2285" spans="1:8" x14ac:dyDescent="0.2">
      <c r="A2285" t="s">
        <v>583</v>
      </c>
      <c r="B2285">
        <v>2009</v>
      </c>
      <c r="C2285" t="s">
        <v>0</v>
      </c>
      <c r="D2285">
        <v>5.0699999999999994</v>
      </c>
      <c r="E2285" t="s">
        <v>540</v>
      </c>
      <c r="F2285" s="2">
        <f>10^D2285</f>
        <v>117489.75549395289</v>
      </c>
      <c r="H2285" t="s">
        <v>582</v>
      </c>
    </row>
    <row r="2286" spans="1:8" x14ac:dyDescent="0.2">
      <c r="D2286">
        <v>4.8099999999999996</v>
      </c>
      <c r="F2286" s="2">
        <f t="shared" ref="F2286:F2349" si="45">10^D2286</f>
        <v>64565.422903465565</v>
      </c>
    </row>
    <row r="2287" spans="1:8" x14ac:dyDescent="0.2">
      <c r="D2287">
        <v>5.04</v>
      </c>
      <c r="F2287" s="2">
        <f t="shared" si="45"/>
        <v>109647.81961431868</v>
      </c>
    </row>
    <row r="2288" spans="1:8" x14ac:dyDescent="0.2">
      <c r="D2288">
        <v>5.4600000000000009</v>
      </c>
      <c r="F2288" s="2">
        <f t="shared" si="45"/>
        <v>288403.15031266143</v>
      </c>
    </row>
    <row r="2289" spans="4:6" x14ac:dyDescent="0.2">
      <c r="D2289">
        <v>5.2799999999999994</v>
      </c>
      <c r="F2289" s="2">
        <f t="shared" si="45"/>
        <v>190546.0717963246</v>
      </c>
    </row>
    <row r="2290" spans="4:6" x14ac:dyDescent="0.2">
      <c r="D2290">
        <v>5.53</v>
      </c>
      <c r="F2290" s="2">
        <f t="shared" si="45"/>
        <v>338844.15613920329</v>
      </c>
    </row>
    <row r="2291" spans="4:6" x14ac:dyDescent="0.2">
      <c r="D2291">
        <v>5.01</v>
      </c>
      <c r="F2291" s="2">
        <f t="shared" si="45"/>
        <v>102329.29922807543</v>
      </c>
    </row>
    <row r="2292" spans="4:6" x14ac:dyDescent="0.2">
      <c r="D2292">
        <v>5.3100000000000005</v>
      </c>
      <c r="F2292" s="2">
        <f t="shared" si="45"/>
        <v>204173.79446695346</v>
      </c>
    </row>
    <row r="2293" spans="4:6" x14ac:dyDescent="0.2">
      <c r="D2293">
        <v>5.05</v>
      </c>
      <c r="F2293" s="2">
        <f t="shared" si="45"/>
        <v>112201.84543019651</v>
      </c>
    </row>
    <row r="2294" spans="4:6" x14ac:dyDescent="0.2">
      <c r="D2294">
        <v>5.84</v>
      </c>
      <c r="F2294" s="2">
        <f t="shared" si="45"/>
        <v>691830.97091893724</v>
      </c>
    </row>
    <row r="2295" spans="4:6" x14ac:dyDescent="0.2">
      <c r="D2295">
        <v>5.9</v>
      </c>
      <c r="F2295" s="2">
        <f t="shared" si="45"/>
        <v>794328.23472428333</v>
      </c>
    </row>
    <row r="2296" spans="4:6" x14ac:dyDescent="0.2">
      <c r="D2296">
        <v>5.9699999999999989</v>
      </c>
      <c r="F2296" s="2">
        <f t="shared" si="45"/>
        <v>933254.30079698924</v>
      </c>
    </row>
    <row r="2297" spans="4:6" x14ac:dyDescent="0.2">
      <c r="D2297">
        <v>6.3000000000000007</v>
      </c>
      <c r="F2297" s="2">
        <f t="shared" si="45"/>
        <v>1995262.314968887</v>
      </c>
    </row>
    <row r="2298" spans="4:6" x14ac:dyDescent="0.2">
      <c r="D2298">
        <v>5.99</v>
      </c>
      <c r="F2298" s="2">
        <f t="shared" si="45"/>
        <v>977237.22095581202</v>
      </c>
    </row>
    <row r="2299" spans="4:6" x14ac:dyDescent="0.2">
      <c r="D2299">
        <v>5.379999999999999</v>
      </c>
      <c r="F2299" s="2">
        <f t="shared" si="45"/>
        <v>239883.29190194866</v>
      </c>
    </row>
    <row r="2300" spans="4:6" x14ac:dyDescent="0.2">
      <c r="D2300">
        <v>4.9999999999999991</v>
      </c>
      <c r="F2300" s="2">
        <f t="shared" si="45"/>
        <v>99999.99999999984</v>
      </c>
    </row>
    <row r="2301" spans="4:6" x14ac:dyDescent="0.2">
      <c r="D2301">
        <v>6.2200000000000006</v>
      </c>
      <c r="F2301" s="2">
        <f t="shared" si="45"/>
        <v>1659586.9074375653</v>
      </c>
    </row>
    <row r="2302" spans="4:6" x14ac:dyDescent="0.2">
      <c r="D2302">
        <v>6.6300000000000008</v>
      </c>
      <c r="F2302" s="2">
        <f t="shared" si="45"/>
        <v>4265795.1880159369</v>
      </c>
    </row>
    <row r="2303" spans="4:6" x14ac:dyDescent="0.2">
      <c r="D2303">
        <v>6.4500000000000011</v>
      </c>
      <c r="F2303" s="2">
        <f t="shared" si="45"/>
        <v>2818382.9312644652</v>
      </c>
    </row>
    <row r="2304" spans="4:6" x14ac:dyDescent="0.2">
      <c r="D2304">
        <v>6.2899999999999991</v>
      </c>
      <c r="F2304" s="2">
        <f t="shared" si="45"/>
        <v>1949844.5997580425</v>
      </c>
    </row>
    <row r="2305" spans="4:6" x14ac:dyDescent="0.2">
      <c r="D2305">
        <v>5.92</v>
      </c>
      <c r="F2305" s="2">
        <f t="shared" si="45"/>
        <v>831763.77110267128</v>
      </c>
    </row>
    <row r="2306" spans="4:6" x14ac:dyDescent="0.2">
      <c r="D2306">
        <v>7.2100000000000009</v>
      </c>
      <c r="F2306" s="2">
        <f t="shared" si="45"/>
        <v>16218100.973589335</v>
      </c>
    </row>
    <row r="2307" spans="4:6" x14ac:dyDescent="0.2">
      <c r="D2307">
        <v>7.33</v>
      </c>
      <c r="F2307" s="2">
        <f t="shared" si="45"/>
        <v>21379620.895022344</v>
      </c>
    </row>
    <row r="2308" spans="4:6" x14ac:dyDescent="0.2">
      <c r="D2308">
        <v>7.0100000000000007</v>
      </c>
      <c r="F2308" s="2">
        <f t="shared" si="45"/>
        <v>10232929.922807584</v>
      </c>
    </row>
    <row r="2309" spans="4:6" x14ac:dyDescent="0.2">
      <c r="D2309">
        <v>6.8199999999999994</v>
      </c>
      <c r="F2309" s="2">
        <f t="shared" si="45"/>
        <v>6606934.4800759638</v>
      </c>
    </row>
    <row r="2310" spans="4:6" x14ac:dyDescent="0.2">
      <c r="D2310">
        <v>7.11</v>
      </c>
      <c r="F2310" s="2">
        <f t="shared" si="45"/>
        <v>12882495.516931379</v>
      </c>
    </row>
    <row r="2311" spans="4:6" x14ac:dyDescent="0.2">
      <c r="D2311">
        <v>6.8000000000000007</v>
      </c>
      <c r="F2311" s="2">
        <f t="shared" si="45"/>
        <v>6309573.444801949</v>
      </c>
    </row>
    <row r="2312" spans="4:6" x14ac:dyDescent="0.2">
      <c r="D2312">
        <v>6.99</v>
      </c>
      <c r="F2312" s="2">
        <f t="shared" si="45"/>
        <v>9772372.2095581144</v>
      </c>
    </row>
    <row r="2313" spans="4:6" x14ac:dyDescent="0.2">
      <c r="D2313">
        <v>6.6</v>
      </c>
      <c r="F2313" s="2">
        <f t="shared" si="45"/>
        <v>3981071.705534976</v>
      </c>
    </row>
    <row r="2314" spans="4:6" x14ac:dyDescent="0.2">
      <c r="D2314">
        <v>6.91</v>
      </c>
      <c r="F2314" s="2">
        <f t="shared" si="45"/>
        <v>8128305.1616410045</v>
      </c>
    </row>
    <row r="2315" spans="4:6" x14ac:dyDescent="0.2">
      <c r="D2315">
        <v>6.91</v>
      </c>
      <c r="F2315" s="2">
        <f t="shared" si="45"/>
        <v>8128305.1616410045</v>
      </c>
    </row>
    <row r="2316" spans="4:6" x14ac:dyDescent="0.2">
      <c r="D2316">
        <v>7.7</v>
      </c>
      <c r="F2316" s="2">
        <f t="shared" si="45"/>
        <v>50118723.362727284</v>
      </c>
    </row>
    <row r="2317" spans="4:6" x14ac:dyDescent="0.2">
      <c r="D2317">
        <v>6.5600000000000005</v>
      </c>
      <c r="F2317" s="2">
        <f t="shared" si="45"/>
        <v>3630780.5477010245</v>
      </c>
    </row>
    <row r="2318" spans="4:6" x14ac:dyDescent="0.2">
      <c r="D2318">
        <v>6.1499999999999995</v>
      </c>
      <c r="F2318" s="2">
        <f t="shared" si="45"/>
        <v>1412537.5446227542</v>
      </c>
    </row>
    <row r="2319" spans="4:6" x14ac:dyDescent="0.2">
      <c r="D2319">
        <v>6.4399999999999995</v>
      </c>
      <c r="F2319" s="2">
        <f t="shared" si="45"/>
        <v>2754228.7033381681</v>
      </c>
    </row>
    <row r="2320" spans="4:6" x14ac:dyDescent="0.2">
      <c r="D2320">
        <v>6.0600000000000005</v>
      </c>
      <c r="F2320" s="2">
        <f t="shared" si="45"/>
        <v>1148153.6214968855</v>
      </c>
    </row>
    <row r="2321" spans="4:6" x14ac:dyDescent="0.2">
      <c r="D2321">
        <v>6.7900000000000009</v>
      </c>
      <c r="F2321" s="2">
        <f t="shared" si="45"/>
        <v>6165950.0186148491</v>
      </c>
    </row>
    <row r="2322" spans="4:6" x14ac:dyDescent="0.2">
      <c r="D2322">
        <v>6.6199999999999992</v>
      </c>
      <c r="F2322" s="2">
        <f t="shared" si="45"/>
        <v>4168693.8347033495</v>
      </c>
    </row>
    <row r="2323" spans="4:6" x14ac:dyDescent="0.2">
      <c r="D2323">
        <v>6.27</v>
      </c>
      <c r="F2323" s="2">
        <f t="shared" si="45"/>
        <v>1862087.1366628683</v>
      </c>
    </row>
    <row r="2324" spans="4:6" x14ac:dyDescent="0.2">
      <c r="D2324">
        <v>6.7099999999999991</v>
      </c>
      <c r="F2324" s="2">
        <f t="shared" si="45"/>
        <v>5128613.8399136476</v>
      </c>
    </row>
    <row r="2325" spans="4:6" x14ac:dyDescent="0.2">
      <c r="D2325">
        <v>6.58</v>
      </c>
      <c r="F2325" s="2">
        <f t="shared" si="45"/>
        <v>3801893.963205616</v>
      </c>
    </row>
    <row r="2326" spans="4:6" x14ac:dyDescent="0.2">
      <c r="D2326">
        <v>6.71</v>
      </c>
      <c r="F2326" s="2">
        <f t="shared" si="45"/>
        <v>5128613.8399136569</v>
      </c>
    </row>
    <row r="2327" spans="4:6" x14ac:dyDescent="0.2">
      <c r="D2327">
        <v>7.88</v>
      </c>
      <c r="F2327" s="2">
        <f t="shared" si="45"/>
        <v>75857757.502918601</v>
      </c>
    </row>
    <row r="2328" spans="4:6" x14ac:dyDescent="0.2">
      <c r="D2328">
        <v>7.6099999999999994</v>
      </c>
      <c r="F2328" s="2">
        <f t="shared" si="45"/>
        <v>40738027.780411348</v>
      </c>
    </row>
    <row r="2329" spans="4:6" x14ac:dyDescent="0.2">
      <c r="D2329">
        <v>7.879999999999999</v>
      </c>
      <c r="F2329" s="2">
        <f t="shared" si="45"/>
        <v>75857757.502918333</v>
      </c>
    </row>
    <row r="2330" spans="4:6" x14ac:dyDescent="0.2">
      <c r="D2330">
        <v>7.48</v>
      </c>
      <c r="F2330" s="2">
        <f t="shared" si="45"/>
        <v>30199517.204020258</v>
      </c>
    </row>
    <row r="2331" spans="4:6" x14ac:dyDescent="0.2">
      <c r="D2331">
        <v>7.26</v>
      </c>
      <c r="F2331" s="2">
        <f t="shared" si="45"/>
        <v>18197008.586099867</v>
      </c>
    </row>
    <row r="2332" spans="4:6" x14ac:dyDescent="0.2">
      <c r="D2332">
        <v>6.6899999999999995</v>
      </c>
      <c r="F2332" s="2">
        <f t="shared" si="45"/>
        <v>4897788.1936844625</v>
      </c>
    </row>
    <row r="2333" spans="4:6" x14ac:dyDescent="0.2">
      <c r="D2333">
        <v>7.02</v>
      </c>
      <c r="F2333" s="2">
        <f t="shared" si="45"/>
        <v>10471285.480509</v>
      </c>
    </row>
    <row r="2334" spans="4:6" x14ac:dyDescent="0.2">
      <c r="D2334">
        <v>7.47</v>
      </c>
      <c r="F2334" s="2">
        <f t="shared" si="45"/>
        <v>29512092.266663849</v>
      </c>
    </row>
    <row r="2335" spans="4:6" x14ac:dyDescent="0.2">
      <c r="D2335">
        <v>7.83</v>
      </c>
      <c r="F2335" s="2">
        <f t="shared" si="45"/>
        <v>67608297.539198399</v>
      </c>
    </row>
    <row r="2336" spans="4:6" x14ac:dyDescent="0.2">
      <c r="D2336">
        <v>7.5900000000000007</v>
      </c>
      <c r="F2336" s="2">
        <f t="shared" si="45"/>
        <v>38904514.499428138</v>
      </c>
    </row>
    <row r="2337" spans="4:6" x14ac:dyDescent="0.2">
      <c r="D2337">
        <v>7.9499999999999993</v>
      </c>
      <c r="F2337" s="2">
        <f t="shared" si="45"/>
        <v>89125093.81337443</v>
      </c>
    </row>
    <row r="2338" spans="4:6" x14ac:dyDescent="0.2">
      <c r="D2338">
        <v>7.6</v>
      </c>
      <c r="F2338" s="2">
        <f t="shared" si="45"/>
        <v>39810717.055349804</v>
      </c>
    </row>
    <row r="2339" spans="4:6" x14ac:dyDescent="0.2">
      <c r="D2339">
        <v>7.0300000000000011</v>
      </c>
      <c r="F2339" s="2">
        <f t="shared" si="45"/>
        <v>10715193.052376106</v>
      </c>
    </row>
    <row r="2340" spans="4:6" x14ac:dyDescent="0.2">
      <c r="D2340">
        <v>6.3000000000000007</v>
      </c>
      <c r="F2340" s="2">
        <f t="shared" si="45"/>
        <v>1995262.314968887</v>
      </c>
    </row>
    <row r="2341" spans="4:6" x14ac:dyDescent="0.2">
      <c r="D2341">
        <v>8.4</v>
      </c>
      <c r="F2341" s="2">
        <f t="shared" si="45"/>
        <v>251188643.15095839</v>
      </c>
    </row>
    <row r="2342" spans="4:6" x14ac:dyDescent="0.2">
      <c r="D2342">
        <v>7.76</v>
      </c>
      <c r="F2342" s="2">
        <f t="shared" si="45"/>
        <v>57543993.73371572</v>
      </c>
    </row>
    <row r="2343" spans="4:6" x14ac:dyDescent="0.2">
      <c r="D2343">
        <v>8.31</v>
      </c>
      <c r="F2343" s="2">
        <f t="shared" si="45"/>
        <v>204173794.4669534</v>
      </c>
    </row>
    <row r="2344" spans="4:6" x14ac:dyDescent="0.2">
      <c r="D2344">
        <v>6.76</v>
      </c>
      <c r="F2344" s="2">
        <f t="shared" si="45"/>
        <v>5754399.373371576</v>
      </c>
    </row>
    <row r="2345" spans="4:6" x14ac:dyDescent="0.2">
      <c r="D2345">
        <v>5.9300000000000006</v>
      </c>
      <c r="F2345" s="2">
        <f t="shared" si="45"/>
        <v>851138.0382023782</v>
      </c>
    </row>
    <row r="2346" spans="4:6" x14ac:dyDescent="0.2">
      <c r="D2346">
        <v>7.41</v>
      </c>
      <c r="F2346" s="2">
        <f t="shared" si="45"/>
        <v>25703957.827688646</v>
      </c>
    </row>
    <row r="2347" spans="4:6" x14ac:dyDescent="0.2">
      <c r="D2347">
        <v>7</v>
      </c>
      <c r="F2347" s="2">
        <f t="shared" si="45"/>
        <v>10000000</v>
      </c>
    </row>
    <row r="2348" spans="4:6" x14ac:dyDescent="0.2">
      <c r="D2348">
        <v>7.01</v>
      </c>
      <c r="F2348" s="2">
        <f t="shared" si="45"/>
        <v>10232929.922807546</v>
      </c>
    </row>
    <row r="2349" spans="4:6" x14ac:dyDescent="0.2">
      <c r="D2349">
        <v>5.9399999999999995</v>
      </c>
      <c r="F2349" s="2">
        <f t="shared" si="45"/>
        <v>870963.58995608077</v>
      </c>
    </row>
    <row r="2350" spans="4:6" x14ac:dyDescent="0.2">
      <c r="D2350">
        <v>6.58</v>
      </c>
      <c r="F2350" s="2">
        <f t="shared" ref="F2350:F2413" si="46">10^D2350</f>
        <v>3801893.963205616</v>
      </c>
    </row>
    <row r="2351" spans="4:6" x14ac:dyDescent="0.2">
      <c r="D2351">
        <v>6.08</v>
      </c>
      <c r="F2351" s="2">
        <f t="shared" si="46"/>
        <v>1202264.4346174158</v>
      </c>
    </row>
    <row r="2352" spans="4:6" x14ac:dyDescent="0.2">
      <c r="D2352">
        <v>5.9399999999999995</v>
      </c>
      <c r="F2352" s="2">
        <f t="shared" si="46"/>
        <v>870963.58995608077</v>
      </c>
    </row>
    <row r="2353" spans="4:6" x14ac:dyDescent="0.2">
      <c r="D2353">
        <v>5.65</v>
      </c>
      <c r="F2353" s="2">
        <f t="shared" si="46"/>
        <v>446683.59215096442</v>
      </c>
    </row>
    <row r="2354" spans="4:6" x14ac:dyDescent="0.2">
      <c r="D2354">
        <v>6.3000000000000007</v>
      </c>
      <c r="F2354" s="2">
        <f t="shared" si="46"/>
        <v>1995262.314968887</v>
      </c>
    </row>
    <row r="2355" spans="4:6" x14ac:dyDescent="0.2">
      <c r="D2355">
        <v>6.01</v>
      </c>
      <c r="F2355" s="2">
        <f t="shared" si="46"/>
        <v>1023292.9922807553</v>
      </c>
    </row>
    <row r="2356" spans="4:6" x14ac:dyDescent="0.2">
      <c r="D2356">
        <v>6.33</v>
      </c>
      <c r="F2356" s="2">
        <f t="shared" si="46"/>
        <v>2137962.0895022359</v>
      </c>
    </row>
    <row r="2357" spans="4:6" x14ac:dyDescent="0.2">
      <c r="D2357">
        <v>6.2299999999999995</v>
      </c>
      <c r="F2357" s="2">
        <f t="shared" si="46"/>
        <v>1698243.6524617458</v>
      </c>
    </row>
    <row r="2358" spans="4:6" x14ac:dyDescent="0.2">
      <c r="D2358">
        <v>6.0100000000000007</v>
      </c>
      <c r="F2358" s="2">
        <f t="shared" si="46"/>
        <v>1023292.9922807572</v>
      </c>
    </row>
    <row r="2359" spans="4:6" x14ac:dyDescent="0.2">
      <c r="D2359">
        <v>6.35</v>
      </c>
      <c r="F2359" s="2">
        <f t="shared" si="46"/>
        <v>2238721.1385683389</v>
      </c>
    </row>
    <row r="2360" spans="4:6" x14ac:dyDescent="0.2">
      <c r="D2360">
        <v>6.96</v>
      </c>
      <c r="F2360" s="2">
        <f t="shared" si="46"/>
        <v>9120108.3935591076</v>
      </c>
    </row>
    <row r="2361" spans="4:6" x14ac:dyDescent="0.2">
      <c r="D2361">
        <v>7.24</v>
      </c>
      <c r="F2361" s="2">
        <f t="shared" si="46"/>
        <v>17378008.287493788</v>
      </c>
    </row>
    <row r="2362" spans="4:6" x14ac:dyDescent="0.2">
      <c r="D2362">
        <v>7.4499999999999993</v>
      </c>
      <c r="F2362" s="2">
        <f t="shared" si="46"/>
        <v>28183829.312644534</v>
      </c>
    </row>
    <row r="2363" spans="4:6" x14ac:dyDescent="0.2">
      <c r="D2363">
        <v>7.19</v>
      </c>
      <c r="F2363" s="2">
        <f t="shared" si="46"/>
        <v>15488166.189124851</v>
      </c>
    </row>
    <row r="2364" spans="4:6" x14ac:dyDescent="0.2">
      <c r="D2364">
        <v>7.3</v>
      </c>
      <c r="F2364" s="2">
        <f t="shared" si="46"/>
        <v>19952623.149688821</v>
      </c>
    </row>
    <row r="2365" spans="4:6" x14ac:dyDescent="0.2">
      <c r="D2365">
        <v>7.0699999999999994</v>
      </c>
      <c r="F2365" s="2">
        <f t="shared" si="46"/>
        <v>11748975.549395295</v>
      </c>
    </row>
    <row r="2366" spans="4:6" x14ac:dyDescent="0.2">
      <c r="D2366">
        <v>6.4799999999999986</v>
      </c>
      <c r="F2366" s="2">
        <f t="shared" si="46"/>
        <v>3019951.7204020116</v>
      </c>
    </row>
    <row r="2367" spans="4:6" x14ac:dyDescent="0.2">
      <c r="D2367">
        <v>7.07</v>
      </c>
      <c r="F2367" s="2">
        <f t="shared" si="46"/>
        <v>11748975.549395336</v>
      </c>
    </row>
    <row r="2368" spans="4:6" x14ac:dyDescent="0.2">
      <c r="D2368">
        <v>8.26</v>
      </c>
      <c r="F2368" s="2">
        <f t="shared" si="46"/>
        <v>181970085.86099887</v>
      </c>
    </row>
    <row r="2369" spans="4:6" x14ac:dyDescent="0.2">
      <c r="D2369">
        <v>7.66</v>
      </c>
      <c r="F2369" s="2">
        <f t="shared" si="46"/>
        <v>45708818.961487569</v>
      </c>
    </row>
    <row r="2370" spans="4:6" x14ac:dyDescent="0.2">
      <c r="D2370">
        <v>7.1099999999999994</v>
      </c>
      <c r="F2370" s="2">
        <f t="shared" si="46"/>
        <v>12882495.516931335</v>
      </c>
    </row>
    <row r="2371" spans="4:6" x14ac:dyDescent="0.2">
      <c r="D2371">
        <v>7.5399999999999991</v>
      </c>
      <c r="F2371" s="2">
        <f t="shared" si="46"/>
        <v>34673685.045253128</v>
      </c>
    </row>
    <row r="2372" spans="4:6" x14ac:dyDescent="0.2">
      <c r="D2372">
        <v>3.8</v>
      </c>
      <c r="F2372" s="2">
        <f t="shared" si="46"/>
        <v>6309.5734448019384</v>
      </c>
    </row>
    <row r="2373" spans="4:6" x14ac:dyDescent="0.2">
      <c r="D2373">
        <v>4.1399999999999997</v>
      </c>
      <c r="F2373" s="2">
        <f t="shared" si="46"/>
        <v>13803.842646028841</v>
      </c>
    </row>
    <row r="2374" spans="4:6" x14ac:dyDescent="0.2">
      <c r="D2374">
        <v>3.95</v>
      </c>
      <c r="F2374" s="2">
        <f t="shared" si="46"/>
        <v>8912.5093813374679</v>
      </c>
    </row>
    <row r="2375" spans="4:6" x14ac:dyDescent="0.2">
      <c r="D2375">
        <v>3.66</v>
      </c>
      <c r="F2375" s="2">
        <f t="shared" si="46"/>
        <v>4570.8818961487532</v>
      </c>
    </row>
    <row r="2376" spans="4:6" x14ac:dyDescent="0.2">
      <c r="D2376">
        <v>3.1099999999999994</v>
      </c>
      <c r="F2376" s="2">
        <f t="shared" si="46"/>
        <v>1288.2495516931335</v>
      </c>
    </row>
    <row r="2377" spans="4:6" x14ac:dyDescent="0.2">
      <c r="D2377">
        <v>4.2</v>
      </c>
      <c r="F2377" s="2">
        <f t="shared" si="46"/>
        <v>15848.931924611146</v>
      </c>
    </row>
    <row r="2378" spans="4:6" x14ac:dyDescent="0.2">
      <c r="D2378">
        <v>4.1499999999999995</v>
      </c>
      <c r="F2378" s="2">
        <f t="shared" si="46"/>
        <v>14125.375446227536</v>
      </c>
    </row>
    <row r="2379" spans="4:6" x14ac:dyDescent="0.2">
      <c r="D2379">
        <v>4.6300000000000008</v>
      </c>
      <c r="F2379" s="2">
        <f t="shared" si="46"/>
        <v>42657.951880159351</v>
      </c>
    </row>
    <row r="2380" spans="4:6" x14ac:dyDescent="0.2">
      <c r="D2380">
        <v>4.88</v>
      </c>
      <c r="F2380" s="2">
        <f t="shared" si="46"/>
        <v>75857.757502918481</v>
      </c>
    </row>
    <row r="2381" spans="4:6" x14ac:dyDescent="0.2">
      <c r="D2381">
        <v>5.49</v>
      </c>
      <c r="F2381" s="2">
        <f t="shared" si="46"/>
        <v>309029.54325135931</v>
      </c>
    </row>
    <row r="2382" spans="4:6" x14ac:dyDescent="0.2">
      <c r="D2382">
        <v>4.8</v>
      </c>
      <c r="F2382" s="2">
        <f t="shared" si="46"/>
        <v>63095.734448019342</v>
      </c>
    </row>
    <row r="2383" spans="4:6" x14ac:dyDescent="0.2">
      <c r="D2383">
        <v>5.3299999999999992</v>
      </c>
      <c r="F2383" s="2">
        <f t="shared" si="46"/>
        <v>213796.20895022296</v>
      </c>
    </row>
    <row r="2384" spans="4:6" x14ac:dyDescent="0.2">
      <c r="D2384">
        <v>4.9600000000000009</v>
      </c>
      <c r="F2384" s="2">
        <f t="shared" si="46"/>
        <v>91201.083935591188</v>
      </c>
    </row>
    <row r="2385" spans="4:6" x14ac:dyDescent="0.2">
      <c r="D2385">
        <v>4.9399999999999995</v>
      </c>
      <c r="F2385" s="2">
        <f t="shared" si="46"/>
        <v>87096.358995608127</v>
      </c>
    </row>
    <row r="2386" spans="4:6" x14ac:dyDescent="0.2">
      <c r="D2386">
        <v>4.5599999999999996</v>
      </c>
      <c r="F2386" s="2">
        <f t="shared" si="46"/>
        <v>36307.805477010166</v>
      </c>
    </row>
    <row r="2387" spans="4:6" x14ac:dyDescent="0.2">
      <c r="D2387">
        <v>5.23</v>
      </c>
      <c r="F2387" s="2">
        <f t="shared" si="46"/>
        <v>169824.36524617471</v>
      </c>
    </row>
    <row r="2388" spans="4:6" x14ac:dyDescent="0.2">
      <c r="D2388">
        <v>5.2700000000000005</v>
      </c>
      <c r="F2388" s="2">
        <f t="shared" si="46"/>
        <v>186208.71366628728</v>
      </c>
    </row>
    <row r="2389" spans="4:6" x14ac:dyDescent="0.2">
      <c r="D2389">
        <v>4.9400000000000013</v>
      </c>
      <c r="F2389" s="2">
        <f t="shared" si="46"/>
        <v>87096.358995608447</v>
      </c>
    </row>
    <row r="2390" spans="4:6" x14ac:dyDescent="0.2">
      <c r="D2390">
        <v>5.01</v>
      </c>
      <c r="F2390" s="2">
        <f t="shared" si="46"/>
        <v>102329.29922807543</v>
      </c>
    </row>
    <row r="2391" spans="4:6" x14ac:dyDescent="0.2">
      <c r="D2391">
        <v>5.14</v>
      </c>
      <c r="F2391" s="2">
        <f t="shared" si="46"/>
        <v>138038.42646028858</v>
      </c>
    </row>
    <row r="2392" spans="4:6" x14ac:dyDescent="0.2">
      <c r="D2392">
        <v>7.4300000000000006</v>
      </c>
      <c r="F2392" s="2">
        <f t="shared" si="46"/>
        <v>26915348.039269254</v>
      </c>
    </row>
    <row r="2393" spans="4:6" x14ac:dyDescent="0.2">
      <c r="D2393">
        <v>7.38</v>
      </c>
      <c r="F2393" s="2">
        <f t="shared" si="46"/>
        <v>23988329.19019492</v>
      </c>
    </row>
    <row r="2394" spans="4:6" x14ac:dyDescent="0.2">
      <c r="D2394">
        <v>8.4200000000000017</v>
      </c>
      <c r="F2394" s="2">
        <f t="shared" si="46"/>
        <v>263026799.18953946</v>
      </c>
    </row>
    <row r="2395" spans="4:6" x14ac:dyDescent="0.2">
      <c r="D2395">
        <v>7.81</v>
      </c>
      <c r="F2395" s="2">
        <f t="shared" si="46"/>
        <v>64565422.903465554</v>
      </c>
    </row>
    <row r="2396" spans="4:6" x14ac:dyDescent="0.2">
      <c r="D2396">
        <v>8.33</v>
      </c>
      <c r="F2396" s="2">
        <f t="shared" si="46"/>
        <v>213796208.95022365</v>
      </c>
    </row>
    <row r="2397" spans="4:6" x14ac:dyDescent="0.2">
      <c r="D2397">
        <v>7.12</v>
      </c>
      <c r="F2397" s="2">
        <f t="shared" si="46"/>
        <v>13182567.385564111</v>
      </c>
    </row>
    <row r="2398" spans="4:6" x14ac:dyDescent="0.2">
      <c r="D2398">
        <v>7.0500000000000007</v>
      </c>
      <c r="F2398" s="2">
        <f t="shared" si="46"/>
        <v>11220184.543019677</v>
      </c>
    </row>
    <row r="2399" spans="4:6" x14ac:dyDescent="0.2">
      <c r="D2399">
        <v>7.4799999999999995</v>
      </c>
      <c r="F2399" s="2">
        <f t="shared" si="46"/>
        <v>30199517.20402015</v>
      </c>
    </row>
    <row r="2400" spans="4:6" x14ac:dyDescent="0.2">
      <c r="D2400">
        <v>7.2799999999999994</v>
      </c>
      <c r="F2400" s="2">
        <f t="shared" si="46"/>
        <v>19054607.1796325</v>
      </c>
    </row>
    <row r="2401" spans="4:6" x14ac:dyDescent="0.2">
      <c r="D2401">
        <v>7.28</v>
      </c>
      <c r="F2401" s="2">
        <f t="shared" si="46"/>
        <v>19054607.1796325</v>
      </c>
    </row>
    <row r="2402" spans="4:6" x14ac:dyDescent="0.2">
      <c r="D2402">
        <v>7.7200000000000006</v>
      </c>
      <c r="F2402" s="2">
        <f t="shared" si="46"/>
        <v>52480746.02497749</v>
      </c>
    </row>
    <row r="2403" spans="4:6" x14ac:dyDescent="0.2">
      <c r="D2403">
        <v>6.92</v>
      </c>
      <c r="F2403" s="2">
        <f t="shared" si="46"/>
        <v>8317637.7110267216</v>
      </c>
    </row>
    <row r="2404" spans="4:6" x14ac:dyDescent="0.2">
      <c r="D2404">
        <v>3.59</v>
      </c>
      <c r="F2404" s="2">
        <f t="shared" si="46"/>
        <v>3890.451449942811</v>
      </c>
    </row>
    <row r="2405" spans="4:6" x14ac:dyDescent="0.2">
      <c r="D2405">
        <v>3.7199999999999998</v>
      </c>
      <c r="F2405" s="2">
        <f t="shared" si="46"/>
        <v>5248.0746024977261</v>
      </c>
    </row>
    <row r="2406" spans="4:6" x14ac:dyDescent="0.2">
      <c r="D2406">
        <v>3.6500000000000004</v>
      </c>
      <c r="F2406" s="2">
        <f t="shared" si="46"/>
        <v>4466.8359215096425</v>
      </c>
    </row>
    <row r="2407" spans="4:6" x14ac:dyDescent="0.2">
      <c r="D2407">
        <v>2.9700000000000006</v>
      </c>
      <c r="F2407" s="2">
        <f t="shared" si="46"/>
        <v>933.25430079699277</v>
      </c>
    </row>
    <row r="2408" spans="4:6" x14ac:dyDescent="0.2">
      <c r="D2408">
        <v>3.91</v>
      </c>
      <c r="F2408" s="2">
        <f t="shared" si="46"/>
        <v>8128.3051616410066</v>
      </c>
    </row>
    <row r="2409" spans="4:6" x14ac:dyDescent="0.2">
      <c r="D2409">
        <v>4.2300000000000004</v>
      </c>
      <c r="F2409" s="2">
        <f t="shared" si="46"/>
        <v>16982.436524617482</v>
      </c>
    </row>
    <row r="2410" spans="4:6" x14ac:dyDescent="0.2">
      <c r="D2410">
        <v>4.0299999999999994</v>
      </c>
      <c r="F2410" s="2">
        <f t="shared" si="46"/>
        <v>10715.193052376051</v>
      </c>
    </row>
    <row r="2411" spans="4:6" x14ac:dyDescent="0.2">
      <c r="D2411">
        <v>3.0600000000000005</v>
      </c>
      <c r="F2411" s="2">
        <f t="shared" si="46"/>
        <v>1148.1536214968849</v>
      </c>
    </row>
    <row r="2412" spans="4:6" x14ac:dyDescent="0.2">
      <c r="D2412">
        <v>2.92</v>
      </c>
      <c r="F2412" s="2">
        <f t="shared" si="46"/>
        <v>831.7637711026714</v>
      </c>
    </row>
    <row r="2413" spans="4:6" x14ac:dyDescent="0.2">
      <c r="D2413">
        <v>5.47</v>
      </c>
      <c r="F2413" s="2">
        <f t="shared" si="46"/>
        <v>295120.92266663886</v>
      </c>
    </row>
    <row r="2414" spans="4:6" x14ac:dyDescent="0.2">
      <c r="D2414">
        <v>5.17</v>
      </c>
      <c r="F2414" s="2">
        <f t="shared" ref="F2414:F2477" si="47">10^D2414</f>
        <v>147910.83881682079</v>
      </c>
    </row>
    <row r="2415" spans="4:6" x14ac:dyDescent="0.2">
      <c r="D2415">
        <v>5.3299999999999992</v>
      </c>
      <c r="F2415" s="2">
        <f t="shared" si="47"/>
        <v>213796.20895022296</v>
      </c>
    </row>
    <row r="2416" spans="4:6" x14ac:dyDescent="0.2">
      <c r="D2416">
        <v>5.3500000000000005</v>
      </c>
      <c r="F2416" s="2">
        <f t="shared" si="47"/>
        <v>223872.11385683445</v>
      </c>
    </row>
    <row r="2417" spans="4:6" x14ac:dyDescent="0.2">
      <c r="D2417">
        <v>4.68</v>
      </c>
      <c r="F2417" s="2">
        <f t="shared" si="47"/>
        <v>47863.009232263823</v>
      </c>
    </row>
    <row r="2418" spans="4:6" x14ac:dyDescent="0.2">
      <c r="D2418">
        <v>4.8199999999999994</v>
      </c>
      <c r="F2418" s="2">
        <f t="shared" si="47"/>
        <v>66069.344800759616</v>
      </c>
    </row>
    <row r="2419" spans="4:6" x14ac:dyDescent="0.2">
      <c r="D2419">
        <v>5.17</v>
      </c>
      <c r="F2419" s="2">
        <f t="shared" si="47"/>
        <v>147910.83881682079</v>
      </c>
    </row>
    <row r="2420" spans="4:6" x14ac:dyDescent="0.2">
      <c r="D2420">
        <v>5.52</v>
      </c>
      <c r="F2420" s="2">
        <f t="shared" si="47"/>
        <v>331131.12148259126</v>
      </c>
    </row>
    <row r="2421" spans="4:6" x14ac:dyDescent="0.2">
      <c r="D2421">
        <v>5.6199999999999992</v>
      </c>
      <c r="F2421" s="2">
        <f t="shared" si="47"/>
        <v>416869.38347033522</v>
      </c>
    </row>
    <row r="2422" spans="4:6" x14ac:dyDescent="0.2">
      <c r="D2422">
        <v>4.8999999999999995</v>
      </c>
      <c r="F2422" s="2">
        <f t="shared" si="47"/>
        <v>79432.823472428106</v>
      </c>
    </row>
    <row r="2423" spans="4:6" x14ac:dyDescent="0.2">
      <c r="D2423">
        <v>4.9099999999999993</v>
      </c>
      <c r="F2423" s="2">
        <f t="shared" si="47"/>
        <v>81283.051616409866</v>
      </c>
    </row>
    <row r="2424" spans="4:6" x14ac:dyDescent="0.2">
      <c r="D2424">
        <v>5.49</v>
      </c>
      <c r="F2424" s="2">
        <f t="shared" si="47"/>
        <v>309029.54325135931</v>
      </c>
    </row>
    <row r="2425" spans="4:6" x14ac:dyDescent="0.2">
      <c r="D2425">
        <v>5.0400000000000009</v>
      </c>
      <c r="F2425" s="2">
        <f t="shared" si="47"/>
        <v>109647.81961431887</v>
      </c>
    </row>
    <row r="2426" spans="4:6" x14ac:dyDescent="0.2">
      <c r="D2426">
        <v>4.63</v>
      </c>
      <c r="F2426" s="2">
        <f t="shared" si="47"/>
        <v>42657.951880159271</v>
      </c>
    </row>
    <row r="2427" spans="4:6" x14ac:dyDescent="0.2">
      <c r="D2427">
        <v>5.15</v>
      </c>
      <c r="F2427" s="2">
        <f t="shared" si="47"/>
        <v>141253.75446227577</v>
      </c>
    </row>
    <row r="2428" spans="4:6" x14ac:dyDescent="0.2">
      <c r="D2428">
        <v>5.49</v>
      </c>
      <c r="F2428" s="2">
        <f t="shared" si="47"/>
        <v>309029.54325135931</v>
      </c>
    </row>
    <row r="2429" spans="4:6" x14ac:dyDescent="0.2">
      <c r="D2429">
        <v>5.8900000000000006</v>
      </c>
      <c r="F2429" s="2">
        <f t="shared" si="47"/>
        <v>776247.11662869353</v>
      </c>
    </row>
    <row r="2430" spans="4:6" x14ac:dyDescent="0.2">
      <c r="D2430">
        <v>5.96</v>
      </c>
      <c r="F2430" s="2">
        <f t="shared" si="47"/>
        <v>912010.83935591124</v>
      </c>
    </row>
    <row r="2431" spans="4:6" x14ac:dyDescent="0.2">
      <c r="D2431">
        <v>6.33</v>
      </c>
      <c r="F2431" s="2">
        <f t="shared" si="47"/>
        <v>2137962.0895022359</v>
      </c>
    </row>
    <row r="2432" spans="4:6" x14ac:dyDescent="0.2">
      <c r="D2432">
        <v>5.9499999999999993</v>
      </c>
      <c r="F2432" s="2">
        <f t="shared" si="47"/>
        <v>891250.93813374557</v>
      </c>
    </row>
    <row r="2433" spans="4:6" x14ac:dyDescent="0.2">
      <c r="D2433">
        <v>6.6099999999999994</v>
      </c>
      <c r="F2433" s="2">
        <f t="shared" si="47"/>
        <v>4073802.7780411304</v>
      </c>
    </row>
    <row r="2434" spans="4:6" x14ac:dyDescent="0.2">
      <c r="D2434">
        <v>6.41</v>
      </c>
      <c r="F2434" s="2">
        <f t="shared" si="47"/>
        <v>2570395.782768866</v>
      </c>
    </row>
    <row r="2435" spans="4:6" x14ac:dyDescent="0.2">
      <c r="D2435">
        <v>5.83</v>
      </c>
      <c r="F2435" s="2">
        <f t="shared" si="47"/>
        <v>676082.97539198259</v>
      </c>
    </row>
    <row r="2436" spans="4:6" x14ac:dyDescent="0.2">
      <c r="D2436">
        <v>5.41</v>
      </c>
      <c r="F2436" s="2">
        <f t="shared" si="47"/>
        <v>257039.57827688678</v>
      </c>
    </row>
    <row r="2437" spans="4:6" x14ac:dyDescent="0.2">
      <c r="D2437">
        <v>6.88</v>
      </c>
      <c r="F2437" s="2">
        <f t="shared" si="47"/>
        <v>7585775.7502918513</v>
      </c>
    </row>
    <row r="2438" spans="4:6" x14ac:dyDescent="0.2">
      <c r="D2438">
        <v>6.3100000000000005</v>
      </c>
      <c r="F2438" s="2">
        <f t="shared" si="47"/>
        <v>2041737.9446695333</v>
      </c>
    </row>
    <row r="2439" spans="4:6" x14ac:dyDescent="0.2">
      <c r="D2439">
        <v>6.1800000000000006</v>
      </c>
      <c r="F2439" s="2">
        <f t="shared" si="47"/>
        <v>1513561.248436213</v>
      </c>
    </row>
    <row r="2440" spans="4:6" x14ac:dyDescent="0.2">
      <c r="D2440">
        <v>6.87</v>
      </c>
      <c r="F2440" s="2">
        <f t="shared" si="47"/>
        <v>7413102.4130091891</v>
      </c>
    </row>
    <row r="2441" spans="4:6" x14ac:dyDescent="0.2">
      <c r="D2441">
        <v>6.47</v>
      </c>
      <c r="F2441" s="2">
        <f t="shared" si="47"/>
        <v>2951209.2266663867</v>
      </c>
    </row>
    <row r="2442" spans="4:6" x14ac:dyDescent="0.2">
      <c r="D2442">
        <v>6.8800000000000008</v>
      </c>
      <c r="F2442" s="2">
        <f t="shared" si="47"/>
        <v>7585775.7502918644</v>
      </c>
    </row>
    <row r="2443" spans="4:6" x14ac:dyDescent="0.2">
      <c r="D2443">
        <v>5.6899999999999995</v>
      </c>
      <c r="F2443" s="2">
        <f t="shared" si="47"/>
        <v>489778.81936844654</v>
      </c>
    </row>
    <row r="2444" spans="4:6" x14ac:dyDescent="0.2">
      <c r="D2444">
        <v>8.0400000000000009</v>
      </c>
      <c r="F2444" s="2">
        <f t="shared" si="47"/>
        <v>109647819.61431904</v>
      </c>
    </row>
    <row r="2445" spans="4:6" x14ac:dyDescent="0.2">
      <c r="D2445">
        <v>6.6099999999999994</v>
      </c>
      <c r="F2445" s="2">
        <f t="shared" si="47"/>
        <v>4073802.7780411304</v>
      </c>
    </row>
    <row r="2446" spans="4:6" x14ac:dyDescent="0.2">
      <c r="D2446">
        <v>8.0300000000000011</v>
      </c>
      <c r="F2446" s="2">
        <f t="shared" si="47"/>
        <v>107151930.52376118</v>
      </c>
    </row>
    <row r="2447" spans="4:6" x14ac:dyDescent="0.2">
      <c r="D2447">
        <v>7.32</v>
      </c>
      <c r="F2447" s="2">
        <f t="shared" si="47"/>
        <v>20892961.308540419</v>
      </c>
    </row>
    <row r="2448" spans="4:6" x14ac:dyDescent="0.2">
      <c r="D2448">
        <v>6.6000000000000005</v>
      </c>
      <c r="F2448" s="2">
        <f t="shared" si="47"/>
        <v>3981071.705534983</v>
      </c>
    </row>
    <row r="2449" spans="4:6" x14ac:dyDescent="0.2">
      <c r="D2449">
        <v>6.9399999999999995</v>
      </c>
      <c r="F2449" s="2">
        <f t="shared" si="47"/>
        <v>8709635.8995608166</v>
      </c>
    </row>
    <row r="2450" spans="4:6" x14ac:dyDescent="0.2">
      <c r="D2450">
        <v>7.6</v>
      </c>
      <c r="F2450" s="2">
        <f t="shared" si="47"/>
        <v>39810717.055349804</v>
      </c>
    </row>
    <row r="2451" spans="4:6" x14ac:dyDescent="0.2">
      <c r="D2451">
        <v>7.83</v>
      </c>
      <c r="F2451" s="2">
        <f t="shared" si="47"/>
        <v>67608297.539198399</v>
      </c>
    </row>
    <row r="2452" spans="4:6" x14ac:dyDescent="0.2">
      <c r="D2452">
        <v>7.5600000000000005</v>
      </c>
      <c r="F2452" s="2">
        <f t="shared" si="47"/>
        <v>36307805.47701022</v>
      </c>
    </row>
    <row r="2453" spans="4:6" x14ac:dyDescent="0.2">
      <c r="D2453">
        <v>8.24</v>
      </c>
      <c r="F2453" s="2">
        <f t="shared" si="47"/>
        <v>173780082.87493807</v>
      </c>
    </row>
    <row r="2454" spans="4:6" x14ac:dyDescent="0.2">
      <c r="D2454">
        <v>2.5299999999999994</v>
      </c>
      <c r="F2454" s="2">
        <f t="shared" si="47"/>
        <v>338.8441561392022</v>
      </c>
    </row>
    <row r="2455" spans="4:6" x14ac:dyDescent="0.2">
      <c r="D2455">
        <v>2.46</v>
      </c>
      <c r="F2455" s="2">
        <f t="shared" si="47"/>
        <v>288.40315031266073</v>
      </c>
    </row>
    <row r="2456" spans="4:6" x14ac:dyDescent="0.2">
      <c r="D2456">
        <v>3.5400000000000009</v>
      </c>
      <c r="F2456" s="2">
        <f t="shared" si="47"/>
        <v>3467.3685045253283</v>
      </c>
    </row>
    <row r="2457" spans="4:6" x14ac:dyDescent="0.2">
      <c r="D2457">
        <v>1.7800000000000002</v>
      </c>
      <c r="F2457" s="2">
        <f t="shared" si="47"/>
        <v>60.255958607435822</v>
      </c>
    </row>
    <row r="2458" spans="4:6" x14ac:dyDescent="0.2">
      <c r="D2458">
        <v>2.4800000000000004</v>
      </c>
      <c r="F2458" s="2">
        <f t="shared" si="47"/>
        <v>301.99517204020196</v>
      </c>
    </row>
    <row r="2459" spans="4:6" x14ac:dyDescent="0.2">
      <c r="D2459">
        <v>2.6999999999999993</v>
      </c>
      <c r="F2459" s="2">
        <f t="shared" si="47"/>
        <v>501.18723362727184</v>
      </c>
    </row>
    <row r="2460" spans="4:6" x14ac:dyDescent="0.2">
      <c r="D2460">
        <v>3.91</v>
      </c>
      <c r="F2460" s="2">
        <f t="shared" si="47"/>
        <v>8128.3051616410066</v>
      </c>
    </row>
    <row r="2461" spans="4:6" x14ac:dyDescent="0.2">
      <c r="D2461">
        <v>2.29</v>
      </c>
      <c r="F2461" s="2">
        <f t="shared" si="47"/>
        <v>194.98445997580458</v>
      </c>
    </row>
    <row r="2462" spans="4:6" x14ac:dyDescent="0.2">
      <c r="D2462">
        <v>3.1899999999999995</v>
      </c>
      <c r="F2462" s="2">
        <f t="shared" si="47"/>
        <v>1548.8166189124809</v>
      </c>
    </row>
    <row r="2463" spans="4:6" x14ac:dyDescent="0.2">
      <c r="D2463">
        <v>4.5599999999999996</v>
      </c>
      <c r="F2463" s="2">
        <f t="shared" si="47"/>
        <v>36307.805477010166</v>
      </c>
    </row>
    <row r="2464" spans="4:6" x14ac:dyDescent="0.2">
      <c r="D2464">
        <v>3.8000000000000007</v>
      </c>
      <c r="F2464" s="2">
        <f t="shared" si="47"/>
        <v>6309.5734448019502</v>
      </c>
    </row>
    <row r="2465" spans="4:6" x14ac:dyDescent="0.2">
      <c r="D2465">
        <v>4.3099999999999996</v>
      </c>
      <c r="F2465" s="2">
        <f t="shared" si="47"/>
        <v>20417.379446695286</v>
      </c>
    </row>
    <row r="2466" spans="4:6" x14ac:dyDescent="0.2">
      <c r="D2466">
        <v>2.6399999999999997</v>
      </c>
      <c r="F2466" s="2">
        <f t="shared" si="47"/>
        <v>436.51583224016582</v>
      </c>
    </row>
    <row r="2467" spans="4:6" x14ac:dyDescent="0.2">
      <c r="D2467">
        <v>3.3999999999999995</v>
      </c>
      <c r="F2467" s="2">
        <f t="shared" si="47"/>
        <v>2511.8864315095789</v>
      </c>
    </row>
    <row r="2468" spans="4:6" x14ac:dyDescent="0.2">
      <c r="D2468">
        <v>4.22</v>
      </c>
      <c r="F2468" s="2">
        <f t="shared" si="47"/>
        <v>16595.869074375616</v>
      </c>
    </row>
    <row r="2469" spans="4:6" x14ac:dyDescent="0.2">
      <c r="D2469">
        <v>4.08</v>
      </c>
      <c r="F2469" s="2">
        <f t="shared" si="47"/>
        <v>12022.644346174151</v>
      </c>
    </row>
    <row r="2470" spans="4:6" x14ac:dyDescent="0.2">
      <c r="D2470">
        <v>4.9800000000000004</v>
      </c>
      <c r="F2470" s="2">
        <f t="shared" si="47"/>
        <v>95499.258602143804</v>
      </c>
    </row>
    <row r="2471" spans="4:6" x14ac:dyDescent="0.2">
      <c r="D2471">
        <v>5.4499999999999993</v>
      </c>
      <c r="F2471" s="2">
        <f t="shared" si="47"/>
        <v>281838.29312644521</v>
      </c>
    </row>
    <row r="2472" spans="4:6" x14ac:dyDescent="0.2">
      <c r="D2472">
        <v>8</v>
      </c>
      <c r="F2472" s="2">
        <f t="shared" si="47"/>
        <v>100000000</v>
      </c>
    </row>
    <row r="2473" spans="4:6" x14ac:dyDescent="0.2">
      <c r="D2473">
        <v>7.73</v>
      </c>
      <c r="F2473" s="2">
        <f t="shared" si="47"/>
        <v>53703179.637025505</v>
      </c>
    </row>
    <row r="2474" spans="4:6" x14ac:dyDescent="0.2">
      <c r="D2474">
        <v>8.01</v>
      </c>
      <c r="F2474" s="2">
        <f t="shared" si="47"/>
        <v>102329299.22807558</v>
      </c>
    </row>
    <row r="2475" spans="4:6" x14ac:dyDescent="0.2">
      <c r="D2475">
        <v>8.120000000000001</v>
      </c>
      <c r="F2475" s="2">
        <f t="shared" si="47"/>
        <v>131825673.85564126</v>
      </c>
    </row>
    <row r="2476" spans="4:6" x14ac:dyDescent="0.2">
      <c r="D2476">
        <v>6.93</v>
      </c>
      <c r="F2476" s="2">
        <f t="shared" si="47"/>
        <v>8511380.382023776</v>
      </c>
    </row>
    <row r="2477" spans="4:6" x14ac:dyDescent="0.2">
      <c r="D2477">
        <v>7.8400000000000007</v>
      </c>
      <c r="F2477" s="2">
        <f t="shared" si="47"/>
        <v>69183097.091893882</v>
      </c>
    </row>
    <row r="2478" spans="4:6" x14ac:dyDescent="0.2">
      <c r="D2478">
        <v>7.629999999999999</v>
      </c>
      <c r="F2478" s="2">
        <f t="shared" ref="F2478:F2541" si="48">10^D2478</f>
        <v>42657951.880159184</v>
      </c>
    </row>
    <row r="2479" spans="4:6" x14ac:dyDescent="0.2">
      <c r="D2479">
        <v>7.2799999999999994</v>
      </c>
      <c r="F2479" s="2">
        <f t="shared" si="48"/>
        <v>19054607.1796325</v>
      </c>
    </row>
    <row r="2480" spans="4:6" x14ac:dyDescent="0.2">
      <c r="D2480">
        <v>7.68</v>
      </c>
      <c r="F2480" s="2">
        <f t="shared" si="48"/>
        <v>47863009.232263893</v>
      </c>
    </row>
    <row r="2481" spans="4:6" x14ac:dyDescent="0.2">
      <c r="D2481">
        <v>7.57</v>
      </c>
      <c r="F2481" s="2">
        <f t="shared" si="48"/>
        <v>37153522.909717336</v>
      </c>
    </row>
    <row r="2482" spans="4:6" x14ac:dyDescent="0.2">
      <c r="D2482">
        <v>8.08</v>
      </c>
      <c r="F2482" s="2">
        <f t="shared" si="48"/>
        <v>120226443.4617414</v>
      </c>
    </row>
    <row r="2483" spans="4:6" x14ac:dyDescent="0.2">
      <c r="D2483">
        <v>3.2499999999999991</v>
      </c>
      <c r="F2483" s="2">
        <f t="shared" si="48"/>
        <v>1778.2794100389197</v>
      </c>
    </row>
    <row r="2484" spans="4:6" x14ac:dyDescent="0.2">
      <c r="D2484">
        <v>3.8899999999999997</v>
      </c>
      <c r="F2484" s="2">
        <f t="shared" si="48"/>
        <v>7762.4711662869186</v>
      </c>
    </row>
    <row r="2485" spans="4:6" x14ac:dyDescent="0.2">
      <c r="D2485">
        <v>4.1400000000000006</v>
      </c>
      <c r="F2485" s="2">
        <f t="shared" si="48"/>
        <v>13803.84264602889</v>
      </c>
    </row>
    <row r="2486" spans="4:6" x14ac:dyDescent="0.2">
      <c r="D2486">
        <v>3.4700000000000006</v>
      </c>
      <c r="F2486" s="2">
        <f t="shared" si="48"/>
        <v>2951.2092266663926</v>
      </c>
    </row>
    <row r="2487" spans="4:6" x14ac:dyDescent="0.2">
      <c r="D2487">
        <v>3.7</v>
      </c>
      <c r="F2487" s="2">
        <f t="shared" si="48"/>
        <v>5011.8723362727324</v>
      </c>
    </row>
    <row r="2488" spans="4:6" x14ac:dyDescent="0.2">
      <c r="D2488">
        <v>4.21</v>
      </c>
      <c r="F2488" s="2">
        <f t="shared" si="48"/>
        <v>16218.100973589309</v>
      </c>
    </row>
    <row r="2489" spans="4:6" x14ac:dyDescent="0.2">
      <c r="D2489">
        <v>4.17</v>
      </c>
      <c r="F2489" s="2">
        <f t="shared" si="48"/>
        <v>14791.083881682089</v>
      </c>
    </row>
    <row r="2490" spans="4:6" x14ac:dyDescent="0.2">
      <c r="D2490">
        <v>4.7100000000000009</v>
      </c>
      <c r="F2490" s="2">
        <f t="shared" si="48"/>
        <v>51286.138399136638</v>
      </c>
    </row>
    <row r="2491" spans="4:6" x14ac:dyDescent="0.2">
      <c r="D2491">
        <v>5.1999999999999993</v>
      </c>
      <c r="F2491" s="2">
        <f t="shared" si="48"/>
        <v>158489.31924611135</v>
      </c>
    </row>
    <row r="2492" spans="4:6" x14ac:dyDescent="0.2">
      <c r="D2492">
        <v>4.5999999999999996</v>
      </c>
      <c r="F2492" s="2">
        <f t="shared" si="48"/>
        <v>39810.717055349742</v>
      </c>
    </row>
    <row r="2493" spans="4:6" x14ac:dyDescent="0.2">
      <c r="D2493">
        <v>5.43</v>
      </c>
      <c r="F2493" s="2">
        <f t="shared" si="48"/>
        <v>269153.48039269145</v>
      </c>
    </row>
    <row r="2494" spans="4:6" x14ac:dyDescent="0.2">
      <c r="D2494">
        <v>5.93</v>
      </c>
      <c r="F2494" s="2">
        <f t="shared" si="48"/>
        <v>851138.03820237669</v>
      </c>
    </row>
    <row r="2495" spans="4:6" x14ac:dyDescent="0.2">
      <c r="D2495">
        <v>5.74</v>
      </c>
      <c r="F2495" s="2">
        <f t="shared" si="48"/>
        <v>549540.87385762564</v>
      </c>
    </row>
    <row r="2496" spans="4:6" x14ac:dyDescent="0.2">
      <c r="D2496">
        <v>3.7799999999999994</v>
      </c>
      <c r="F2496" s="2">
        <f t="shared" si="48"/>
        <v>6025.5958607435741</v>
      </c>
    </row>
    <row r="2497" spans="4:6" x14ac:dyDescent="0.2">
      <c r="D2497">
        <v>4.8699999999999992</v>
      </c>
      <c r="F2497" s="2">
        <f t="shared" si="48"/>
        <v>74131.024130091726</v>
      </c>
    </row>
    <row r="2498" spans="4:6" x14ac:dyDescent="0.2">
      <c r="D2498">
        <v>5.379999999999999</v>
      </c>
      <c r="F2498" s="2">
        <f t="shared" si="48"/>
        <v>239883.29190194866</v>
      </c>
    </row>
    <row r="2499" spans="4:6" x14ac:dyDescent="0.2">
      <c r="D2499">
        <v>6.04</v>
      </c>
      <c r="F2499" s="2">
        <f t="shared" si="48"/>
        <v>1096478.196143186</v>
      </c>
    </row>
    <row r="2500" spans="4:6" x14ac:dyDescent="0.2">
      <c r="D2500">
        <v>5.8000000000000007</v>
      </c>
      <c r="F2500" s="2">
        <f t="shared" si="48"/>
        <v>630957.34448019532</v>
      </c>
    </row>
    <row r="2501" spans="4:6" x14ac:dyDescent="0.2">
      <c r="D2501">
        <v>5.620000000000001</v>
      </c>
      <c r="F2501" s="2">
        <f t="shared" si="48"/>
        <v>416869.38347033673</v>
      </c>
    </row>
    <row r="2502" spans="4:6" x14ac:dyDescent="0.2">
      <c r="D2502">
        <v>5.55</v>
      </c>
      <c r="F2502" s="2">
        <f t="shared" si="48"/>
        <v>354813.38923357555</v>
      </c>
    </row>
    <row r="2503" spans="4:6" x14ac:dyDescent="0.2">
      <c r="D2503">
        <v>5.4799999999999995</v>
      </c>
      <c r="F2503" s="2">
        <f t="shared" si="48"/>
        <v>301995.1720402019</v>
      </c>
    </row>
    <row r="2504" spans="4:6" x14ac:dyDescent="0.2">
      <c r="D2504">
        <v>4.1400000000000006</v>
      </c>
      <c r="F2504" s="2">
        <f t="shared" si="48"/>
        <v>13803.84264602889</v>
      </c>
    </row>
    <row r="2505" spans="4:6" x14ac:dyDescent="0.2">
      <c r="D2505">
        <v>3.62</v>
      </c>
      <c r="F2505" s="2">
        <f t="shared" si="48"/>
        <v>4168.6938347033583</v>
      </c>
    </row>
    <row r="2506" spans="4:6" x14ac:dyDescent="0.2">
      <c r="D2506">
        <v>6.1100000000000012</v>
      </c>
      <c r="F2506" s="2">
        <f t="shared" si="48"/>
        <v>1288249.5516931389</v>
      </c>
    </row>
    <row r="2507" spans="4:6" x14ac:dyDescent="0.2">
      <c r="D2507">
        <v>5.18</v>
      </c>
      <c r="F2507" s="2">
        <f t="shared" si="48"/>
        <v>151356.12484362084</v>
      </c>
    </row>
    <row r="2508" spans="4:6" x14ac:dyDescent="0.2">
      <c r="D2508">
        <v>6.23</v>
      </c>
      <c r="F2508" s="2">
        <f t="shared" si="48"/>
        <v>1698243.6524617488</v>
      </c>
    </row>
    <row r="2509" spans="4:6" x14ac:dyDescent="0.2">
      <c r="D2509">
        <v>4.2</v>
      </c>
      <c r="F2509" s="2">
        <f t="shared" si="48"/>
        <v>15848.931924611146</v>
      </c>
    </row>
    <row r="2510" spans="4:6" x14ac:dyDescent="0.2">
      <c r="D2510">
        <v>4.4600000000000009</v>
      </c>
      <c r="F2510" s="2">
        <f t="shared" si="48"/>
        <v>28840.315031266164</v>
      </c>
    </row>
    <row r="2511" spans="4:6" x14ac:dyDescent="0.2">
      <c r="D2511">
        <v>5.31</v>
      </c>
      <c r="F2511" s="2">
        <f t="shared" si="48"/>
        <v>204173.79446695308</v>
      </c>
    </row>
    <row r="2512" spans="4:6" x14ac:dyDescent="0.2">
      <c r="D2512">
        <v>4.9399999999999995</v>
      </c>
      <c r="F2512" s="2">
        <f t="shared" si="48"/>
        <v>87096.358995608127</v>
      </c>
    </row>
    <row r="2513" spans="4:6" x14ac:dyDescent="0.2">
      <c r="D2513">
        <v>5.9700000000000006</v>
      </c>
      <c r="F2513" s="2">
        <f t="shared" si="48"/>
        <v>933254.30079699424</v>
      </c>
    </row>
    <row r="2514" spans="4:6" x14ac:dyDescent="0.2">
      <c r="D2514">
        <v>5.49</v>
      </c>
      <c r="F2514" s="2">
        <f t="shared" si="48"/>
        <v>309029.54325135931</v>
      </c>
    </row>
    <row r="2515" spans="4:6" x14ac:dyDescent="0.2">
      <c r="D2515">
        <v>6.73</v>
      </c>
      <c r="F2515" s="2">
        <f t="shared" si="48"/>
        <v>5370317.9637025446</v>
      </c>
    </row>
    <row r="2516" spans="4:6" x14ac:dyDescent="0.2">
      <c r="D2516">
        <v>3.9299999999999997</v>
      </c>
      <c r="F2516" s="2">
        <f t="shared" si="48"/>
        <v>8511.3803820237626</v>
      </c>
    </row>
    <row r="2517" spans="4:6" x14ac:dyDescent="0.2">
      <c r="D2517">
        <v>4.129999999999999</v>
      </c>
      <c r="F2517" s="2">
        <f t="shared" si="48"/>
        <v>13489.628825916507</v>
      </c>
    </row>
    <row r="2518" spans="4:6" x14ac:dyDescent="0.2">
      <c r="D2518">
        <v>4.3600000000000003</v>
      </c>
      <c r="F2518" s="2">
        <f t="shared" si="48"/>
        <v>22908.676527677751</v>
      </c>
    </row>
    <row r="2519" spans="4:6" x14ac:dyDescent="0.2">
      <c r="D2519">
        <v>3.83</v>
      </c>
      <c r="F2519" s="2">
        <f t="shared" si="48"/>
        <v>6760.8297539198229</v>
      </c>
    </row>
    <row r="2520" spans="4:6" x14ac:dyDescent="0.2">
      <c r="D2520">
        <v>3.75</v>
      </c>
      <c r="F2520" s="2">
        <f t="shared" si="48"/>
        <v>5623.4132519034993</v>
      </c>
    </row>
    <row r="2521" spans="4:6" x14ac:dyDescent="0.2">
      <c r="D2521">
        <v>4.1100000000000003</v>
      </c>
      <c r="F2521" s="2">
        <f t="shared" si="48"/>
        <v>12882.49551693136</v>
      </c>
    </row>
    <row r="2522" spans="4:6" x14ac:dyDescent="0.2">
      <c r="D2522">
        <v>4.7699999999999996</v>
      </c>
      <c r="F2522" s="2">
        <f t="shared" si="48"/>
        <v>58884.365535558936</v>
      </c>
    </row>
    <row r="2523" spans="4:6" x14ac:dyDescent="0.2">
      <c r="D2523">
        <v>5.0100000000000007</v>
      </c>
      <c r="F2523" s="2">
        <f t="shared" si="48"/>
        <v>102329.2992280756</v>
      </c>
    </row>
    <row r="2524" spans="4:6" x14ac:dyDescent="0.2">
      <c r="D2524">
        <v>5.5</v>
      </c>
      <c r="F2524" s="2">
        <f t="shared" si="48"/>
        <v>316227.7660168382</v>
      </c>
    </row>
    <row r="2525" spans="4:6" x14ac:dyDescent="0.2">
      <c r="D2525">
        <v>4.9400000000000004</v>
      </c>
      <c r="F2525" s="2">
        <f t="shared" si="48"/>
        <v>87096.358995608287</v>
      </c>
    </row>
    <row r="2526" spans="4:6" x14ac:dyDescent="0.2">
      <c r="D2526">
        <v>5.1899999999999995</v>
      </c>
      <c r="F2526" s="2">
        <f t="shared" si="48"/>
        <v>154881.66189124816</v>
      </c>
    </row>
    <row r="2527" spans="4:6" x14ac:dyDescent="0.2">
      <c r="D2527">
        <v>5.3599999999999994</v>
      </c>
      <c r="F2527" s="2">
        <f t="shared" si="48"/>
        <v>229086.76527677738</v>
      </c>
    </row>
    <row r="2528" spans="4:6" x14ac:dyDescent="0.2">
      <c r="D2528">
        <v>5.25</v>
      </c>
      <c r="F2528" s="2">
        <f t="shared" si="48"/>
        <v>177827.94100389251</v>
      </c>
    </row>
    <row r="2529" spans="4:6" x14ac:dyDescent="0.2">
      <c r="D2529">
        <v>5.0299999999999994</v>
      </c>
      <c r="F2529" s="2">
        <f t="shared" si="48"/>
        <v>107151.93052376063</v>
      </c>
    </row>
    <row r="2530" spans="4:6" x14ac:dyDescent="0.2">
      <c r="D2530">
        <v>5.0299999999999994</v>
      </c>
      <c r="F2530" s="2">
        <f t="shared" si="48"/>
        <v>107151.93052376063</v>
      </c>
    </row>
    <row r="2531" spans="4:6" x14ac:dyDescent="0.2">
      <c r="D2531">
        <v>5.3900000000000006</v>
      </c>
      <c r="F2531" s="2">
        <f t="shared" si="48"/>
        <v>245470.89156850349</v>
      </c>
    </row>
    <row r="2532" spans="4:6" x14ac:dyDescent="0.2">
      <c r="D2532">
        <v>5.0400000000000009</v>
      </c>
      <c r="F2532" s="2">
        <f t="shared" si="48"/>
        <v>109647.81961431887</v>
      </c>
    </row>
    <row r="2533" spans="4:6" x14ac:dyDescent="0.2">
      <c r="D2533">
        <v>5.98</v>
      </c>
      <c r="F2533" s="2">
        <f t="shared" si="48"/>
        <v>954992.58602143743</v>
      </c>
    </row>
    <row r="2534" spans="4:6" x14ac:dyDescent="0.2">
      <c r="D2534">
        <v>6.1499999999999995</v>
      </c>
      <c r="F2534" s="2">
        <f t="shared" si="48"/>
        <v>1412537.5446227542</v>
      </c>
    </row>
    <row r="2535" spans="4:6" x14ac:dyDescent="0.2">
      <c r="D2535">
        <v>6.57</v>
      </c>
      <c r="F2535" s="2">
        <f t="shared" si="48"/>
        <v>3715352.2909717364</v>
      </c>
    </row>
    <row r="2536" spans="4:6" x14ac:dyDescent="0.2">
      <c r="D2536">
        <v>5.4700000000000006</v>
      </c>
      <c r="F2536" s="2">
        <f t="shared" si="48"/>
        <v>295120.92266663938</v>
      </c>
    </row>
    <row r="2537" spans="4:6" x14ac:dyDescent="0.2">
      <c r="D2537">
        <v>6.65</v>
      </c>
      <c r="F2537" s="2">
        <f t="shared" si="48"/>
        <v>4466835.9215096412</v>
      </c>
    </row>
    <row r="2538" spans="4:6" x14ac:dyDescent="0.2">
      <c r="D2538">
        <v>5.7299999999999986</v>
      </c>
      <c r="F2538" s="2">
        <f t="shared" si="48"/>
        <v>537031.79637025192</v>
      </c>
    </row>
    <row r="2539" spans="4:6" x14ac:dyDescent="0.2">
      <c r="D2539">
        <v>6.48</v>
      </c>
      <c r="F2539" s="2">
        <f t="shared" si="48"/>
        <v>3019951.7204020224</v>
      </c>
    </row>
    <row r="2540" spans="4:6" x14ac:dyDescent="0.2">
      <c r="D2540">
        <v>6.7800000000000011</v>
      </c>
      <c r="F2540" s="2">
        <f t="shared" si="48"/>
        <v>6025595.8607436046</v>
      </c>
    </row>
    <row r="2541" spans="4:6" x14ac:dyDescent="0.2">
      <c r="D2541">
        <v>5.9099999999999993</v>
      </c>
      <c r="F2541" s="2">
        <f t="shared" si="48"/>
        <v>812830.51616409956</v>
      </c>
    </row>
    <row r="2542" spans="4:6" x14ac:dyDescent="0.2">
      <c r="D2542">
        <v>5.92</v>
      </c>
      <c r="F2542" s="2">
        <f t="shared" ref="F2542:F2605" si="49">10^D2542</f>
        <v>831763.77110267128</v>
      </c>
    </row>
    <row r="2543" spans="4:6" x14ac:dyDescent="0.2">
      <c r="D2543">
        <v>6.68</v>
      </c>
      <c r="F2543" s="2">
        <f t="shared" si="49"/>
        <v>4786300.9232263844</v>
      </c>
    </row>
    <row r="2544" spans="4:6" x14ac:dyDescent="0.2">
      <c r="D2544">
        <v>6.92</v>
      </c>
      <c r="F2544" s="2">
        <f t="shared" si="49"/>
        <v>8317637.7110267216</v>
      </c>
    </row>
    <row r="2545" spans="4:6" x14ac:dyDescent="0.2">
      <c r="D2545">
        <v>6.73</v>
      </c>
      <c r="F2545" s="2">
        <f t="shared" si="49"/>
        <v>5370317.9637025446</v>
      </c>
    </row>
    <row r="2546" spans="4:6" x14ac:dyDescent="0.2">
      <c r="D2546">
        <v>5.4799999999999995</v>
      </c>
      <c r="F2546" s="2">
        <f t="shared" si="49"/>
        <v>301995.1720402019</v>
      </c>
    </row>
    <row r="2547" spans="4:6" x14ac:dyDescent="0.2">
      <c r="D2547">
        <v>4.9399999999999995</v>
      </c>
      <c r="F2547" s="2">
        <f t="shared" si="49"/>
        <v>87096.358995608127</v>
      </c>
    </row>
    <row r="2548" spans="4:6" x14ac:dyDescent="0.2">
      <c r="D2548">
        <v>4.7700000000000005</v>
      </c>
      <c r="F2548" s="2">
        <f t="shared" si="49"/>
        <v>58884.365535559038</v>
      </c>
    </row>
    <row r="2549" spans="4:6" x14ac:dyDescent="0.2">
      <c r="D2549">
        <v>5.2800000000000011</v>
      </c>
      <c r="F2549" s="2">
        <f t="shared" si="49"/>
        <v>190546.07179632559</v>
      </c>
    </row>
    <row r="2550" spans="4:6" x14ac:dyDescent="0.2">
      <c r="D2550">
        <v>4.93</v>
      </c>
      <c r="F2550" s="2">
        <f t="shared" si="49"/>
        <v>85113.803820237721</v>
      </c>
    </row>
    <row r="2551" spans="4:6" x14ac:dyDescent="0.2">
      <c r="D2551">
        <v>5.1400000000000006</v>
      </c>
      <c r="F2551" s="2">
        <f t="shared" si="49"/>
        <v>138038.42646028881</v>
      </c>
    </row>
    <row r="2552" spans="4:6" x14ac:dyDescent="0.2">
      <c r="D2552">
        <v>4.5699999999999994</v>
      </c>
      <c r="F2552" s="2">
        <f t="shared" si="49"/>
        <v>37153.522909717212</v>
      </c>
    </row>
    <row r="2553" spans="4:6" x14ac:dyDescent="0.2">
      <c r="D2553">
        <v>5.6100000000000012</v>
      </c>
      <c r="F2553" s="2">
        <f t="shared" si="49"/>
        <v>407380.27780411404</v>
      </c>
    </row>
    <row r="2554" spans="4:6" x14ac:dyDescent="0.2">
      <c r="D2554">
        <v>6.01</v>
      </c>
      <c r="F2554" s="2">
        <f t="shared" si="49"/>
        <v>1023292.9922807553</v>
      </c>
    </row>
    <row r="2555" spans="4:6" x14ac:dyDescent="0.2">
      <c r="D2555">
        <v>5.21</v>
      </c>
      <c r="F2555" s="2">
        <f t="shared" si="49"/>
        <v>162181.00973589328</v>
      </c>
    </row>
    <row r="2556" spans="4:6" x14ac:dyDescent="0.2">
      <c r="D2556">
        <v>6.77</v>
      </c>
      <c r="F2556" s="2">
        <f t="shared" si="49"/>
        <v>5888436.5535558956</v>
      </c>
    </row>
    <row r="2557" spans="4:6" x14ac:dyDescent="0.2">
      <c r="D2557">
        <v>7.169999999999999</v>
      </c>
      <c r="F2557" s="2">
        <f t="shared" si="49"/>
        <v>14791083.881682059</v>
      </c>
    </row>
    <row r="2558" spans="4:6" x14ac:dyDescent="0.2">
      <c r="D2558">
        <v>6.26</v>
      </c>
      <c r="F2558" s="2">
        <f t="shared" si="49"/>
        <v>1819700.8586099846</v>
      </c>
    </row>
    <row r="2559" spans="4:6" x14ac:dyDescent="0.2">
      <c r="D2559">
        <v>6.6199999999999992</v>
      </c>
      <c r="F2559" s="2">
        <f t="shared" si="49"/>
        <v>4168693.8347033495</v>
      </c>
    </row>
    <row r="2560" spans="4:6" x14ac:dyDescent="0.2">
      <c r="D2560">
        <v>6.92</v>
      </c>
      <c r="F2560" s="2">
        <f t="shared" si="49"/>
        <v>8317637.7110267216</v>
      </c>
    </row>
    <row r="2561" spans="4:6" x14ac:dyDescent="0.2">
      <c r="D2561">
        <v>6.3999999999999986</v>
      </c>
      <c r="F2561" s="2">
        <f t="shared" si="49"/>
        <v>2511886.4315095739</v>
      </c>
    </row>
    <row r="2562" spans="4:6" x14ac:dyDescent="0.2">
      <c r="D2562">
        <v>7.07</v>
      </c>
      <c r="F2562" s="2">
        <f t="shared" si="49"/>
        <v>11748975.549395336</v>
      </c>
    </row>
    <row r="2563" spans="4:6" x14ac:dyDescent="0.2">
      <c r="D2563">
        <v>7.1300000000000008</v>
      </c>
      <c r="F2563" s="2">
        <f t="shared" si="49"/>
        <v>13489628.825916575</v>
      </c>
    </row>
    <row r="2564" spans="4:6" x14ac:dyDescent="0.2">
      <c r="D2564">
        <v>6.5300000000000011</v>
      </c>
      <c r="F2564" s="2">
        <f t="shared" si="49"/>
        <v>3388441.5613920367</v>
      </c>
    </row>
    <row r="2565" spans="4:6" x14ac:dyDescent="0.2">
      <c r="D2565">
        <v>6.89</v>
      </c>
      <c r="F2565" s="2">
        <f t="shared" si="49"/>
        <v>7762471.1662869165</v>
      </c>
    </row>
    <row r="2566" spans="4:6" x14ac:dyDescent="0.2">
      <c r="D2566">
        <v>6.02</v>
      </c>
      <c r="F2566" s="2">
        <f t="shared" si="49"/>
        <v>1047128.5480509007</v>
      </c>
    </row>
    <row r="2567" spans="4:6" x14ac:dyDescent="0.2">
      <c r="D2567">
        <v>7.3600000000000012</v>
      </c>
      <c r="F2567" s="2">
        <f t="shared" si="49"/>
        <v>22908676.52767783</v>
      </c>
    </row>
    <row r="2568" spans="4:6" x14ac:dyDescent="0.2">
      <c r="D2568">
        <v>6.3000000000000007</v>
      </c>
      <c r="F2568" s="2">
        <f t="shared" si="49"/>
        <v>1995262.314968887</v>
      </c>
    </row>
    <row r="2569" spans="4:6" x14ac:dyDescent="0.2">
      <c r="D2569">
        <v>6.9400000000000013</v>
      </c>
      <c r="F2569" s="2">
        <f t="shared" si="49"/>
        <v>8709635.8995608483</v>
      </c>
    </row>
    <row r="2570" spans="4:6" x14ac:dyDescent="0.2">
      <c r="D2570">
        <v>6.3999999999999995</v>
      </c>
      <c r="F2570" s="2">
        <f t="shared" si="49"/>
        <v>2511886.4315095828</v>
      </c>
    </row>
    <row r="2571" spans="4:6" x14ac:dyDescent="0.2">
      <c r="D2571">
        <v>6.78</v>
      </c>
      <c r="F2571" s="2">
        <f t="shared" si="49"/>
        <v>6025595.8607435944</v>
      </c>
    </row>
    <row r="2572" spans="4:6" x14ac:dyDescent="0.2">
      <c r="D2572">
        <v>6.7500000000000009</v>
      </c>
      <c r="F2572" s="2">
        <f t="shared" si="49"/>
        <v>5623413.2519035079</v>
      </c>
    </row>
    <row r="2573" spans="4:6" x14ac:dyDescent="0.2">
      <c r="D2573">
        <v>6.91</v>
      </c>
      <c r="F2573" s="2">
        <f t="shared" si="49"/>
        <v>8128305.1616410045</v>
      </c>
    </row>
    <row r="2574" spans="4:6" x14ac:dyDescent="0.2">
      <c r="D2574">
        <v>6.42</v>
      </c>
      <c r="F2574" s="2">
        <f t="shared" si="49"/>
        <v>2630267.9918953842</v>
      </c>
    </row>
    <row r="2575" spans="4:6" x14ac:dyDescent="0.2">
      <c r="D2575">
        <v>5.01</v>
      </c>
      <c r="F2575" s="2">
        <f t="shared" si="49"/>
        <v>102329.29922807543</v>
      </c>
    </row>
    <row r="2576" spans="4:6" x14ac:dyDescent="0.2">
      <c r="D2576">
        <v>5.1099999999999994</v>
      </c>
      <c r="F2576" s="2">
        <f t="shared" si="49"/>
        <v>128824.95516931328</v>
      </c>
    </row>
    <row r="2577" spans="4:6" x14ac:dyDescent="0.2">
      <c r="D2577">
        <v>5.07</v>
      </c>
      <c r="F2577" s="2">
        <f t="shared" si="49"/>
        <v>117489.75549395311</v>
      </c>
    </row>
    <row r="2578" spans="4:6" x14ac:dyDescent="0.2">
      <c r="D2578">
        <v>4.9600000000000009</v>
      </c>
      <c r="F2578" s="2">
        <f t="shared" si="49"/>
        <v>91201.083935591188</v>
      </c>
    </row>
    <row r="2579" spans="4:6" x14ac:dyDescent="0.2">
      <c r="D2579">
        <v>4.8499999999999996</v>
      </c>
      <c r="F2579" s="2">
        <f t="shared" si="49"/>
        <v>70794.578438413781</v>
      </c>
    </row>
    <row r="2580" spans="4:6" x14ac:dyDescent="0.2">
      <c r="D2580">
        <v>5.1899999999999995</v>
      </c>
      <c r="F2580" s="2">
        <f t="shared" si="49"/>
        <v>154881.66189124816</v>
      </c>
    </row>
    <row r="2581" spans="4:6" x14ac:dyDescent="0.2">
      <c r="D2581">
        <v>5.2299999999999995</v>
      </c>
      <c r="F2581" s="2">
        <f t="shared" si="49"/>
        <v>169824.36524617439</v>
      </c>
    </row>
    <row r="2582" spans="4:6" x14ac:dyDescent="0.2">
      <c r="D2582">
        <v>5.5200000000000014</v>
      </c>
      <c r="F2582" s="2">
        <f t="shared" si="49"/>
        <v>331131.12148259248</v>
      </c>
    </row>
    <row r="2583" spans="4:6" x14ac:dyDescent="0.2">
      <c r="D2583">
        <v>5.91</v>
      </c>
      <c r="F2583" s="2">
        <f t="shared" si="49"/>
        <v>812830.51616410096</v>
      </c>
    </row>
    <row r="2584" spans="4:6" x14ac:dyDescent="0.2">
      <c r="D2584">
        <v>6.35</v>
      </c>
      <c r="F2584" s="2">
        <f t="shared" si="49"/>
        <v>2238721.1385683389</v>
      </c>
    </row>
    <row r="2585" spans="4:6" x14ac:dyDescent="0.2">
      <c r="D2585">
        <v>6.3599999999999994</v>
      </c>
      <c r="F2585" s="2">
        <f t="shared" si="49"/>
        <v>2290867.6527677723</v>
      </c>
    </row>
    <row r="2586" spans="4:6" x14ac:dyDescent="0.2">
      <c r="D2586">
        <v>6.6199999999999992</v>
      </c>
      <c r="F2586" s="2">
        <f t="shared" si="49"/>
        <v>4168693.8347033495</v>
      </c>
    </row>
    <row r="2587" spans="4:6" x14ac:dyDescent="0.2">
      <c r="D2587">
        <v>6.370000000000001</v>
      </c>
      <c r="F2587" s="2">
        <f t="shared" si="49"/>
        <v>2344228.8153199293</v>
      </c>
    </row>
    <row r="2588" spans="4:6" x14ac:dyDescent="0.2">
      <c r="D2588">
        <v>5.91</v>
      </c>
      <c r="F2588" s="2">
        <f t="shared" si="49"/>
        <v>812830.51616410096</v>
      </c>
    </row>
    <row r="2589" spans="4:6" x14ac:dyDescent="0.2">
      <c r="D2589">
        <v>6.2299999999999995</v>
      </c>
      <c r="F2589" s="2">
        <f t="shared" si="49"/>
        <v>1698243.6524617458</v>
      </c>
    </row>
    <row r="2590" spans="4:6" x14ac:dyDescent="0.2">
      <c r="D2590">
        <v>5.87</v>
      </c>
      <c r="F2590" s="2">
        <f t="shared" si="49"/>
        <v>741310.24130091805</v>
      </c>
    </row>
    <row r="2591" spans="4:6" x14ac:dyDescent="0.2">
      <c r="D2591">
        <v>6.4700000000000006</v>
      </c>
      <c r="F2591" s="2">
        <f t="shared" si="49"/>
        <v>2951209.2266663918</v>
      </c>
    </row>
    <row r="2592" spans="4:6" x14ac:dyDescent="0.2">
      <c r="D2592">
        <v>5.870000000000001</v>
      </c>
      <c r="F2592" s="2">
        <f t="shared" si="49"/>
        <v>741310.24130092072</v>
      </c>
    </row>
    <row r="2593" spans="4:6" x14ac:dyDescent="0.2">
      <c r="D2593">
        <v>6.59</v>
      </c>
      <c r="F2593" s="2">
        <f t="shared" si="49"/>
        <v>3890451.44994281</v>
      </c>
    </row>
    <row r="2594" spans="4:6" x14ac:dyDescent="0.2">
      <c r="D2594">
        <v>6.8699999999999992</v>
      </c>
      <c r="F2594" s="2">
        <f t="shared" si="49"/>
        <v>7413102.413009176</v>
      </c>
    </row>
    <row r="2595" spans="4:6" x14ac:dyDescent="0.2">
      <c r="D2595">
        <v>7.0600000000000005</v>
      </c>
      <c r="F2595" s="2">
        <f t="shared" si="49"/>
        <v>11481536.214968869</v>
      </c>
    </row>
    <row r="2596" spans="4:6" x14ac:dyDescent="0.2">
      <c r="D2596">
        <v>6.5600000000000005</v>
      </c>
      <c r="F2596" s="2">
        <f t="shared" si="49"/>
        <v>3630780.5477010245</v>
      </c>
    </row>
    <row r="2597" spans="4:6" x14ac:dyDescent="0.2">
      <c r="D2597">
        <v>5.8000000000000007</v>
      </c>
      <c r="F2597" s="2">
        <f t="shared" si="49"/>
        <v>630957.34448019532</v>
      </c>
    </row>
    <row r="2598" spans="4:6" x14ac:dyDescent="0.2">
      <c r="D2598">
        <v>6.7199999999999989</v>
      </c>
      <c r="F2598" s="2">
        <f t="shared" si="49"/>
        <v>5248074.6024977155</v>
      </c>
    </row>
    <row r="2599" spans="4:6" x14ac:dyDescent="0.2">
      <c r="D2599">
        <v>7.16</v>
      </c>
      <c r="F2599" s="2">
        <f t="shared" si="49"/>
        <v>14454397.707459314</v>
      </c>
    </row>
    <row r="2600" spans="4:6" x14ac:dyDescent="0.2">
      <c r="D2600">
        <v>7.24</v>
      </c>
      <c r="F2600" s="2">
        <f t="shared" si="49"/>
        <v>17378008.287493788</v>
      </c>
    </row>
    <row r="2601" spans="4:6" x14ac:dyDescent="0.2">
      <c r="D2601">
        <v>6.5000000000000009</v>
      </c>
      <c r="F2601" s="2">
        <f t="shared" si="49"/>
        <v>3162277.6601683907</v>
      </c>
    </row>
    <row r="2602" spans="4:6" x14ac:dyDescent="0.2">
      <c r="D2602">
        <v>6.3599999999999994</v>
      </c>
      <c r="F2602" s="2">
        <f t="shared" si="49"/>
        <v>2290867.6527677723</v>
      </c>
    </row>
    <row r="2603" spans="4:6" x14ac:dyDescent="0.2">
      <c r="D2603">
        <v>7.08</v>
      </c>
      <c r="F2603" s="2">
        <f t="shared" si="49"/>
        <v>12022644.346174169</v>
      </c>
    </row>
    <row r="2604" spans="4:6" x14ac:dyDescent="0.2">
      <c r="D2604">
        <v>7.45</v>
      </c>
      <c r="F2604" s="2">
        <f t="shared" si="49"/>
        <v>28183829.312644634</v>
      </c>
    </row>
    <row r="2605" spans="4:6" x14ac:dyDescent="0.2">
      <c r="D2605">
        <v>7.2200000000000006</v>
      </c>
      <c r="F2605" s="2">
        <f t="shared" si="49"/>
        <v>16595869.074375641</v>
      </c>
    </row>
    <row r="2606" spans="4:6" x14ac:dyDescent="0.2">
      <c r="D2606">
        <v>6.6400000000000006</v>
      </c>
      <c r="F2606" s="2">
        <f t="shared" ref="F2606:F2669" si="50">10^D2606</f>
        <v>4365158.3224016698</v>
      </c>
    </row>
    <row r="2607" spans="4:6" x14ac:dyDescent="0.2">
      <c r="D2607">
        <v>6.1999999999999993</v>
      </c>
      <c r="F2607" s="2">
        <f t="shared" si="50"/>
        <v>1584893.1924611125</v>
      </c>
    </row>
    <row r="2608" spans="4:6" x14ac:dyDescent="0.2">
      <c r="D2608">
        <v>6.1</v>
      </c>
      <c r="F2608" s="2">
        <f t="shared" si="50"/>
        <v>1258925.4117941677</v>
      </c>
    </row>
    <row r="2609" spans="4:6" x14ac:dyDescent="0.2">
      <c r="D2609">
        <v>5.98</v>
      </c>
      <c r="F2609" s="2">
        <f t="shared" si="50"/>
        <v>954992.58602143743</v>
      </c>
    </row>
    <row r="2610" spans="4:6" x14ac:dyDescent="0.2">
      <c r="D2610">
        <v>5.7000000000000011</v>
      </c>
      <c r="F2610" s="2">
        <f t="shared" si="50"/>
        <v>501187.2336272744</v>
      </c>
    </row>
    <row r="2611" spans="4:6" x14ac:dyDescent="0.2">
      <c r="D2611">
        <v>5.74</v>
      </c>
      <c r="F2611" s="2">
        <f t="shared" si="50"/>
        <v>549540.87385762564</v>
      </c>
    </row>
    <row r="2612" spans="4:6" x14ac:dyDescent="0.2">
      <c r="D2612">
        <v>6.08</v>
      </c>
      <c r="F2612" s="2">
        <f t="shared" si="50"/>
        <v>1202264.4346174158</v>
      </c>
    </row>
    <row r="2613" spans="4:6" x14ac:dyDescent="0.2">
      <c r="D2613">
        <v>6.2299999999999995</v>
      </c>
      <c r="F2613" s="2">
        <f t="shared" si="50"/>
        <v>1698243.6524617458</v>
      </c>
    </row>
    <row r="2614" spans="4:6" x14ac:dyDescent="0.2">
      <c r="D2614">
        <v>7.08</v>
      </c>
      <c r="F2614" s="2">
        <f t="shared" si="50"/>
        <v>12022644.346174169</v>
      </c>
    </row>
    <row r="2615" spans="4:6" x14ac:dyDescent="0.2">
      <c r="D2615">
        <v>6.76</v>
      </c>
      <c r="F2615" s="2">
        <f t="shared" si="50"/>
        <v>5754399.373371576</v>
      </c>
    </row>
    <row r="2616" spans="4:6" x14ac:dyDescent="0.2">
      <c r="D2616">
        <v>7.04</v>
      </c>
      <c r="F2616" s="2">
        <f t="shared" si="50"/>
        <v>10964781.961431853</v>
      </c>
    </row>
    <row r="2617" spans="4:6" x14ac:dyDescent="0.2">
      <c r="D2617">
        <v>6.88</v>
      </c>
      <c r="F2617" s="2">
        <f t="shared" si="50"/>
        <v>7585775.7502918513</v>
      </c>
    </row>
    <row r="2618" spans="4:6" x14ac:dyDescent="0.2">
      <c r="D2618">
        <v>6.7899999999999991</v>
      </c>
      <c r="F2618" s="2">
        <f t="shared" si="50"/>
        <v>6165950.0186148165</v>
      </c>
    </row>
    <row r="2619" spans="4:6" x14ac:dyDescent="0.2">
      <c r="D2619">
        <v>6.9500000000000011</v>
      </c>
      <c r="F2619" s="2">
        <f t="shared" si="50"/>
        <v>8912509.3813374974</v>
      </c>
    </row>
    <row r="2620" spans="4:6" x14ac:dyDescent="0.2">
      <c r="D2620">
        <v>6.48</v>
      </c>
      <c r="F2620" s="2">
        <f t="shared" si="50"/>
        <v>3019951.7204020224</v>
      </c>
    </row>
    <row r="2621" spans="4:6" x14ac:dyDescent="0.2">
      <c r="D2621">
        <v>6.629999999999999</v>
      </c>
      <c r="F2621" s="2">
        <f t="shared" si="50"/>
        <v>4265795.188015922</v>
      </c>
    </row>
    <row r="2622" spans="4:6" x14ac:dyDescent="0.2">
      <c r="D2622">
        <v>6.2399999999999993</v>
      </c>
      <c r="F2622" s="2">
        <f t="shared" si="50"/>
        <v>1737800.8287493738</v>
      </c>
    </row>
    <row r="2623" spans="4:6" x14ac:dyDescent="0.2">
      <c r="D2623">
        <v>6.73</v>
      </c>
      <c r="F2623" s="2">
        <f t="shared" si="50"/>
        <v>5370317.9637025446</v>
      </c>
    </row>
    <row r="2624" spans="4:6" x14ac:dyDescent="0.2">
      <c r="D2624">
        <v>6.8100000000000005</v>
      </c>
      <c r="F2624" s="2">
        <f t="shared" si="50"/>
        <v>6456542.2903465712</v>
      </c>
    </row>
    <row r="2625" spans="4:6" x14ac:dyDescent="0.2">
      <c r="D2625">
        <v>7.6999999999999993</v>
      </c>
      <c r="F2625" s="2">
        <f t="shared" si="50"/>
        <v>50118723.362727284</v>
      </c>
    </row>
    <row r="2626" spans="4:6" x14ac:dyDescent="0.2">
      <c r="D2626">
        <v>6.5</v>
      </c>
      <c r="F2626" s="2">
        <f t="shared" si="50"/>
        <v>3162277.6601683851</v>
      </c>
    </row>
    <row r="2627" spans="4:6" x14ac:dyDescent="0.2">
      <c r="D2627">
        <v>4.24</v>
      </c>
      <c r="F2627" s="2">
        <f t="shared" si="50"/>
        <v>17378.008287493791</v>
      </c>
    </row>
    <row r="2628" spans="4:6" x14ac:dyDescent="0.2">
      <c r="D2628">
        <v>3.8100000000000005</v>
      </c>
      <c r="F2628" s="2">
        <f t="shared" si="50"/>
        <v>6456.5422903465724</v>
      </c>
    </row>
    <row r="2629" spans="4:6" x14ac:dyDescent="0.2">
      <c r="D2629">
        <v>2.879999999999999</v>
      </c>
      <c r="F2629" s="2">
        <f t="shared" si="50"/>
        <v>758.57757502918241</v>
      </c>
    </row>
    <row r="2630" spans="4:6" x14ac:dyDescent="0.2">
      <c r="D2630">
        <v>4.2100000000000009</v>
      </c>
      <c r="F2630" s="2">
        <f t="shared" si="50"/>
        <v>16218.100973589339</v>
      </c>
    </row>
    <row r="2631" spans="4:6" x14ac:dyDescent="0.2">
      <c r="D2631">
        <v>4.1499999999999995</v>
      </c>
      <c r="F2631" s="2">
        <f t="shared" si="50"/>
        <v>14125.375446227536</v>
      </c>
    </row>
    <row r="2632" spans="4:6" x14ac:dyDescent="0.2">
      <c r="D2632">
        <v>4.46</v>
      </c>
      <c r="F2632" s="2">
        <f t="shared" si="50"/>
        <v>28840.315031266062</v>
      </c>
    </row>
    <row r="2633" spans="4:6" x14ac:dyDescent="0.2">
      <c r="D2633">
        <v>4.2</v>
      </c>
      <c r="F2633" s="2">
        <f t="shared" si="50"/>
        <v>15848.931924611146</v>
      </c>
    </row>
    <row r="2634" spans="4:6" x14ac:dyDescent="0.2">
      <c r="D2634">
        <v>4.5399999999999991</v>
      </c>
      <c r="F2634" s="2">
        <f t="shared" si="50"/>
        <v>34673.685045253136</v>
      </c>
    </row>
    <row r="2635" spans="4:6" x14ac:dyDescent="0.2">
      <c r="D2635">
        <v>4.1199999999999992</v>
      </c>
      <c r="F2635" s="2">
        <f t="shared" si="50"/>
        <v>13182.567385564067</v>
      </c>
    </row>
    <row r="2636" spans="4:6" x14ac:dyDescent="0.2">
      <c r="D2636">
        <v>3.9700000000000006</v>
      </c>
      <c r="F2636" s="2">
        <f t="shared" si="50"/>
        <v>9332.5430079699381</v>
      </c>
    </row>
    <row r="2637" spans="4:6" x14ac:dyDescent="0.2">
      <c r="D2637">
        <v>4.1000000000000005</v>
      </c>
      <c r="F2637" s="2">
        <f t="shared" si="50"/>
        <v>12589.254117941693</v>
      </c>
    </row>
    <row r="2638" spans="4:6" x14ac:dyDescent="0.2">
      <c r="D2638">
        <v>3.4799999999999995</v>
      </c>
      <c r="F2638" s="2">
        <f t="shared" si="50"/>
        <v>3019.9517204020176</v>
      </c>
    </row>
    <row r="2639" spans="4:6" x14ac:dyDescent="0.2">
      <c r="D2639">
        <v>4.6900000000000004</v>
      </c>
      <c r="F2639" s="2">
        <f t="shared" si="50"/>
        <v>48977.881936844686</v>
      </c>
    </row>
    <row r="2640" spans="4:6" x14ac:dyDescent="0.2">
      <c r="D2640">
        <v>4.3</v>
      </c>
      <c r="F2640" s="2">
        <f t="shared" si="50"/>
        <v>19952.623149688792</v>
      </c>
    </row>
    <row r="2641" spans="4:6" x14ac:dyDescent="0.2">
      <c r="D2641">
        <v>5.6900000000000013</v>
      </c>
      <c r="F2641" s="2">
        <f t="shared" si="50"/>
        <v>489778.81936844828</v>
      </c>
    </row>
    <row r="2642" spans="4:6" x14ac:dyDescent="0.2">
      <c r="D2642">
        <v>5.66</v>
      </c>
      <c r="F2642" s="2">
        <f t="shared" si="50"/>
        <v>457088.18961487547</v>
      </c>
    </row>
    <row r="2643" spans="4:6" x14ac:dyDescent="0.2">
      <c r="D2643">
        <v>4.4400000000000004</v>
      </c>
      <c r="F2643" s="2">
        <f t="shared" si="50"/>
        <v>27542.287033381719</v>
      </c>
    </row>
    <row r="2644" spans="4:6" x14ac:dyDescent="0.2">
      <c r="D2644">
        <v>5.64</v>
      </c>
      <c r="F2644" s="2">
        <f t="shared" si="50"/>
        <v>436515.83224016649</v>
      </c>
    </row>
    <row r="2645" spans="4:6" x14ac:dyDescent="0.2">
      <c r="D2645">
        <v>5.68</v>
      </c>
      <c r="F2645" s="2">
        <f t="shared" si="50"/>
        <v>478630.09232263872</v>
      </c>
    </row>
    <row r="2646" spans="4:6" x14ac:dyDescent="0.2">
      <c r="D2646">
        <v>5.1100000000000003</v>
      </c>
      <c r="F2646" s="2">
        <f t="shared" si="50"/>
        <v>128824.95516931375</v>
      </c>
    </row>
    <row r="2647" spans="4:6" x14ac:dyDescent="0.2">
      <c r="D2647">
        <v>5.43</v>
      </c>
      <c r="F2647" s="2">
        <f t="shared" si="50"/>
        <v>269153.48039269145</v>
      </c>
    </row>
    <row r="2648" spans="4:6" x14ac:dyDescent="0.2">
      <c r="D2648">
        <v>4.0399999999999991</v>
      </c>
      <c r="F2648" s="2">
        <f t="shared" si="50"/>
        <v>10964.781961431836</v>
      </c>
    </row>
    <row r="2649" spans="4:6" x14ac:dyDescent="0.2">
      <c r="D2649">
        <v>5.26</v>
      </c>
      <c r="F2649" s="2">
        <f t="shared" si="50"/>
        <v>181970.08586099857</v>
      </c>
    </row>
    <row r="2650" spans="4:6" x14ac:dyDescent="0.2">
      <c r="D2650">
        <v>4.17</v>
      </c>
      <c r="F2650" s="2">
        <f t="shared" si="50"/>
        <v>14791.083881682089</v>
      </c>
    </row>
    <row r="2651" spans="4:6" x14ac:dyDescent="0.2">
      <c r="D2651">
        <v>5.73</v>
      </c>
      <c r="F2651" s="2">
        <f t="shared" si="50"/>
        <v>537031.7963702539</v>
      </c>
    </row>
    <row r="2652" spans="4:6" x14ac:dyDescent="0.2">
      <c r="D2652">
        <v>5.9300000000000006</v>
      </c>
      <c r="F2652" s="2">
        <f t="shared" si="50"/>
        <v>851138.0382023782</v>
      </c>
    </row>
    <row r="2653" spans="4:6" x14ac:dyDescent="0.2">
      <c r="D2653">
        <v>5.2899999999999991</v>
      </c>
      <c r="F2653" s="2">
        <f t="shared" si="50"/>
        <v>194984.45997580438</v>
      </c>
    </row>
    <row r="2654" spans="4:6" x14ac:dyDescent="0.2">
      <c r="D2654">
        <v>4.1300000000000008</v>
      </c>
      <c r="F2654" s="2">
        <f t="shared" si="50"/>
        <v>13489.628825916579</v>
      </c>
    </row>
    <row r="2655" spans="4:6" x14ac:dyDescent="0.2">
      <c r="D2655">
        <v>4.87</v>
      </c>
      <c r="F2655" s="2">
        <f t="shared" si="50"/>
        <v>74131.024130091857</v>
      </c>
    </row>
    <row r="2656" spans="4:6" x14ac:dyDescent="0.2">
      <c r="D2656">
        <v>5.32</v>
      </c>
      <c r="F2656" s="2">
        <f t="shared" si="50"/>
        <v>208929.61308540447</v>
      </c>
    </row>
    <row r="2657" spans="4:6" x14ac:dyDescent="0.2">
      <c r="D2657">
        <v>3.5300000000000011</v>
      </c>
      <c r="F2657" s="2">
        <f t="shared" si="50"/>
        <v>3388.4415613920378</v>
      </c>
    </row>
    <row r="2658" spans="4:6" x14ac:dyDescent="0.2">
      <c r="D2658">
        <v>3.6999999999999993</v>
      </c>
      <c r="F2658" s="2">
        <f t="shared" si="50"/>
        <v>5011.8723362727151</v>
      </c>
    </row>
    <row r="2659" spans="4:6" x14ac:dyDescent="0.2">
      <c r="D2659">
        <v>3.67</v>
      </c>
      <c r="F2659" s="2">
        <f t="shared" si="50"/>
        <v>4677.3514128719844</v>
      </c>
    </row>
    <row r="2660" spans="4:6" x14ac:dyDescent="0.2">
      <c r="D2660">
        <v>3.8100000000000005</v>
      </c>
      <c r="F2660" s="2">
        <f t="shared" si="50"/>
        <v>6456.5422903465724</v>
      </c>
    </row>
    <row r="2661" spans="4:6" x14ac:dyDescent="0.2">
      <c r="D2661">
        <v>3.4299999999999997</v>
      </c>
      <c r="F2661" s="2">
        <f t="shared" si="50"/>
        <v>2691.5348039269161</v>
      </c>
    </row>
    <row r="2662" spans="4:6" x14ac:dyDescent="0.2">
      <c r="D2662">
        <v>4.4800000000000004</v>
      </c>
      <c r="F2662" s="2">
        <f t="shared" si="50"/>
        <v>30199.517204020212</v>
      </c>
    </row>
    <row r="2663" spans="4:6" x14ac:dyDescent="0.2">
      <c r="D2663">
        <v>4.419999999999999</v>
      </c>
      <c r="F2663" s="2">
        <f t="shared" si="50"/>
        <v>26302.679918953781</v>
      </c>
    </row>
    <row r="2664" spans="4:6" x14ac:dyDescent="0.2">
      <c r="D2664">
        <v>4.419999999999999</v>
      </c>
      <c r="F2664" s="2">
        <f t="shared" si="50"/>
        <v>26302.679918953781</v>
      </c>
    </row>
    <row r="2665" spans="4:6" x14ac:dyDescent="0.2">
      <c r="D2665">
        <v>4.8500000000000005</v>
      </c>
      <c r="F2665" s="2">
        <f t="shared" si="50"/>
        <v>70794.578438413911</v>
      </c>
    </row>
    <row r="2666" spans="4:6" x14ac:dyDescent="0.2">
      <c r="D2666">
        <v>4.66</v>
      </c>
      <c r="F2666" s="2">
        <f t="shared" si="50"/>
        <v>45708.818961487581</v>
      </c>
    </row>
    <row r="2667" spans="4:6" x14ac:dyDescent="0.2">
      <c r="D2667">
        <v>5.34</v>
      </c>
      <c r="F2667" s="2">
        <f t="shared" si="50"/>
        <v>218776.16239495538</v>
      </c>
    </row>
    <row r="2668" spans="4:6" x14ac:dyDescent="0.2">
      <c r="D2668">
        <v>4.34</v>
      </c>
      <c r="F2668" s="2">
        <f t="shared" si="50"/>
        <v>21877.61623949555</v>
      </c>
    </row>
    <row r="2669" spans="4:6" x14ac:dyDescent="0.2">
      <c r="D2669">
        <v>5.1099999999999994</v>
      </c>
      <c r="F2669" s="2">
        <f t="shared" si="50"/>
        <v>128824.95516931328</v>
      </c>
    </row>
    <row r="2670" spans="4:6" x14ac:dyDescent="0.2">
      <c r="D2670">
        <v>5.23</v>
      </c>
      <c r="F2670" s="2">
        <f t="shared" ref="F2670:F2682" si="51">10^D2670</f>
        <v>169824.36524617471</v>
      </c>
    </row>
    <row r="2671" spans="4:6" x14ac:dyDescent="0.2">
      <c r="D2671">
        <v>5.21</v>
      </c>
      <c r="F2671" s="2">
        <f t="shared" si="51"/>
        <v>162181.00973589328</v>
      </c>
    </row>
    <row r="2672" spans="4:6" x14ac:dyDescent="0.2">
      <c r="D2672">
        <v>5.53</v>
      </c>
      <c r="F2672" s="2">
        <f t="shared" si="51"/>
        <v>338844.15613920329</v>
      </c>
    </row>
    <row r="2673" spans="1:8" x14ac:dyDescent="0.2">
      <c r="D2673">
        <v>6.27</v>
      </c>
      <c r="F2673" s="2">
        <f t="shared" si="51"/>
        <v>1862087.1366628683</v>
      </c>
    </row>
    <row r="2674" spans="1:8" x14ac:dyDescent="0.2">
      <c r="D2674">
        <v>6.1199999999999992</v>
      </c>
      <c r="F2674" s="2">
        <f t="shared" si="51"/>
        <v>1318256.7385564074</v>
      </c>
    </row>
    <row r="2675" spans="1:8" x14ac:dyDescent="0.2">
      <c r="D2675">
        <v>6.23</v>
      </c>
      <c r="F2675" s="2">
        <f t="shared" si="51"/>
        <v>1698243.6524617488</v>
      </c>
    </row>
    <row r="2676" spans="1:8" x14ac:dyDescent="0.2">
      <c r="D2676">
        <v>5.98</v>
      </c>
      <c r="F2676" s="2">
        <f t="shared" si="51"/>
        <v>954992.58602143743</v>
      </c>
    </row>
    <row r="2677" spans="1:8" x14ac:dyDescent="0.2">
      <c r="D2677">
        <v>5.14</v>
      </c>
      <c r="F2677" s="2">
        <f t="shared" si="51"/>
        <v>138038.42646028858</v>
      </c>
    </row>
    <row r="2678" spans="1:8" x14ac:dyDescent="0.2">
      <c r="D2678">
        <v>5.3100000000000005</v>
      </c>
      <c r="F2678" s="2">
        <f t="shared" si="51"/>
        <v>204173.79446695346</v>
      </c>
    </row>
    <row r="2679" spans="1:8" x14ac:dyDescent="0.2">
      <c r="D2679">
        <v>6.3100000000000005</v>
      </c>
      <c r="F2679" s="2">
        <f t="shared" si="51"/>
        <v>2041737.9446695333</v>
      </c>
    </row>
    <row r="2680" spans="1:8" x14ac:dyDescent="0.2">
      <c r="D2680">
        <v>5.7900000000000009</v>
      </c>
      <c r="F2680" s="2">
        <f t="shared" si="51"/>
        <v>616595.00186148426</v>
      </c>
    </row>
    <row r="2681" spans="1:8" x14ac:dyDescent="0.2">
      <c r="D2681">
        <v>5.0599999999999996</v>
      </c>
      <c r="F2681" s="2">
        <f t="shared" si="51"/>
        <v>114815.36214968823</v>
      </c>
    </row>
    <row r="2682" spans="1:8" x14ac:dyDescent="0.2">
      <c r="D2682">
        <v>5.77</v>
      </c>
      <c r="F2682" s="2">
        <f t="shared" si="51"/>
        <v>588843.65535558888</v>
      </c>
    </row>
    <row r="2683" spans="1:8" x14ac:dyDescent="0.2">
      <c r="A2683" t="s">
        <v>579</v>
      </c>
      <c r="B2683">
        <v>2021</v>
      </c>
      <c r="C2683" t="s">
        <v>0</v>
      </c>
      <c r="D2683" s="2">
        <v>13100</v>
      </c>
      <c r="E2683" t="s">
        <v>541</v>
      </c>
      <c r="F2683" s="2">
        <f>D2683</f>
        <v>13100</v>
      </c>
      <c r="H2683" t="s">
        <v>578</v>
      </c>
    </row>
    <row r="2684" spans="1:8" x14ac:dyDescent="0.2">
      <c r="D2684" s="2">
        <v>73500</v>
      </c>
      <c r="F2684" s="2">
        <f t="shared" ref="F2684:F2747" si="52">D2684</f>
        <v>73500</v>
      </c>
    </row>
    <row r="2685" spans="1:8" x14ac:dyDescent="0.2">
      <c r="D2685" s="2">
        <v>29700</v>
      </c>
      <c r="F2685" s="2">
        <f t="shared" si="52"/>
        <v>29700</v>
      </c>
    </row>
    <row r="2686" spans="1:8" x14ac:dyDescent="0.2">
      <c r="D2686" s="2">
        <v>43600</v>
      </c>
      <c r="F2686" s="2">
        <f t="shared" si="52"/>
        <v>43600</v>
      </c>
    </row>
    <row r="2687" spans="1:8" x14ac:dyDescent="0.2">
      <c r="D2687" s="2">
        <v>63900</v>
      </c>
      <c r="F2687" s="2">
        <f t="shared" si="52"/>
        <v>63900</v>
      </c>
    </row>
    <row r="2688" spans="1:8" x14ac:dyDescent="0.2">
      <c r="D2688" s="2">
        <v>63700</v>
      </c>
      <c r="F2688" s="2">
        <f t="shared" si="52"/>
        <v>63700</v>
      </c>
    </row>
    <row r="2689" spans="4:6" x14ac:dyDescent="0.2">
      <c r="D2689" s="2">
        <v>58900</v>
      </c>
      <c r="F2689" s="2">
        <f t="shared" si="52"/>
        <v>58900</v>
      </c>
    </row>
    <row r="2690" spans="4:6" x14ac:dyDescent="0.2">
      <c r="D2690" s="2">
        <v>50400</v>
      </c>
      <c r="F2690" s="2">
        <f t="shared" si="52"/>
        <v>50400</v>
      </c>
    </row>
    <row r="2691" spans="4:6" x14ac:dyDescent="0.2">
      <c r="D2691" s="2">
        <v>57600</v>
      </c>
      <c r="F2691" s="2">
        <f t="shared" si="52"/>
        <v>57600</v>
      </c>
    </row>
    <row r="2692" spans="4:6" x14ac:dyDescent="0.2">
      <c r="D2692" s="2">
        <v>184000</v>
      </c>
      <c r="F2692" s="2">
        <f t="shared" si="52"/>
        <v>184000</v>
      </c>
    </row>
    <row r="2693" spans="4:6" x14ac:dyDescent="0.2">
      <c r="D2693" s="2">
        <v>34900</v>
      </c>
      <c r="F2693" s="2">
        <f t="shared" si="52"/>
        <v>34900</v>
      </c>
    </row>
    <row r="2694" spans="4:6" x14ac:dyDescent="0.2">
      <c r="D2694" s="2">
        <v>31700</v>
      </c>
      <c r="F2694" s="2">
        <f t="shared" si="52"/>
        <v>31700</v>
      </c>
    </row>
    <row r="2695" spans="4:6" x14ac:dyDescent="0.2">
      <c r="D2695" s="2">
        <v>2980</v>
      </c>
      <c r="F2695" s="2">
        <f t="shared" si="52"/>
        <v>2980</v>
      </c>
    </row>
    <row r="2696" spans="4:6" x14ac:dyDescent="0.2">
      <c r="D2696" s="2">
        <v>12400</v>
      </c>
      <c r="F2696" s="2">
        <f t="shared" si="52"/>
        <v>12400</v>
      </c>
    </row>
    <row r="2697" spans="4:6" x14ac:dyDescent="0.2">
      <c r="D2697" s="2">
        <v>4490</v>
      </c>
      <c r="F2697" s="2">
        <f t="shared" si="52"/>
        <v>4490</v>
      </c>
    </row>
    <row r="2698" spans="4:6" x14ac:dyDescent="0.2">
      <c r="D2698" s="2">
        <v>148000</v>
      </c>
      <c r="F2698" s="2">
        <f t="shared" si="52"/>
        <v>148000</v>
      </c>
    </row>
    <row r="2699" spans="4:6" x14ac:dyDescent="0.2">
      <c r="D2699" s="2">
        <v>9360</v>
      </c>
      <c r="F2699" s="2">
        <f t="shared" si="52"/>
        <v>9360</v>
      </c>
    </row>
    <row r="2700" spans="4:6" x14ac:dyDescent="0.2">
      <c r="D2700" s="2">
        <v>1550</v>
      </c>
      <c r="F2700" s="2">
        <f t="shared" si="52"/>
        <v>1550</v>
      </c>
    </row>
    <row r="2701" spans="4:6" x14ac:dyDescent="0.2">
      <c r="D2701" s="2">
        <v>4750</v>
      </c>
      <c r="F2701" s="2">
        <f t="shared" si="52"/>
        <v>4750</v>
      </c>
    </row>
    <row r="2702" spans="4:6" x14ac:dyDescent="0.2">
      <c r="D2702" s="2">
        <v>4430</v>
      </c>
      <c r="F2702" s="2">
        <f t="shared" si="52"/>
        <v>4430</v>
      </c>
    </row>
    <row r="2703" spans="4:6" x14ac:dyDescent="0.2">
      <c r="D2703" s="2">
        <v>7070</v>
      </c>
      <c r="F2703" s="2">
        <f t="shared" si="52"/>
        <v>7070</v>
      </c>
    </row>
    <row r="2704" spans="4:6" x14ac:dyDescent="0.2">
      <c r="D2704" s="2">
        <v>4600</v>
      </c>
      <c r="F2704" s="2">
        <f t="shared" si="52"/>
        <v>4600</v>
      </c>
    </row>
    <row r="2705" spans="4:6" x14ac:dyDescent="0.2">
      <c r="D2705" s="2">
        <v>2240</v>
      </c>
      <c r="F2705" s="2">
        <f t="shared" si="52"/>
        <v>2240</v>
      </c>
    </row>
    <row r="2706" spans="4:6" x14ac:dyDescent="0.2">
      <c r="D2706" s="2">
        <v>2790</v>
      </c>
      <c r="F2706" s="2">
        <f t="shared" si="52"/>
        <v>2790</v>
      </c>
    </row>
    <row r="2707" spans="4:6" x14ac:dyDescent="0.2">
      <c r="D2707" s="2">
        <v>1200</v>
      </c>
      <c r="F2707" s="2">
        <f t="shared" si="52"/>
        <v>1200</v>
      </c>
    </row>
    <row r="2708" spans="4:6" x14ac:dyDescent="0.2">
      <c r="D2708" s="2">
        <v>17500</v>
      </c>
      <c r="F2708" s="2">
        <f t="shared" si="52"/>
        <v>17500</v>
      </c>
    </row>
    <row r="2709" spans="4:6" x14ac:dyDescent="0.2">
      <c r="D2709" s="2">
        <v>5370</v>
      </c>
      <c r="F2709" s="2">
        <f t="shared" si="52"/>
        <v>5370</v>
      </c>
    </row>
    <row r="2710" spans="4:6" x14ac:dyDescent="0.2">
      <c r="D2710" s="2">
        <v>7070</v>
      </c>
      <c r="F2710" s="2">
        <f t="shared" si="52"/>
        <v>7070</v>
      </c>
    </row>
    <row r="2711" spans="4:6" x14ac:dyDescent="0.2">
      <c r="D2711" s="2">
        <v>14600</v>
      </c>
      <c r="F2711" s="2">
        <f t="shared" si="52"/>
        <v>14600</v>
      </c>
    </row>
    <row r="2712" spans="4:6" x14ac:dyDescent="0.2">
      <c r="D2712" s="2">
        <v>18400</v>
      </c>
      <c r="F2712" s="2">
        <f t="shared" si="52"/>
        <v>18400</v>
      </c>
    </row>
    <row r="2713" spans="4:6" x14ac:dyDescent="0.2">
      <c r="D2713" s="2">
        <v>11700</v>
      </c>
      <c r="F2713" s="2">
        <f t="shared" si="52"/>
        <v>11700</v>
      </c>
    </row>
    <row r="2714" spans="4:6" x14ac:dyDescent="0.2">
      <c r="D2714" s="2">
        <v>7980</v>
      </c>
      <c r="F2714" s="2">
        <f t="shared" si="52"/>
        <v>7980</v>
      </c>
    </row>
    <row r="2715" spans="4:6" x14ac:dyDescent="0.2">
      <c r="D2715" s="2">
        <v>11200</v>
      </c>
      <c r="F2715" s="2">
        <f t="shared" si="52"/>
        <v>11200</v>
      </c>
    </row>
    <row r="2716" spans="4:6" x14ac:dyDescent="0.2">
      <c r="D2716" s="2">
        <v>9160</v>
      </c>
      <c r="F2716" s="2">
        <f t="shared" si="52"/>
        <v>9160</v>
      </c>
    </row>
    <row r="2717" spans="4:6" x14ac:dyDescent="0.2">
      <c r="D2717" s="2">
        <v>16300</v>
      </c>
      <c r="F2717" s="2">
        <f t="shared" si="52"/>
        <v>16300</v>
      </c>
    </row>
    <row r="2718" spans="4:6" x14ac:dyDescent="0.2">
      <c r="D2718" s="2">
        <v>18900</v>
      </c>
      <c r="F2718" s="2">
        <f t="shared" si="52"/>
        <v>18900</v>
      </c>
    </row>
    <row r="2719" spans="4:6" x14ac:dyDescent="0.2">
      <c r="D2719" s="2">
        <v>0</v>
      </c>
      <c r="F2719" s="2">
        <f t="shared" si="52"/>
        <v>0</v>
      </c>
    </row>
    <row r="2720" spans="4:6" x14ac:dyDescent="0.2">
      <c r="D2720" s="2">
        <v>0</v>
      </c>
      <c r="F2720" s="2">
        <f t="shared" si="52"/>
        <v>0</v>
      </c>
    </row>
    <row r="2721" spans="4:6" x14ac:dyDescent="0.2">
      <c r="D2721" s="2">
        <v>0</v>
      </c>
      <c r="F2721" s="2">
        <f t="shared" si="52"/>
        <v>0</v>
      </c>
    </row>
    <row r="2722" spans="4:6" x14ac:dyDescent="0.2">
      <c r="D2722" s="2">
        <v>0</v>
      </c>
      <c r="F2722" s="2">
        <f t="shared" si="52"/>
        <v>0</v>
      </c>
    </row>
    <row r="2723" spans="4:6" x14ac:dyDescent="0.2">
      <c r="D2723" s="2">
        <v>0</v>
      </c>
      <c r="F2723" s="2">
        <f t="shared" si="52"/>
        <v>0</v>
      </c>
    </row>
    <row r="2724" spans="4:6" x14ac:dyDescent="0.2">
      <c r="D2724" s="2">
        <v>265</v>
      </c>
      <c r="F2724" s="2">
        <f t="shared" si="52"/>
        <v>265</v>
      </c>
    </row>
    <row r="2725" spans="4:6" x14ac:dyDescent="0.2">
      <c r="D2725" s="2">
        <v>0</v>
      </c>
      <c r="F2725" s="2">
        <f t="shared" si="52"/>
        <v>0</v>
      </c>
    </row>
    <row r="2726" spans="4:6" x14ac:dyDescent="0.2">
      <c r="D2726" s="2">
        <v>0</v>
      </c>
      <c r="F2726" s="2">
        <f t="shared" si="52"/>
        <v>0</v>
      </c>
    </row>
    <row r="2727" spans="4:6" x14ac:dyDescent="0.2">
      <c r="D2727" s="2">
        <v>0</v>
      </c>
      <c r="F2727" s="2">
        <f t="shared" si="52"/>
        <v>0</v>
      </c>
    </row>
    <row r="2728" spans="4:6" x14ac:dyDescent="0.2">
      <c r="D2728" s="2">
        <v>0</v>
      </c>
      <c r="F2728" s="2">
        <f t="shared" si="52"/>
        <v>0</v>
      </c>
    </row>
    <row r="2729" spans="4:6" x14ac:dyDescent="0.2">
      <c r="D2729" s="2">
        <v>0</v>
      </c>
      <c r="F2729" s="2">
        <f t="shared" si="52"/>
        <v>0</v>
      </c>
    </row>
    <row r="2730" spans="4:6" x14ac:dyDescent="0.2">
      <c r="D2730" s="2">
        <v>0</v>
      </c>
      <c r="F2730" s="2">
        <f t="shared" si="52"/>
        <v>0</v>
      </c>
    </row>
    <row r="2731" spans="4:6" x14ac:dyDescent="0.2">
      <c r="D2731" s="2">
        <v>62.9</v>
      </c>
      <c r="F2731" s="2">
        <f t="shared" si="52"/>
        <v>62.9</v>
      </c>
    </row>
    <row r="2732" spans="4:6" x14ac:dyDescent="0.2">
      <c r="D2732" s="2">
        <v>4470</v>
      </c>
      <c r="F2732" s="2">
        <f t="shared" si="52"/>
        <v>4470</v>
      </c>
    </row>
    <row r="2733" spans="4:6" x14ac:dyDescent="0.2">
      <c r="D2733" s="2">
        <v>1100</v>
      </c>
      <c r="F2733" s="2">
        <f t="shared" si="52"/>
        <v>1100</v>
      </c>
    </row>
    <row r="2734" spans="4:6" x14ac:dyDescent="0.2">
      <c r="D2734" s="2">
        <v>38500</v>
      </c>
      <c r="F2734" s="2">
        <f t="shared" si="52"/>
        <v>38500</v>
      </c>
    </row>
    <row r="2735" spans="4:6" x14ac:dyDescent="0.2">
      <c r="D2735" s="2">
        <v>3310</v>
      </c>
      <c r="F2735" s="2">
        <f t="shared" si="52"/>
        <v>3310</v>
      </c>
    </row>
    <row r="2736" spans="4:6" x14ac:dyDescent="0.2">
      <c r="D2736" s="2">
        <v>3960</v>
      </c>
      <c r="F2736" s="2">
        <f t="shared" si="52"/>
        <v>3960</v>
      </c>
    </row>
    <row r="2737" spans="4:6" x14ac:dyDescent="0.2">
      <c r="D2737" s="2">
        <v>3890</v>
      </c>
      <c r="F2737" s="2">
        <f t="shared" si="52"/>
        <v>3890</v>
      </c>
    </row>
    <row r="2738" spans="4:6" x14ac:dyDescent="0.2">
      <c r="D2738" s="2">
        <v>1750</v>
      </c>
      <c r="F2738" s="2">
        <f t="shared" si="52"/>
        <v>1750</v>
      </c>
    </row>
    <row r="2739" spans="4:6" x14ac:dyDescent="0.2">
      <c r="D2739" s="2">
        <v>1970</v>
      </c>
      <c r="F2739" s="2">
        <f t="shared" si="52"/>
        <v>1970</v>
      </c>
    </row>
    <row r="2740" spans="4:6" x14ac:dyDescent="0.2">
      <c r="D2740" s="2">
        <v>880</v>
      </c>
      <c r="F2740" s="2">
        <f t="shared" si="52"/>
        <v>880</v>
      </c>
    </row>
    <row r="2741" spans="4:6" x14ac:dyDescent="0.2">
      <c r="D2741" s="2">
        <v>2470</v>
      </c>
      <c r="F2741" s="2">
        <f t="shared" si="52"/>
        <v>2470</v>
      </c>
    </row>
    <row r="2742" spans="4:6" x14ac:dyDescent="0.2">
      <c r="D2742" s="2">
        <v>1270</v>
      </c>
      <c r="F2742" s="2">
        <f t="shared" si="52"/>
        <v>1270</v>
      </c>
    </row>
    <row r="2743" spans="4:6" x14ac:dyDescent="0.2">
      <c r="D2743" s="2">
        <v>32300</v>
      </c>
      <c r="F2743" s="2">
        <f t="shared" si="52"/>
        <v>32300</v>
      </c>
    </row>
    <row r="2744" spans="4:6" x14ac:dyDescent="0.2">
      <c r="D2744" s="2">
        <v>77700</v>
      </c>
      <c r="F2744" s="2">
        <f t="shared" si="52"/>
        <v>77700</v>
      </c>
    </row>
    <row r="2745" spans="4:6" x14ac:dyDescent="0.2">
      <c r="D2745" s="2">
        <v>70300</v>
      </c>
      <c r="F2745" s="2">
        <f t="shared" si="52"/>
        <v>70300</v>
      </c>
    </row>
    <row r="2746" spans="4:6" x14ac:dyDescent="0.2">
      <c r="D2746" s="2">
        <v>972000</v>
      </c>
      <c r="F2746" s="2">
        <f t="shared" si="52"/>
        <v>972000</v>
      </c>
    </row>
    <row r="2747" spans="4:6" x14ac:dyDescent="0.2">
      <c r="D2747" s="2">
        <v>72500</v>
      </c>
      <c r="F2747" s="2">
        <f t="shared" si="52"/>
        <v>72500</v>
      </c>
    </row>
    <row r="2748" spans="4:6" x14ac:dyDescent="0.2">
      <c r="D2748" s="2">
        <v>256000</v>
      </c>
      <c r="F2748" s="2">
        <f t="shared" ref="F2748:F2811" si="53">D2748</f>
        <v>256000</v>
      </c>
    </row>
    <row r="2749" spans="4:6" x14ac:dyDescent="0.2">
      <c r="D2749" s="2">
        <v>309000</v>
      </c>
      <c r="F2749" s="2">
        <f t="shared" si="53"/>
        <v>309000</v>
      </c>
    </row>
    <row r="2750" spans="4:6" x14ac:dyDescent="0.2">
      <c r="D2750" s="2">
        <v>212000</v>
      </c>
      <c r="F2750" s="2">
        <f t="shared" si="53"/>
        <v>212000</v>
      </c>
    </row>
    <row r="2751" spans="4:6" x14ac:dyDescent="0.2">
      <c r="D2751" s="2">
        <v>253000</v>
      </c>
      <c r="F2751" s="2">
        <f t="shared" si="53"/>
        <v>253000</v>
      </c>
    </row>
    <row r="2752" spans="4:6" x14ac:dyDescent="0.2">
      <c r="D2752" s="2">
        <v>247000</v>
      </c>
      <c r="F2752" s="2">
        <f t="shared" si="53"/>
        <v>247000</v>
      </c>
    </row>
    <row r="2753" spans="4:6" x14ac:dyDescent="0.2">
      <c r="D2753" s="2">
        <v>96100</v>
      </c>
      <c r="F2753" s="2">
        <f t="shared" si="53"/>
        <v>96100</v>
      </c>
    </row>
    <row r="2754" spans="4:6" x14ac:dyDescent="0.2">
      <c r="D2754" s="2">
        <v>98300</v>
      </c>
      <c r="F2754" s="2">
        <f t="shared" si="53"/>
        <v>98300</v>
      </c>
    </row>
    <row r="2755" spans="4:6" x14ac:dyDescent="0.2">
      <c r="D2755" s="2">
        <v>445</v>
      </c>
      <c r="F2755" s="2">
        <f t="shared" si="53"/>
        <v>445</v>
      </c>
    </row>
    <row r="2756" spans="4:6" x14ac:dyDescent="0.2">
      <c r="D2756" s="2">
        <v>4710</v>
      </c>
      <c r="F2756" s="2">
        <f t="shared" si="53"/>
        <v>4710</v>
      </c>
    </row>
    <row r="2757" spans="4:6" x14ac:dyDescent="0.2">
      <c r="D2757" s="2">
        <v>3070</v>
      </c>
      <c r="F2757" s="2">
        <f t="shared" si="53"/>
        <v>3070</v>
      </c>
    </row>
    <row r="2758" spans="4:6" x14ac:dyDescent="0.2">
      <c r="D2758" s="2">
        <v>5150</v>
      </c>
      <c r="F2758" s="2">
        <f t="shared" si="53"/>
        <v>5150</v>
      </c>
    </row>
    <row r="2759" spans="4:6" x14ac:dyDescent="0.2">
      <c r="D2759" s="2">
        <v>476</v>
      </c>
      <c r="F2759" s="2">
        <f t="shared" si="53"/>
        <v>476</v>
      </c>
    </row>
    <row r="2760" spans="4:6" x14ac:dyDescent="0.2">
      <c r="D2760" s="2">
        <v>40.1</v>
      </c>
      <c r="F2760" s="2">
        <f t="shared" si="53"/>
        <v>40.1</v>
      </c>
    </row>
    <row r="2761" spans="4:6" x14ac:dyDescent="0.2">
      <c r="D2761" s="2">
        <v>164</v>
      </c>
      <c r="F2761" s="2">
        <f t="shared" si="53"/>
        <v>164</v>
      </c>
    </row>
    <row r="2762" spans="4:6" x14ac:dyDescent="0.2">
      <c r="D2762" s="2">
        <v>420</v>
      </c>
      <c r="F2762" s="2">
        <f t="shared" si="53"/>
        <v>420</v>
      </c>
    </row>
    <row r="2763" spans="4:6" x14ac:dyDescent="0.2">
      <c r="D2763" s="2">
        <v>450</v>
      </c>
      <c r="F2763" s="2">
        <f t="shared" si="53"/>
        <v>450</v>
      </c>
    </row>
    <row r="2764" spans="4:6" x14ac:dyDescent="0.2">
      <c r="D2764" s="2">
        <v>330</v>
      </c>
      <c r="F2764" s="2">
        <f t="shared" si="53"/>
        <v>330</v>
      </c>
    </row>
    <row r="2765" spans="4:6" x14ac:dyDescent="0.2">
      <c r="D2765" s="2">
        <v>224</v>
      </c>
      <c r="F2765" s="2">
        <f t="shared" si="53"/>
        <v>224</v>
      </c>
    </row>
    <row r="2766" spans="4:6" x14ac:dyDescent="0.2">
      <c r="D2766" s="2">
        <v>118</v>
      </c>
      <c r="F2766" s="2">
        <f t="shared" si="53"/>
        <v>118</v>
      </c>
    </row>
    <row r="2767" spans="4:6" x14ac:dyDescent="0.2">
      <c r="D2767" s="2">
        <v>539000</v>
      </c>
      <c r="F2767" s="2">
        <f t="shared" si="53"/>
        <v>539000</v>
      </c>
    </row>
    <row r="2768" spans="4:6" x14ac:dyDescent="0.2">
      <c r="D2768" s="2">
        <v>8830000</v>
      </c>
      <c r="F2768" s="2">
        <f t="shared" si="53"/>
        <v>8830000</v>
      </c>
    </row>
    <row r="2769" spans="4:6" x14ac:dyDescent="0.2">
      <c r="D2769" s="2">
        <v>2900000</v>
      </c>
      <c r="F2769" s="2">
        <f t="shared" si="53"/>
        <v>2900000</v>
      </c>
    </row>
    <row r="2770" spans="4:6" x14ac:dyDescent="0.2">
      <c r="D2770" s="2">
        <v>1200000</v>
      </c>
      <c r="F2770" s="2">
        <f t="shared" si="53"/>
        <v>1200000</v>
      </c>
    </row>
    <row r="2771" spans="4:6" x14ac:dyDescent="0.2">
      <c r="D2771" s="2">
        <v>717000</v>
      </c>
      <c r="F2771" s="2">
        <f t="shared" si="53"/>
        <v>717000</v>
      </c>
    </row>
    <row r="2772" spans="4:6" x14ac:dyDescent="0.2">
      <c r="D2772" s="2">
        <v>771000</v>
      </c>
      <c r="F2772" s="2">
        <f t="shared" si="53"/>
        <v>771000</v>
      </c>
    </row>
    <row r="2773" spans="4:6" x14ac:dyDescent="0.2">
      <c r="D2773" s="2">
        <v>533000</v>
      </c>
      <c r="F2773" s="2">
        <f t="shared" si="53"/>
        <v>533000</v>
      </c>
    </row>
    <row r="2774" spans="4:6" x14ac:dyDescent="0.2">
      <c r="D2774" s="2">
        <v>488000</v>
      </c>
      <c r="F2774" s="2">
        <f t="shared" si="53"/>
        <v>488000</v>
      </c>
    </row>
    <row r="2775" spans="4:6" x14ac:dyDescent="0.2">
      <c r="D2775" s="2">
        <v>3050000</v>
      </c>
      <c r="F2775" s="2">
        <f t="shared" si="53"/>
        <v>3050000</v>
      </c>
    </row>
    <row r="2776" spans="4:6" x14ac:dyDescent="0.2">
      <c r="D2776" s="2">
        <v>1080000</v>
      </c>
      <c r="F2776" s="2">
        <f t="shared" si="53"/>
        <v>1080000</v>
      </c>
    </row>
    <row r="2777" spans="4:6" x14ac:dyDescent="0.2">
      <c r="D2777" s="2">
        <v>585000</v>
      </c>
      <c r="F2777" s="2">
        <f t="shared" si="53"/>
        <v>585000</v>
      </c>
    </row>
    <row r="2778" spans="4:6" x14ac:dyDescent="0.2">
      <c r="D2778" s="2">
        <v>437000</v>
      </c>
      <c r="F2778" s="2">
        <f t="shared" si="53"/>
        <v>437000</v>
      </c>
    </row>
    <row r="2779" spans="4:6" x14ac:dyDescent="0.2">
      <c r="D2779" s="2">
        <v>46800</v>
      </c>
      <c r="F2779" s="2">
        <f t="shared" si="53"/>
        <v>46800</v>
      </c>
    </row>
    <row r="2780" spans="4:6" x14ac:dyDescent="0.2">
      <c r="D2780" s="2">
        <v>5290000</v>
      </c>
      <c r="F2780" s="2">
        <f t="shared" si="53"/>
        <v>5290000</v>
      </c>
    </row>
    <row r="2781" spans="4:6" x14ac:dyDescent="0.2">
      <c r="D2781" s="2">
        <v>820000</v>
      </c>
      <c r="F2781" s="2">
        <f t="shared" si="53"/>
        <v>820000</v>
      </c>
    </row>
    <row r="2782" spans="4:6" x14ac:dyDescent="0.2">
      <c r="D2782" s="2">
        <v>93400</v>
      </c>
      <c r="F2782" s="2">
        <f t="shared" si="53"/>
        <v>93400</v>
      </c>
    </row>
    <row r="2783" spans="4:6" x14ac:dyDescent="0.2">
      <c r="D2783" s="2">
        <v>69400</v>
      </c>
      <c r="F2783" s="2">
        <f t="shared" si="53"/>
        <v>69400</v>
      </c>
    </row>
    <row r="2784" spans="4:6" x14ac:dyDescent="0.2">
      <c r="D2784" s="2">
        <v>120000</v>
      </c>
      <c r="F2784" s="2">
        <f t="shared" si="53"/>
        <v>120000</v>
      </c>
    </row>
    <row r="2785" spans="4:6" x14ac:dyDescent="0.2">
      <c r="D2785" s="2">
        <v>62100</v>
      </c>
      <c r="F2785" s="2">
        <f t="shared" si="53"/>
        <v>62100</v>
      </c>
    </row>
    <row r="2786" spans="4:6" x14ac:dyDescent="0.2">
      <c r="D2786" s="2">
        <v>39100</v>
      </c>
      <c r="F2786" s="2">
        <f t="shared" si="53"/>
        <v>39100</v>
      </c>
    </row>
    <row r="2787" spans="4:6" x14ac:dyDescent="0.2">
      <c r="D2787" s="2">
        <v>635000</v>
      </c>
      <c r="F2787" s="2">
        <f t="shared" si="53"/>
        <v>635000</v>
      </c>
    </row>
    <row r="2788" spans="4:6" x14ac:dyDescent="0.2">
      <c r="D2788" s="2">
        <v>450000</v>
      </c>
      <c r="F2788" s="2">
        <f t="shared" si="53"/>
        <v>450000</v>
      </c>
    </row>
    <row r="2789" spans="4:6" x14ac:dyDescent="0.2">
      <c r="D2789" s="2">
        <v>57400</v>
      </c>
      <c r="F2789" s="2">
        <f t="shared" si="53"/>
        <v>57400</v>
      </c>
    </row>
    <row r="2790" spans="4:6" x14ac:dyDescent="0.2">
      <c r="D2790" s="2">
        <v>39500</v>
      </c>
      <c r="F2790" s="2">
        <f t="shared" si="53"/>
        <v>39500</v>
      </c>
    </row>
    <row r="2791" spans="4:6" x14ac:dyDescent="0.2">
      <c r="D2791" s="2">
        <v>21500</v>
      </c>
      <c r="F2791" s="2">
        <f t="shared" si="53"/>
        <v>21500</v>
      </c>
    </row>
    <row r="2792" spans="4:6" x14ac:dyDescent="0.2">
      <c r="D2792" s="2">
        <v>27200</v>
      </c>
      <c r="F2792" s="2">
        <f t="shared" si="53"/>
        <v>27200</v>
      </c>
    </row>
    <row r="2793" spans="4:6" x14ac:dyDescent="0.2">
      <c r="D2793" s="2">
        <v>11400</v>
      </c>
      <c r="F2793" s="2">
        <f t="shared" si="53"/>
        <v>11400</v>
      </c>
    </row>
    <row r="2794" spans="4:6" x14ac:dyDescent="0.2">
      <c r="D2794" s="2">
        <v>15400</v>
      </c>
      <c r="F2794" s="2">
        <f t="shared" si="53"/>
        <v>15400</v>
      </c>
    </row>
    <row r="2795" spans="4:6" x14ac:dyDescent="0.2">
      <c r="D2795" s="2">
        <v>36200</v>
      </c>
      <c r="F2795" s="2">
        <f t="shared" si="53"/>
        <v>36200</v>
      </c>
    </row>
    <row r="2796" spans="4:6" x14ac:dyDescent="0.2">
      <c r="D2796" s="2">
        <v>36800</v>
      </c>
      <c r="F2796" s="2">
        <f t="shared" si="53"/>
        <v>36800</v>
      </c>
    </row>
    <row r="2797" spans="4:6" x14ac:dyDescent="0.2">
      <c r="D2797" s="2">
        <v>24700</v>
      </c>
      <c r="F2797" s="2">
        <f t="shared" si="53"/>
        <v>24700</v>
      </c>
    </row>
    <row r="2798" spans="4:6" x14ac:dyDescent="0.2">
      <c r="D2798" s="2">
        <v>13600</v>
      </c>
      <c r="F2798" s="2">
        <f t="shared" si="53"/>
        <v>13600</v>
      </c>
    </row>
    <row r="2799" spans="4:6" x14ac:dyDescent="0.2">
      <c r="D2799" s="2">
        <v>23000</v>
      </c>
      <c r="F2799" s="2">
        <f t="shared" si="53"/>
        <v>23000</v>
      </c>
    </row>
    <row r="2800" spans="4:6" x14ac:dyDescent="0.2">
      <c r="D2800" s="2">
        <v>14600</v>
      </c>
      <c r="F2800" s="2">
        <f t="shared" si="53"/>
        <v>14600</v>
      </c>
    </row>
    <row r="2801" spans="4:6" x14ac:dyDescent="0.2">
      <c r="D2801" s="2">
        <v>35300</v>
      </c>
      <c r="F2801" s="2">
        <f t="shared" si="53"/>
        <v>35300</v>
      </c>
    </row>
    <row r="2802" spans="4:6" x14ac:dyDescent="0.2">
      <c r="D2802" s="2">
        <v>25600</v>
      </c>
      <c r="F2802" s="2">
        <f t="shared" si="53"/>
        <v>25600</v>
      </c>
    </row>
    <row r="2803" spans="4:6" x14ac:dyDescent="0.2">
      <c r="D2803" s="2">
        <v>0</v>
      </c>
      <c r="F2803" s="2">
        <f t="shared" si="53"/>
        <v>0</v>
      </c>
    </row>
    <row r="2804" spans="4:6" x14ac:dyDescent="0.2">
      <c r="D2804" s="2">
        <v>0</v>
      </c>
      <c r="F2804" s="2">
        <f t="shared" si="53"/>
        <v>0</v>
      </c>
    </row>
    <row r="2805" spans="4:6" x14ac:dyDescent="0.2">
      <c r="D2805" s="2">
        <v>13.9</v>
      </c>
      <c r="F2805" s="2">
        <f t="shared" si="53"/>
        <v>13.9</v>
      </c>
    </row>
    <row r="2806" spans="4:6" x14ac:dyDescent="0.2">
      <c r="D2806" s="2">
        <v>0</v>
      </c>
      <c r="F2806" s="2">
        <f t="shared" si="53"/>
        <v>0</v>
      </c>
    </row>
    <row r="2807" spans="4:6" x14ac:dyDescent="0.2">
      <c r="D2807" s="2">
        <v>0</v>
      </c>
      <c r="F2807" s="2">
        <f t="shared" si="53"/>
        <v>0</v>
      </c>
    </row>
    <row r="2808" spans="4:6" x14ac:dyDescent="0.2">
      <c r="D2808" s="2">
        <v>3.76</v>
      </c>
      <c r="F2808" s="2">
        <f t="shared" si="53"/>
        <v>3.76</v>
      </c>
    </row>
    <row r="2809" spans="4:6" x14ac:dyDescent="0.2">
      <c r="D2809" s="2">
        <v>226</v>
      </c>
      <c r="F2809" s="2">
        <f t="shared" si="53"/>
        <v>226</v>
      </c>
    </row>
    <row r="2810" spans="4:6" x14ac:dyDescent="0.2">
      <c r="D2810" s="2">
        <v>222</v>
      </c>
      <c r="F2810" s="2">
        <f t="shared" si="53"/>
        <v>222</v>
      </c>
    </row>
    <row r="2811" spans="4:6" x14ac:dyDescent="0.2">
      <c r="D2811" s="2">
        <v>0</v>
      </c>
      <c r="F2811" s="2">
        <f t="shared" si="53"/>
        <v>0</v>
      </c>
    </row>
    <row r="2812" spans="4:6" x14ac:dyDescent="0.2">
      <c r="D2812" s="2">
        <v>0</v>
      </c>
      <c r="F2812" s="2">
        <f t="shared" ref="F2812:F2875" si="54">D2812</f>
        <v>0</v>
      </c>
    </row>
    <row r="2813" spans="4:6" x14ac:dyDescent="0.2">
      <c r="D2813" s="2">
        <v>0</v>
      </c>
      <c r="F2813" s="2">
        <f t="shared" si="54"/>
        <v>0</v>
      </c>
    </row>
    <row r="2814" spans="4:6" x14ac:dyDescent="0.2">
      <c r="D2814" s="2">
        <v>0</v>
      </c>
      <c r="F2814" s="2">
        <f t="shared" si="54"/>
        <v>0</v>
      </c>
    </row>
    <row r="2815" spans="4:6" x14ac:dyDescent="0.2">
      <c r="D2815" s="2">
        <v>42300</v>
      </c>
      <c r="F2815" s="2">
        <f t="shared" si="54"/>
        <v>42300</v>
      </c>
    </row>
    <row r="2816" spans="4:6" x14ac:dyDescent="0.2">
      <c r="D2816" s="2">
        <v>514000</v>
      </c>
      <c r="F2816" s="2">
        <f t="shared" si="54"/>
        <v>514000</v>
      </c>
    </row>
    <row r="2817" spans="4:6" x14ac:dyDescent="0.2">
      <c r="D2817" s="2">
        <v>131000</v>
      </c>
      <c r="F2817" s="2">
        <f t="shared" si="54"/>
        <v>131000</v>
      </c>
    </row>
    <row r="2818" spans="4:6" x14ac:dyDescent="0.2">
      <c r="D2818" s="2">
        <v>51500</v>
      </c>
      <c r="F2818" s="2">
        <f t="shared" si="54"/>
        <v>51500</v>
      </c>
    </row>
    <row r="2819" spans="4:6" x14ac:dyDescent="0.2">
      <c r="D2819" s="2">
        <v>60300</v>
      </c>
      <c r="F2819" s="2">
        <f t="shared" si="54"/>
        <v>60300</v>
      </c>
    </row>
    <row r="2820" spans="4:6" x14ac:dyDescent="0.2">
      <c r="D2820" s="2">
        <v>59400</v>
      </c>
      <c r="F2820" s="2">
        <f t="shared" si="54"/>
        <v>59400</v>
      </c>
    </row>
    <row r="2821" spans="4:6" x14ac:dyDescent="0.2">
      <c r="D2821" s="2">
        <v>63300</v>
      </c>
      <c r="F2821" s="2">
        <f t="shared" si="54"/>
        <v>63300</v>
      </c>
    </row>
    <row r="2822" spans="4:6" x14ac:dyDescent="0.2">
      <c r="D2822" s="2">
        <v>47700</v>
      </c>
      <c r="F2822" s="2">
        <f t="shared" si="54"/>
        <v>47700</v>
      </c>
    </row>
    <row r="2823" spans="4:6" x14ac:dyDescent="0.2">
      <c r="D2823" s="2">
        <v>122000</v>
      </c>
      <c r="F2823" s="2">
        <f t="shared" si="54"/>
        <v>122000</v>
      </c>
    </row>
    <row r="2824" spans="4:6" x14ac:dyDescent="0.2">
      <c r="D2824" s="2">
        <v>76500</v>
      </c>
      <c r="F2824" s="2">
        <f t="shared" si="54"/>
        <v>76500</v>
      </c>
    </row>
    <row r="2825" spans="4:6" x14ac:dyDescent="0.2">
      <c r="D2825" s="2">
        <v>95400</v>
      </c>
      <c r="F2825" s="2">
        <f t="shared" si="54"/>
        <v>95400</v>
      </c>
    </row>
    <row r="2826" spans="4:6" x14ac:dyDescent="0.2">
      <c r="D2826" s="2">
        <v>64900</v>
      </c>
      <c r="F2826" s="2">
        <f t="shared" si="54"/>
        <v>64900</v>
      </c>
    </row>
    <row r="2827" spans="4:6" x14ac:dyDescent="0.2">
      <c r="D2827" s="2">
        <v>273000</v>
      </c>
      <c r="F2827" s="2">
        <f t="shared" si="54"/>
        <v>273000</v>
      </c>
    </row>
    <row r="2828" spans="4:6" x14ac:dyDescent="0.2">
      <c r="D2828" s="2">
        <v>11900000</v>
      </c>
      <c r="F2828" s="2">
        <f t="shared" si="54"/>
        <v>11900000</v>
      </c>
    </row>
    <row r="2829" spans="4:6" x14ac:dyDescent="0.2">
      <c r="D2829" s="2">
        <v>1800000</v>
      </c>
      <c r="F2829" s="2">
        <f t="shared" si="54"/>
        <v>1800000</v>
      </c>
    </row>
    <row r="2830" spans="4:6" x14ac:dyDescent="0.2">
      <c r="D2830" s="2">
        <v>380000</v>
      </c>
      <c r="F2830" s="2">
        <f t="shared" si="54"/>
        <v>380000</v>
      </c>
    </row>
    <row r="2831" spans="4:6" x14ac:dyDescent="0.2">
      <c r="D2831" s="2">
        <v>200000</v>
      </c>
      <c r="F2831" s="2">
        <f t="shared" si="54"/>
        <v>200000</v>
      </c>
    </row>
    <row r="2832" spans="4:6" x14ac:dyDescent="0.2">
      <c r="D2832" s="2">
        <v>232000</v>
      </c>
      <c r="F2832" s="2">
        <f t="shared" si="54"/>
        <v>232000</v>
      </c>
    </row>
    <row r="2833" spans="4:6" x14ac:dyDescent="0.2">
      <c r="D2833" s="2">
        <v>559000</v>
      </c>
      <c r="F2833" s="2">
        <f t="shared" si="54"/>
        <v>559000</v>
      </c>
    </row>
    <row r="2834" spans="4:6" x14ac:dyDescent="0.2">
      <c r="D2834" s="2">
        <v>528000</v>
      </c>
      <c r="F2834" s="2">
        <f t="shared" si="54"/>
        <v>528000</v>
      </c>
    </row>
    <row r="2835" spans="4:6" x14ac:dyDescent="0.2">
      <c r="D2835" s="2">
        <v>5850000</v>
      </c>
      <c r="F2835" s="2">
        <f t="shared" si="54"/>
        <v>5850000</v>
      </c>
    </row>
    <row r="2836" spans="4:6" x14ac:dyDescent="0.2">
      <c r="D2836" s="2">
        <v>3690000</v>
      </c>
      <c r="F2836" s="2">
        <f t="shared" si="54"/>
        <v>3690000</v>
      </c>
    </row>
    <row r="2837" spans="4:6" x14ac:dyDescent="0.2">
      <c r="D2837" s="2">
        <v>434000</v>
      </c>
      <c r="F2837" s="2">
        <f t="shared" si="54"/>
        <v>434000</v>
      </c>
    </row>
    <row r="2838" spans="4:6" x14ac:dyDescent="0.2">
      <c r="D2838" s="2">
        <v>246000</v>
      </c>
      <c r="F2838" s="2">
        <f t="shared" si="54"/>
        <v>246000</v>
      </c>
    </row>
    <row r="2839" spans="4:6" x14ac:dyDescent="0.2">
      <c r="D2839" s="2">
        <v>12600</v>
      </c>
      <c r="F2839" s="2">
        <f t="shared" si="54"/>
        <v>12600</v>
      </c>
    </row>
    <row r="2840" spans="4:6" x14ac:dyDescent="0.2">
      <c r="D2840" s="2">
        <v>32200</v>
      </c>
      <c r="F2840" s="2">
        <f t="shared" si="54"/>
        <v>32200</v>
      </c>
    </row>
    <row r="2841" spans="4:6" x14ac:dyDescent="0.2">
      <c r="D2841" s="2">
        <v>21000</v>
      </c>
      <c r="F2841" s="2">
        <f t="shared" si="54"/>
        <v>21000</v>
      </c>
    </row>
    <row r="2842" spans="4:6" x14ac:dyDescent="0.2">
      <c r="D2842" s="2">
        <v>4200</v>
      </c>
      <c r="F2842" s="2">
        <f t="shared" si="54"/>
        <v>4200</v>
      </c>
    </row>
    <row r="2843" spans="4:6" x14ac:dyDescent="0.2">
      <c r="D2843" s="2">
        <v>802</v>
      </c>
      <c r="F2843" s="2">
        <f t="shared" si="54"/>
        <v>802</v>
      </c>
    </row>
    <row r="2844" spans="4:6" x14ac:dyDescent="0.2">
      <c r="D2844" s="2">
        <v>389</v>
      </c>
      <c r="F2844" s="2">
        <f t="shared" si="54"/>
        <v>389</v>
      </c>
    </row>
    <row r="2845" spans="4:6" x14ac:dyDescent="0.2">
      <c r="D2845" s="2">
        <v>124</v>
      </c>
      <c r="F2845" s="2">
        <f t="shared" si="54"/>
        <v>124</v>
      </c>
    </row>
    <row r="2846" spans="4:6" x14ac:dyDescent="0.2">
      <c r="D2846" s="2">
        <v>285</v>
      </c>
      <c r="F2846" s="2">
        <f t="shared" si="54"/>
        <v>285</v>
      </c>
    </row>
    <row r="2847" spans="4:6" x14ac:dyDescent="0.2">
      <c r="D2847" s="2">
        <v>59300</v>
      </c>
      <c r="F2847" s="2">
        <f t="shared" si="54"/>
        <v>59300</v>
      </c>
    </row>
    <row r="2848" spans="4:6" x14ac:dyDescent="0.2">
      <c r="D2848" s="2">
        <v>25300</v>
      </c>
      <c r="F2848" s="2">
        <f t="shared" si="54"/>
        <v>25300</v>
      </c>
    </row>
    <row r="2849" spans="4:6" x14ac:dyDescent="0.2">
      <c r="D2849" s="2">
        <v>671</v>
      </c>
      <c r="F2849" s="2">
        <f t="shared" si="54"/>
        <v>671</v>
      </c>
    </row>
    <row r="2850" spans="4:6" x14ac:dyDescent="0.2">
      <c r="D2850" s="2">
        <v>45.9</v>
      </c>
      <c r="F2850" s="2">
        <f t="shared" si="54"/>
        <v>45.9</v>
      </c>
    </row>
    <row r="2851" spans="4:6" x14ac:dyDescent="0.2">
      <c r="D2851" s="2">
        <v>8980</v>
      </c>
      <c r="F2851" s="2">
        <f t="shared" si="54"/>
        <v>8980</v>
      </c>
    </row>
    <row r="2852" spans="4:6" x14ac:dyDescent="0.2">
      <c r="D2852" s="2">
        <v>19000</v>
      </c>
      <c r="F2852" s="2">
        <f t="shared" si="54"/>
        <v>19000</v>
      </c>
    </row>
    <row r="2853" spans="4:6" x14ac:dyDescent="0.2">
      <c r="D2853" s="2">
        <v>13000</v>
      </c>
      <c r="F2853" s="2">
        <f t="shared" si="54"/>
        <v>13000</v>
      </c>
    </row>
    <row r="2854" spans="4:6" x14ac:dyDescent="0.2">
      <c r="D2854" s="2">
        <v>6870</v>
      </c>
      <c r="F2854" s="2">
        <f t="shared" si="54"/>
        <v>6870</v>
      </c>
    </row>
    <row r="2855" spans="4:6" x14ac:dyDescent="0.2">
      <c r="D2855" s="2">
        <v>1680</v>
      </c>
      <c r="F2855" s="2">
        <f t="shared" si="54"/>
        <v>1680</v>
      </c>
    </row>
    <row r="2856" spans="4:6" x14ac:dyDescent="0.2">
      <c r="D2856" s="2">
        <v>9350</v>
      </c>
      <c r="F2856" s="2">
        <f t="shared" si="54"/>
        <v>9350</v>
      </c>
    </row>
    <row r="2857" spans="4:6" x14ac:dyDescent="0.2">
      <c r="D2857" s="2">
        <v>7070</v>
      </c>
      <c r="F2857" s="2">
        <f t="shared" si="54"/>
        <v>7070</v>
      </c>
    </row>
    <row r="2858" spans="4:6" x14ac:dyDescent="0.2">
      <c r="D2858" s="2">
        <v>21500</v>
      </c>
      <c r="F2858" s="2">
        <f t="shared" si="54"/>
        <v>21500</v>
      </c>
    </row>
    <row r="2859" spans="4:6" x14ac:dyDescent="0.2">
      <c r="D2859" s="2">
        <v>34300</v>
      </c>
      <c r="F2859" s="2">
        <f t="shared" si="54"/>
        <v>34300</v>
      </c>
    </row>
    <row r="2860" spans="4:6" x14ac:dyDescent="0.2">
      <c r="D2860" s="2">
        <v>44900</v>
      </c>
      <c r="F2860" s="2">
        <f t="shared" si="54"/>
        <v>44900</v>
      </c>
    </row>
    <row r="2861" spans="4:6" x14ac:dyDescent="0.2">
      <c r="D2861" s="2">
        <v>134</v>
      </c>
      <c r="F2861" s="2">
        <f t="shared" si="54"/>
        <v>134</v>
      </c>
    </row>
    <row r="2862" spans="4:6" x14ac:dyDescent="0.2">
      <c r="D2862" s="2">
        <v>202</v>
      </c>
      <c r="F2862" s="2">
        <f t="shared" si="54"/>
        <v>202</v>
      </c>
    </row>
    <row r="2863" spans="4:6" x14ac:dyDescent="0.2">
      <c r="D2863" s="2">
        <v>875</v>
      </c>
      <c r="F2863" s="2">
        <f t="shared" si="54"/>
        <v>875</v>
      </c>
    </row>
    <row r="2864" spans="4:6" x14ac:dyDescent="0.2">
      <c r="D2864" s="2">
        <v>1070</v>
      </c>
      <c r="F2864" s="2">
        <f t="shared" si="54"/>
        <v>1070</v>
      </c>
    </row>
    <row r="2865" spans="4:6" x14ac:dyDescent="0.2">
      <c r="D2865" s="2">
        <v>14200</v>
      </c>
      <c r="F2865" s="2">
        <f t="shared" si="54"/>
        <v>14200</v>
      </c>
    </row>
    <row r="2866" spans="4:6" x14ac:dyDescent="0.2">
      <c r="D2866" s="2">
        <v>25600</v>
      </c>
      <c r="F2866" s="2">
        <f t="shared" si="54"/>
        <v>25600</v>
      </c>
    </row>
    <row r="2867" spans="4:6" x14ac:dyDescent="0.2">
      <c r="D2867" s="2">
        <v>18900</v>
      </c>
      <c r="F2867" s="2">
        <f t="shared" si="54"/>
        <v>18900</v>
      </c>
    </row>
    <row r="2868" spans="4:6" x14ac:dyDescent="0.2">
      <c r="D2868" s="2">
        <v>10800</v>
      </c>
      <c r="F2868" s="2">
        <f t="shared" si="54"/>
        <v>10800</v>
      </c>
    </row>
    <row r="2869" spans="4:6" x14ac:dyDescent="0.2">
      <c r="D2869" s="2">
        <v>11900</v>
      </c>
      <c r="F2869" s="2">
        <f t="shared" si="54"/>
        <v>11900</v>
      </c>
    </row>
    <row r="2870" spans="4:6" x14ac:dyDescent="0.2">
      <c r="D2870" s="2">
        <v>14100</v>
      </c>
      <c r="F2870" s="2">
        <f t="shared" si="54"/>
        <v>14100</v>
      </c>
    </row>
    <row r="2871" spans="4:6" x14ac:dyDescent="0.2">
      <c r="D2871" s="2">
        <v>14100</v>
      </c>
      <c r="F2871" s="2">
        <f t="shared" si="54"/>
        <v>14100</v>
      </c>
    </row>
    <row r="2872" spans="4:6" x14ac:dyDescent="0.2">
      <c r="D2872" s="2">
        <v>0</v>
      </c>
      <c r="F2872" s="2">
        <f t="shared" si="54"/>
        <v>0</v>
      </c>
    </row>
    <row r="2873" spans="4:6" x14ac:dyDescent="0.2">
      <c r="D2873" s="2">
        <v>0</v>
      </c>
      <c r="F2873" s="2">
        <f t="shared" si="54"/>
        <v>0</v>
      </c>
    </row>
    <row r="2874" spans="4:6" x14ac:dyDescent="0.2">
      <c r="D2874" s="2">
        <v>0</v>
      </c>
      <c r="F2874" s="2">
        <f t="shared" si="54"/>
        <v>0</v>
      </c>
    </row>
    <row r="2875" spans="4:6" x14ac:dyDescent="0.2">
      <c r="D2875" s="2">
        <v>0</v>
      </c>
      <c r="F2875" s="2">
        <f t="shared" si="54"/>
        <v>0</v>
      </c>
    </row>
    <row r="2876" spans="4:6" x14ac:dyDescent="0.2">
      <c r="D2876" s="2">
        <v>0</v>
      </c>
      <c r="F2876" s="2">
        <f t="shared" ref="F2876:F2939" si="55">D2876</f>
        <v>0</v>
      </c>
    </row>
    <row r="2877" spans="4:6" x14ac:dyDescent="0.2">
      <c r="D2877" s="2">
        <v>0</v>
      </c>
      <c r="F2877" s="2">
        <f t="shared" si="55"/>
        <v>0</v>
      </c>
    </row>
    <row r="2878" spans="4:6" x14ac:dyDescent="0.2">
      <c r="D2878" s="2">
        <v>0</v>
      </c>
      <c r="F2878" s="2">
        <f t="shared" si="55"/>
        <v>0</v>
      </c>
    </row>
    <row r="2879" spans="4:6" x14ac:dyDescent="0.2">
      <c r="D2879" s="2">
        <v>18700</v>
      </c>
      <c r="F2879" s="2">
        <f t="shared" si="55"/>
        <v>18700</v>
      </c>
    </row>
    <row r="2880" spans="4:6" x14ac:dyDescent="0.2">
      <c r="D2880" s="2">
        <v>2330</v>
      </c>
      <c r="F2880" s="2">
        <f t="shared" si="55"/>
        <v>2330</v>
      </c>
    </row>
    <row r="2881" spans="4:6" x14ac:dyDescent="0.2">
      <c r="D2881" s="2">
        <v>3020</v>
      </c>
      <c r="F2881" s="2">
        <f t="shared" si="55"/>
        <v>3020</v>
      </c>
    </row>
    <row r="2882" spans="4:6" x14ac:dyDescent="0.2">
      <c r="D2882" s="2">
        <v>1900</v>
      </c>
      <c r="F2882" s="2">
        <f t="shared" si="55"/>
        <v>1900</v>
      </c>
    </row>
    <row r="2883" spans="4:6" x14ac:dyDescent="0.2">
      <c r="D2883" s="2">
        <v>589</v>
      </c>
      <c r="F2883" s="2">
        <f t="shared" si="55"/>
        <v>589</v>
      </c>
    </row>
    <row r="2884" spans="4:6" x14ac:dyDescent="0.2">
      <c r="D2884" s="2">
        <v>695</v>
      </c>
      <c r="F2884" s="2">
        <f t="shared" si="55"/>
        <v>695</v>
      </c>
    </row>
    <row r="2885" spans="4:6" x14ac:dyDescent="0.2">
      <c r="D2885" s="2">
        <v>245</v>
      </c>
      <c r="F2885" s="2">
        <f t="shared" si="55"/>
        <v>245</v>
      </c>
    </row>
    <row r="2886" spans="4:6" x14ac:dyDescent="0.2">
      <c r="D2886" s="2">
        <v>173000</v>
      </c>
      <c r="F2886" s="2">
        <f t="shared" si="55"/>
        <v>173000</v>
      </c>
    </row>
    <row r="2887" spans="4:6" x14ac:dyDescent="0.2">
      <c r="D2887" s="2">
        <v>60000</v>
      </c>
      <c r="F2887" s="2">
        <f t="shared" si="55"/>
        <v>60000</v>
      </c>
    </row>
    <row r="2888" spans="4:6" x14ac:dyDescent="0.2">
      <c r="D2888" s="2">
        <v>145000</v>
      </c>
      <c r="F2888" s="2">
        <f t="shared" si="55"/>
        <v>145000</v>
      </c>
    </row>
    <row r="2889" spans="4:6" x14ac:dyDescent="0.2">
      <c r="D2889" s="2">
        <v>171000</v>
      </c>
      <c r="F2889" s="2">
        <f t="shared" si="55"/>
        <v>171000</v>
      </c>
    </row>
    <row r="2890" spans="4:6" x14ac:dyDescent="0.2">
      <c r="D2890" s="2">
        <v>292000</v>
      </c>
      <c r="F2890" s="2">
        <f t="shared" si="55"/>
        <v>292000</v>
      </c>
    </row>
    <row r="2891" spans="4:6" x14ac:dyDescent="0.2">
      <c r="D2891" s="2">
        <v>71400</v>
      </c>
      <c r="F2891" s="2">
        <f t="shared" si="55"/>
        <v>71400</v>
      </c>
    </row>
    <row r="2892" spans="4:6" x14ac:dyDescent="0.2">
      <c r="D2892" s="2">
        <v>73000</v>
      </c>
      <c r="F2892" s="2">
        <f t="shared" si="55"/>
        <v>73000</v>
      </c>
    </row>
    <row r="2893" spans="4:6" x14ac:dyDescent="0.2">
      <c r="D2893" s="2">
        <v>15000</v>
      </c>
      <c r="F2893" s="2">
        <f t="shared" si="55"/>
        <v>15000</v>
      </c>
    </row>
    <row r="2894" spans="4:6" x14ac:dyDescent="0.2">
      <c r="D2894" s="2">
        <v>756</v>
      </c>
      <c r="F2894" s="2">
        <f t="shared" si="55"/>
        <v>756</v>
      </c>
    </row>
    <row r="2895" spans="4:6" x14ac:dyDescent="0.2">
      <c r="D2895" s="2">
        <v>12000</v>
      </c>
      <c r="F2895" s="2">
        <f t="shared" si="55"/>
        <v>12000</v>
      </c>
    </row>
    <row r="2896" spans="4:6" x14ac:dyDescent="0.2">
      <c r="D2896" s="2">
        <v>90</v>
      </c>
      <c r="F2896" s="2">
        <f t="shared" si="55"/>
        <v>90</v>
      </c>
    </row>
    <row r="2897" spans="1:8" x14ac:dyDescent="0.2">
      <c r="D2897" s="2">
        <v>2030</v>
      </c>
      <c r="F2897" s="2">
        <f t="shared" si="55"/>
        <v>2030</v>
      </c>
    </row>
    <row r="2898" spans="1:8" x14ac:dyDescent="0.2">
      <c r="D2898" s="2">
        <v>49.9</v>
      </c>
      <c r="F2898" s="2">
        <f t="shared" si="55"/>
        <v>49.9</v>
      </c>
    </row>
    <row r="2899" spans="1:8" x14ac:dyDescent="0.2">
      <c r="D2899" s="2">
        <v>160</v>
      </c>
      <c r="F2899" s="2">
        <f t="shared" si="55"/>
        <v>160</v>
      </c>
    </row>
    <row r="2900" spans="1:8" x14ac:dyDescent="0.2">
      <c r="A2900" t="s">
        <v>581</v>
      </c>
      <c r="B2900">
        <v>2020</v>
      </c>
      <c r="C2900" t="s">
        <v>0</v>
      </c>
      <c r="D2900" s="2">
        <v>2580000</v>
      </c>
      <c r="E2900" t="s">
        <v>541</v>
      </c>
      <c r="F2900" s="2">
        <f t="shared" si="55"/>
        <v>2580000</v>
      </c>
      <c r="H2900" t="s">
        <v>580</v>
      </c>
    </row>
    <row r="2901" spans="1:8" x14ac:dyDescent="0.2">
      <c r="D2901" s="2">
        <v>479000000</v>
      </c>
      <c r="F2901" s="2">
        <f t="shared" si="55"/>
        <v>479000000</v>
      </c>
    </row>
    <row r="2902" spans="1:8" x14ac:dyDescent="0.2">
      <c r="D2902" s="2">
        <v>236000000</v>
      </c>
      <c r="F2902" s="2">
        <f t="shared" si="55"/>
        <v>236000000</v>
      </c>
    </row>
    <row r="2903" spans="1:8" x14ac:dyDescent="0.2">
      <c r="D2903" s="2">
        <v>545000000</v>
      </c>
      <c r="F2903" s="2">
        <f t="shared" si="55"/>
        <v>545000000</v>
      </c>
    </row>
    <row r="2904" spans="1:8" x14ac:dyDescent="0.2">
      <c r="D2904" s="2">
        <v>857000000</v>
      </c>
      <c r="F2904" s="2">
        <f t="shared" si="55"/>
        <v>857000000</v>
      </c>
    </row>
    <row r="2905" spans="1:8" x14ac:dyDescent="0.2">
      <c r="D2905" s="2">
        <v>355000000</v>
      </c>
      <c r="F2905" s="2">
        <f t="shared" si="55"/>
        <v>355000000</v>
      </c>
    </row>
    <row r="2906" spans="1:8" x14ac:dyDescent="0.2">
      <c r="D2906" s="2">
        <v>16800000</v>
      </c>
      <c r="F2906" s="2">
        <f t="shared" si="55"/>
        <v>16800000</v>
      </c>
    </row>
    <row r="2907" spans="1:8" x14ac:dyDescent="0.2">
      <c r="D2907" s="2">
        <v>3300000</v>
      </c>
      <c r="F2907" s="2">
        <f t="shared" si="55"/>
        <v>3300000</v>
      </c>
    </row>
    <row r="2908" spans="1:8" x14ac:dyDescent="0.2">
      <c r="D2908" s="2">
        <v>417000</v>
      </c>
      <c r="F2908" s="2">
        <f t="shared" si="55"/>
        <v>417000</v>
      </c>
    </row>
    <row r="2909" spans="1:8" x14ac:dyDescent="0.2">
      <c r="D2909" s="2">
        <v>15800000</v>
      </c>
      <c r="F2909" s="2">
        <f t="shared" si="55"/>
        <v>15800000</v>
      </c>
    </row>
    <row r="2910" spans="1:8" x14ac:dyDescent="0.2">
      <c r="D2910" s="2">
        <v>18200000</v>
      </c>
      <c r="F2910" s="2">
        <f t="shared" si="55"/>
        <v>18200000</v>
      </c>
    </row>
    <row r="2911" spans="1:8" x14ac:dyDescent="0.2">
      <c r="D2911" s="2">
        <v>9000000</v>
      </c>
      <c r="F2911" s="2">
        <f t="shared" si="55"/>
        <v>9000000</v>
      </c>
    </row>
    <row r="2912" spans="1:8" x14ac:dyDescent="0.2">
      <c r="D2912" s="2">
        <v>1980000000</v>
      </c>
      <c r="F2912" s="2">
        <f t="shared" si="55"/>
        <v>1980000000</v>
      </c>
    </row>
    <row r="2913" spans="4:6" x14ac:dyDescent="0.2">
      <c r="D2913" s="2">
        <v>7860000</v>
      </c>
      <c r="F2913" s="2">
        <f t="shared" si="55"/>
        <v>7860000</v>
      </c>
    </row>
    <row r="2914" spans="4:6" x14ac:dyDescent="0.2">
      <c r="D2914" s="2">
        <v>378000</v>
      </c>
      <c r="F2914" s="2">
        <f t="shared" si="55"/>
        <v>378000</v>
      </c>
    </row>
    <row r="2915" spans="4:6" x14ac:dyDescent="0.2">
      <c r="D2915" s="2">
        <v>370000</v>
      </c>
      <c r="F2915" s="2">
        <f t="shared" si="55"/>
        <v>370000</v>
      </c>
    </row>
    <row r="2916" spans="4:6" x14ac:dyDescent="0.2">
      <c r="D2916" s="2">
        <v>675000</v>
      </c>
      <c r="F2916" s="2">
        <f t="shared" si="55"/>
        <v>675000</v>
      </c>
    </row>
    <row r="2917" spans="4:6" x14ac:dyDescent="0.2">
      <c r="D2917" s="2">
        <v>28500000</v>
      </c>
      <c r="F2917" s="2">
        <f t="shared" si="55"/>
        <v>28500000</v>
      </c>
    </row>
    <row r="2918" spans="4:6" x14ac:dyDescent="0.2">
      <c r="D2918" s="2">
        <v>34300000</v>
      </c>
      <c r="F2918" s="2">
        <f t="shared" si="55"/>
        <v>34300000</v>
      </c>
    </row>
    <row r="2919" spans="4:6" x14ac:dyDescent="0.2">
      <c r="D2919" s="2">
        <v>132000000</v>
      </c>
      <c r="F2919" s="2">
        <f t="shared" si="55"/>
        <v>132000000</v>
      </c>
    </row>
    <row r="2920" spans="4:6" x14ac:dyDescent="0.2">
      <c r="D2920" s="2">
        <v>9230000000</v>
      </c>
      <c r="F2920" s="2">
        <f t="shared" si="55"/>
        <v>9230000000</v>
      </c>
    </row>
    <row r="2921" spans="4:6" x14ac:dyDescent="0.2">
      <c r="D2921" s="2">
        <v>29100000</v>
      </c>
      <c r="F2921" s="2">
        <f t="shared" si="55"/>
        <v>29100000</v>
      </c>
    </row>
    <row r="2922" spans="4:6" x14ac:dyDescent="0.2">
      <c r="D2922" s="2">
        <v>1280000</v>
      </c>
      <c r="F2922" s="2">
        <f t="shared" si="55"/>
        <v>1280000</v>
      </c>
    </row>
    <row r="2923" spans="4:6" x14ac:dyDescent="0.2">
      <c r="D2923" s="2">
        <v>2060000</v>
      </c>
      <c r="F2923" s="2">
        <f t="shared" si="55"/>
        <v>2060000</v>
      </c>
    </row>
    <row r="2924" spans="4:6" x14ac:dyDescent="0.2">
      <c r="D2924" s="2">
        <v>2360000</v>
      </c>
      <c r="F2924" s="2">
        <f t="shared" si="55"/>
        <v>2360000</v>
      </c>
    </row>
    <row r="2925" spans="4:6" x14ac:dyDescent="0.2">
      <c r="D2925" s="2">
        <v>27400000</v>
      </c>
      <c r="F2925" s="2">
        <f t="shared" si="55"/>
        <v>27400000</v>
      </c>
    </row>
    <row r="2926" spans="4:6" x14ac:dyDescent="0.2">
      <c r="D2926" s="2">
        <v>287000000</v>
      </c>
      <c r="F2926" s="2">
        <f t="shared" si="55"/>
        <v>287000000</v>
      </c>
    </row>
    <row r="2927" spans="4:6" x14ac:dyDescent="0.2">
      <c r="D2927" s="2">
        <v>81300000</v>
      </c>
      <c r="F2927" s="2">
        <f t="shared" si="55"/>
        <v>81300000</v>
      </c>
    </row>
    <row r="2928" spans="4:6" x14ac:dyDescent="0.2">
      <c r="D2928" s="2">
        <v>317000000</v>
      </c>
      <c r="F2928" s="2">
        <f t="shared" si="55"/>
        <v>317000000</v>
      </c>
    </row>
    <row r="2929" spans="4:6" x14ac:dyDescent="0.2">
      <c r="D2929" s="2">
        <v>43400000</v>
      </c>
      <c r="F2929" s="2">
        <f t="shared" si="55"/>
        <v>43400000</v>
      </c>
    </row>
    <row r="2930" spans="4:6" x14ac:dyDescent="0.2">
      <c r="D2930" s="2">
        <v>17300000</v>
      </c>
      <c r="F2930" s="2">
        <f t="shared" si="55"/>
        <v>17300000</v>
      </c>
    </row>
    <row r="2931" spans="4:6" x14ac:dyDescent="0.2">
      <c r="D2931" s="2">
        <v>20200000</v>
      </c>
      <c r="F2931" s="2">
        <f t="shared" si="55"/>
        <v>20200000</v>
      </c>
    </row>
    <row r="2932" spans="4:6" x14ac:dyDescent="0.2">
      <c r="D2932" s="2">
        <v>2980000</v>
      </c>
      <c r="F2932" s="2">
        <f t="shared" si="55"/>
        <v>2980000</v>
      </c>
    </row>
    <row r="2933" spans="4:6" x14ac:dyDescent="0.2">
      <c r="D2933" s="2">
        <v>37500000</v>
      </c>
      <c r="F2933" s="2">
        <f t="shared" si="55"/>
        <v>37500000</v>
      </c>
    </row>
    <row r="2934" spans="4:6" x14ac:dyDescent="0.2">
      <c r="D2934" s="2">
        <v>21900000</v>
      </c>
      <c r="F2934" s="2">
        <f t="shared" si="55"/>
        <v>21900000</v>
      </c>
    </row>
    <row r="2935" spans="4:6" x14ac:dyDescent="0.2">
      <c r="D2935" s="2">
        <v>2140000</v>
      </c>
      <c r="F2935" s="2">
        <f t="shared" si="55"/>
        <v>2140000</v>
      </c>
    </row>
    <row r="2936" spans="4:6" x14ac:dyDescent="0.2">
      <c r="D2936" s="2">
        <v>30700000</v>
      </c>
      <c r="F2936" s="2">
        <f t="shared" si="55"/>
        <v>30700000</v>
      </c>
    </row>
    <row r="2937" spans="4:6" x14ac:dyDescent="0.2">
      <c r="D2937" s="2">
        <v>9670000</v>
      </c>
      <c r="F2937" s="2">
        <f t="shared" si="55"/>
        <v>9670000</v>
      </c>
    </row>
    <row r="2938" spans="4:6" x14ac:dyDescent="0.2">
      <c r="D2938" s="2">
        <v>1970000</v>
      </c>
      <c r="F2938" s="2">
        <f t="shared" si="55"/>
        <v>1970000</v>
      </c>
    </row>
    <row r="2939" spans="4:6" x14ac:dyDescent="0.2">
      <c r="D2939" s="2">
        <v>4000000</v>
      </c>
      <c r="F2939" s="2">
        <f t="shared" si="55"/>
        <v>4000000</v>
      </c>
    </row>
    <row r="2940" spans="4:6" x14ac:dyDescent="0.2">
      <c r="D2940" s="2">
        <v>2450000</v>
      </c>
      <c r="F2940" s="2">
        <f t="shared" ref="F2940:F2963" si="56">D2940</f>
        <v>2450000</v>
      </c>
    </row>
    <row r="2941" spans="4:6" x14ac:dyDescent="0.2">
      <c r="D2941" s="2">
        <v>95100000</v>
      </c>
      <c r="F2941" s="2">
        <f t="shared" si="56"/>
        <v>95100000</v>
      </c>
    </row>
    <row r="2942" spans="4:6" x14ac:dyDescent="0.2">
      <c r="D2942" s="2">
        <v>5920000</v>
      </c>
      <c r="F2942" s="2">
        <f t="shared" si="56"/>
        <v>5920000</v>
      </c>
    </row>
    <row r="2943" spans="4:6" x14ac:dyDescent="0.2">
      <c r="D2943" s="2">
        <v>620000000</v>
      </c>
      <c r="F2943" s="2">
        <f t="shared" si="56"/>
        <v>620000000</v>
      </c>
    </row>
    <row r="2944" spans="4:6" x14ac:dyDescent="0.2">
      <c r="D2944" s="2">
        <v>798000000</v>
      </c>
      <c r="F2944" s="2">
        <f t="shared" si="56"/>
        <v>798000000</v>
      </c>
    </row>
    <row r="2945" spans="4:6" x14ac:dyDescent="0.2">
      <c r="D2945" s="2">
        <v>214000000</v>
      </c>
      <c r="F2945" s="2">
        <f t="shared" si="56"/>
        <v>214000000</v>
      </c>
    </row>
    <row r="2946" spans="4:6" x14ac:dyDescent="0.2">
      <c r="D2946" s="2">
        <v>2860000</v>
      </c>
      <c r="F2946" s="2">
        <f t="shared" si="56"/>
        <v>2860000</v>
      </c>
    </row>
    <row r="2947" spans="4:6" x14ac:dyDescent="0.2">
      <c r="D2947" s="2">
        <v>3080000</v>
      </c>
      <c r="F2947" s="2">
        <f t="shared" si="56"/>
        <v>3080000</v>
      </c>
    </row>
    <row r="2948" spans="4:6" x14ac:dyDescent="0.2">
      <c r="D2948" s="2">
        <v>136000</v>
      </c>
      <c r="F2948" s="2">
        <f t="shared" si="56"/>
        <v>136000</v>
      </c>
    </row>
    <row r="2949" spans="4:6" x14ac:dyDescent="0.2">
      <c r="D2949" s="2">
        <v>16300000</v>
      </c>
      <c r="F2949" s="2">
        <f t="shared" si="56"/>
        <v>16300000</v>
      </c>
    </row>
    <row r="2950" spans="4:6" x14ac:dyDescent="0.2">
      <c r="D2950" s="2">
        <v>29700000</v>
      </c>
      <c r="F2950" s="2">
        <f t="shared" si="56"/>
        <v>29700000</v>
      </c>
    </row>
    <row r="2951" spans="4:6" x14ac:dyDescent="0.2">
      <c r="D2951" s="2">
        <v>281000000</v>
      </c>
      <c r="F2951" s="2">
        <f t="shared" si="56"/>
        <v>281000000</v>
      </c>
    </row>
    <row r="2952" spans="4:6" x14ac:dyDescent="0.2">
      <c r="D2952" s="2">
        <v>3090000000</v>
      </c>
      <c r="F2952" s="2">
        <f t="shared" si="56"/>
        <v>3090000000</v>
      </c>
    </row>
    <row r="2953" spans="4:6" x14ac:dyDescent="0.2">
      <c r="D2953" s="2">
        <v>13900000</v>
      </c>
      <c r="F2953" s="2">
        <f t="shared" si="56"/>
        <v>13900000</v>
      </c>
    </row>
    <row r="2954" spans="4:6" x14ac:dyDescent="0.2">
      <c r="D2954" s="2">
        <v>3020000</v>
      </c>
      <c r="F2954" s="2">
        <f t="shared" si="56"/>
        <v>3020000</v>
      </c>
    </row>
    <row r="2955" spans="4:6" x14ac:dyDescent="0.2">
      <c r="D2955" s="2">
        <v>270000</v>
      </c>
      <c r="F2955" s="2">
        <f t="shared" si="56"/>
        <v>270000</v>
      </c>
    </row>
    <row r="2956" spans="4:6" x14ac:dyDescent="0.2">
      <c r="D2956" s="2">
        <v>28100</v>
      </c>
      <c r="F2956" s="2">
        <f t="shared" si="56"/>
        <v>28100</v>
      </c>
    </row>
    <row r="2957" spans="4:6" x14ac:dyDescent="0.2">
      <c r="D2957" s="2">
        <v>110000000</v>
      </c>
      <c r="F2957" s="2">
        <f t="shared" si="56"/>
        <v>110000000</v>
      </c>
    </row>
    <row r="2958" spans="4:6" x14ac:dyDescent="0.2">
      <c r="D2958" s="2">
        <v>13800000</v>
      </c>
      <c r="F2958" s="2">
        <f t="shared" si="56"/>
        <v>13800000</v>
      </c>
    </row>
    <row r="2959" spans="4:6" x14ac:dyDescent="0.2">
      <c r="D2959" s="2">
        <v>10900000</v>
      </c>
      <c r="F2959" s="2">
        <f t="shared" si="56"/>
        <v>10900000</v>
      </c>
    </row>
    <row r="2960" spans="4:6" x14ac:dyDescent="0.2">
      <c r="D2960" s="2">
        <v>2190000</v>
      </c>
      <c r="F2960" s="2">
        <f t="shared" si="56"/>
        <v>2190000</v>
      </c>
    </row>
    <row r="2961" spans="1:8" x14ac:dyDescent="0.2">
      <c r="D2961" s="2">
        <v>12100000</v>
      </c>
      <c r="F2961" s="2">
        <f t="shared" si="56"/>
        <v>12100000</v>
      </c>
    </row>
    <row r="2962" spans="1:8" x14ac:dyDescent="0.2">
      <c r="D2962" s="2">
        <v>12000000</v>
      </c>
      <c r="F2962" s="2">
        <f t="shared" si="56"/>
        <v>12000000</v>
      </c>
    </row>
    <row r="2963" spans="1:8" x14ac:dyDescent="0.2">
      <c r="D2963" s="2">
        <v>5390000</v>
      </c>
      <c r="F2963" s="2">
        <f t="shared" si="56"/>
        <v>5390000</v>
      </c>
    </row>
    <row r="2964" spans="1:8" x14ac:dyDescent="0.2">
      <c r="A2964" t="s">
        <v>585</v>
      </c>
      <c r="B2964">
        <v>2014</v>
      </c>
      <c r="C2964" t="s">
        <v>586</v>
      </c>
      <c r="D2964" s="2">
        <v>10000</v>
      </c>
      <c r="E2964" t="s">
        <v>544</v>
      </c>
      <c r="F2964" s="2">
        <f>D2964</f>
        <v>10000</v>
      </c>
      <c r="H2964" t="s">
        <v>584</v>
      </c>
    </row>
    <row r="2965" spans="1:8" x14ac:dyDescent="0.2">
      <c r="D2965" s="2">
        <f>10^4.2</f>
        <v>15848.931924611146</v>
      </c>
      <c r="F2965" s="2">
        <f t="shared" ref="F2965:F3028" si="57">D2965</f>
        <v>15848.931924611146</v>
      </c>
    </row>
    <row r="2966" spans="1:8" x14ac:dyDescent="0.2">
      <c r="D2966" s="2">
        <f>10^1.8</f>
        <v>63.095734448019364</v>
      </c>
      <c r="F2966" s="2">
        <f t="shared" si="57"/>
        <v>63.095734448019364</v>
      </c>
    </row>
    <row r="2967" spans="1:8" x14ac:dyDescent="0.2">
      <c r="A2967" t="s">
        <v>588</v>
      </c>
      <c r="B2967">
        <v>2024</v>
      </c>
      <c r="C2967" t="s">
        <v>586</v>
      </c>
      <c r="D2967" s="2">
        <v>1700</v>
      </c>
      <c r="E2967" t="s">
        <v>544</v>
      </c>
      <c r="F2967" s="2">
        <f t="shared" si="57"/>
        <v>1700</v>
      </c>
      <c r="H2967" t="s">
        <v>587</v>
      </c>
    </row>
    <row r="2968" spans="1:8" x14ac:dyDescent="0.2">
      <c r="D2968" s="2">
        <v>1300</v>
      </c>
      <c r="F2968" s="2">
        <f t="shared" si="57"/>
        <v>1300</v>
      </c>
    </row>
    <row r="2969" spans="1:8" x14ac:dyDescent="0.2">
      <c r="D2969" s="2">
        <v>770</v>
      </c>
      <c r="F2969" s="2">
        <f t="shared" si="57"/>
        <v>770</v>
      </c>
    </row>
    <row r="2970" spans="1:8" x14ac:dyDescent="0.2">
      <c r="D2970" s="2">
        <v>430</v>
      </c>
      <c r="F2970" s="2">
        <f t="shared" si="57"/>
        <v>430</v>
      </c>
    </row>
    <row r="2971" spans="1:8" x14ac:dyDescent="0.2">
      <c r="D2971" s="2">
        <v>500</v>
      </c>
      <c r="F2971" s="2">
        <f t="shared" si="57"/>
        <v>500</v>
      </c>
    </row>
    <row r="2972" spans="1:8" x14ac:dyDescent="0.2">
      <c r="D2972" s="2">
        <v>1100</v>
      </c>
      <c r="F2972" s="2">
        <f t="shared" si="57"/>
        <v>1100</v>
      </c>
    </row>
    <row r="2973" spans="1:8" x14ac:dyDescent="0.2">
      <c r="D2973" s="2">
        <v>500</v>
      </c>
      <c r="F2973" s="2">
        <f t="shared" si="57"/>
        <v>500</v>
      </c>
    </row>
    <row r="2974" spans="1:8" x14ac:dyDescent="0.2">
      <c r="D2974" s="2">
        <v>1800</v>
      </c>
      <c r="F2974" s="2">
        <f t="shared" si="57"/>
        <v>1800</v>
      </c>
    </row>
    <row r="2975" spans="1:8" x14ac:dyDescent="0.2">
      <c r="D2975" s="2">
        <v>1100</v>
      </c>
      <c r="F2975" s="2">
        <f t="shared" si="57"/>
        <v>1100</v>
      </c>
    </row>
    <row r="2976" spans="1:8" x14ac:dyDescent="0.2">
      <c r="D2976" s="2">
        <v>2000</v>
      </c>
      <c r="F2976" s="2">
        <f t="shared" si="57"/>
        <v>2000</v>
      </c>
    </row>
    <row r="2977" spans="1:8" x14ac:dyDescent="0.2">
      <c r="D2977" s="2">
        <v>59.6</v>
      </c>
      <c r="F2977" s="2">
        <f t="shared" si="57"/>
        <v>59.6</v>
      </c>
    </row>
    <row r="2978" spans="1:8" x14ac:dyDescent="0.2">
      <c r="D2978" s="2">
        <v>320</v>
      </c>
      <c r="F2978" s="2">
        <f t="shared" si="57"/>
        <v>320</v>
      </c>
    </row>
    <row r="2979" spans="1:8" x14ac:dyDescent="0.2">
      <c r="D2979" s="2">
        <v>76.3</v>
      </c>
      <c r="F2979" s="2">
        <f t="shared" si="57"/>
        <v>76.3</v>
      </c>
    </row>
    <row r="2980" spans="1:8" x14ac:dyDescent="0.2">
      <c r="D2980" s="2">
        <v>300</v>
      </c>
      <c r="F2980" s="2">
        <f t="shared" si="57"/>
        <v>300</v>
      </c>
    </row>
    <row r="2981" spans="1:8" x14ac:dyDescent="0.2">
      <c r="D2981" s="2">
        <v>25.9</v>
      </c>
      <c r="F2981" s="2">
        <f t="shared" si="57"/>
        <v>25.9</v>
      </c>
    </row>
    <row r="2982" spans="1:8" x14ac:dyDescent="0.2">
      <c r="A2982" t="s">
        <v>291</v>
      </c>
      <c r="B2982">
        <v>2020</v>
      </c>
      <c r="C2982" t="s">
        <v>586</v>
      </c>
      <c r="D2982" s="2">
        <v>1450</v>
      </c>
      <c r="E2982" t="s">
        <v>544</v>
      </c>
      <c r="F2982" s="2">
        <f t="shared" si="57"/>
        <v>1450</v>
      </c>
      <c r="H2982" t="s">
        <v>589</v>
      </c>
    </row>
    <row r="2983" spans="1:8" x14ac:dyDescent="0.2">
      <c r="D2983" s="2">
        <v>1450</v>
      </c>
      <c r="F2983" s="2">
        <f t="shared" si="57"/>
        <v>1450</v>
      </c>
    </row>
    <row r="2984" spans="1:8" x14ac:dyDescent="0.2">
      <c r="D2984" s="2">
        <v>905</v>
      </c>
      <c r="F2984" s="2">
        <f t="shared" si="57"/>
        <v>905</v>
      </c>
    </row>
    <row r="2985" spans="1:8" x14ac:dyDescent="0.2">
      <c r="D2985" s="2">
        <v>429</v>
      </c>
      <c r="F2985" s="2">
        <f t="shared" si="57"/>
        <v>429</v>
      </c>
    </row>
    <row r="2986" spans="1:8" x14ac:dyDescent="0.2">
      <c r="D2986" s="2">
        <v>478</v>
      </c>
      <c r="F2986" s="2">
        <f t="shared" si="57"/>
        <v>478</v>
      </c>
    </row>
    <row r="2987" spans="1:8" x14ac:dyDescent="0.2">
      <c r="D2987" s="2">
        <v>324</v>
      </c>
      <c r="F2987" s="2">
        <f t="shared" si="57"/>
        <v>324</v>
      </c>
    </row>
    <row r="2988" spans="1:8" x14ac:dyDescent="0.2">
      <c r="D2988" s="2">
        <v>1070</v>
      </c>
      <c r="F2988" s="2">
        <f t="shared" si="57"/>
        <v>1070</v>
      </c>
    </row>
    <row r="2989" spans="1:8" x14ac:dyDescent="0.2">
      <c r="D2989" s="2">
        <v>850</v>
      </c>
      <c r="F2989" s="2">
        <f t="shared" si="57"/>
        <v>850</v>
      </c>
    </row>
    <row r="2990" spans="1:8" x14ac:dyDescent="0.2">
      <c r="D2990" s="2">
        <v>704</v>
      </c>
      <c r="F2990" s="2">
        <f t="shared" si="57"/>
        <v>704</v>
      </c>
    </row>
    <row r="2991" spans="1:8" x14ac:dyDescent="0.2">
      <c r="D2991" s="2">
        <v>1730</v>
      </c>
      <c r="F2991" s="2">
        <f t="shared" si="57"/>
        <v>1730</v>
      </c>
    </row>
    <row r="2992" spans="1:8" x14ac:dyDescent="0.2">
      <c r="D2992" s="2">
        <v>1080</v>
      </c>
      <c r="F2992" s="2">
        <f t="shared" si="57"/>
        <v>1080</v>
      </c>
    </row>
    <row r="2993" spans="4:6" x14ac:dyDescent="0.2">
      <c r="D2993" s="2">
        <v>793</v>
      </c>
      <c r="F2993" s="2">
        <f t="shared" si="57"/>
        <v>793</v>
      </c>
    </row>
    <row r="2994" spans="4:6" x14ac:dyDescent="0.2">
      <c r="D2994" s="2">
        <v>606</v>
      </c>
      <c r="F2994" s="2">
        <f t="shared" si="57"/>
        <v>606</v>
      </c>
    </row>
    <row r="2995" spans="4:6" x14ac:dyDescent="0.2">
      <c r="D2995" s="2">
        <v>636</v>
      </c>
      <c r="F2995" s="2">
        <f t="shared" si="57"/>
        <v>636</v>
      </c>
    </row>
    <row r="2996" spans="4:6" x14ac:dyDescent="0.2">
      <c r="D2996" s="2">
        <v>712</v>
      </c>
      <c r="F2996" s="2">
        <f t="shared" si="57"/>
        <v>712</v>
      </c>
    </row>
    <row r="2997" spans="4:6" x14ac:dyDescent="0.2">
      <c r="D2997" s="2">
        <v>52.7</v>
      </c>
      <c r="F2997" s="2">
        <f t="shared" si="57"/>
        <v>52.7</v>
      </c>
    </row>
    <row r="2998" spans="4:6" x14ac:dyDescent="0.2">
      <c r="D2998" s="2">
        <v>99.4</v>
      </c>
      <c r="F2998" s="2">
        <f t="shared" si="57"/>
        <v>99.4</v>
      </c>
    </row>
    <row r="2999" spans="4:6" x14ac:dyDescent="0.2">
      <c r="D2999" s="2">
        <v>88</v>
      </c>
      <c r="F2999" s="2">
        <f t="shared" si="57"/>
        <v>88</v>
      </c>
    </row>
    <row r="3000" spans="4:6" x14ac:dyDescent="0.2">
      <c r="D3000" s="2">
        <v>17900</v>
      </c>
      <c r="F3000" s="2">
        <f t="shared" si="57"/>
        <v>17900</v>
      </c>
    </row>
    <row r="3001" spans="4:6" x14ac:dyDescent="0.2">
      <c r="D3001" s="2">
        <v>15000</v>
      </c>
      <c r="F3001" s="2">
        <f t="shared" si="57"/>
        <v>15000</v>
      </c>
    </row>
    <row r="3002" spans="4:6" x14ac:dyDescent="0.2">
      <c r="D3002" s="2">
        <v>14600</v>
      </c>
      <c r="F3002" s="2">
        <f t="shared" si="57"/>
        <v>14600</v>
      </c>
    </row>
    <row r="3003" spans="4:6" x14ac:dyDescent="0.2">
      <c r="D3003" s="2">
        <v>72.599999999999994</v>
      </c>
      <c r="F3003" s="2">
        <f t="shared" si="57"/>
        <v>72.599999999999994</v>
      </c>
    </row>
    <row r="3004" spans="4:6" x14ac:dyDescent="0.2">
      <c r="D3004" s="2">
        <v>101</v>
      </c>
      <c r="F3004" s="2">
        <f t="shared" si="57"/>
        <v>101</v>
      </c>
    </row>
    <row r="3005" spans="4:6" x14ac:dyDescent="0.2">
      <c r="D3005" s="2">
        <v>89.8</v>
      </c>
      <c r="F3005" s="2">
        <f t="shared" si="57"/>
        <v>89.8</v>
      </c>
    </row>
    <row r="3006" spans="4:6" x14ac:dyDescent="0.2">
      <c r="D3006" s="2">
        <v>21.1</v>
      </c>
      <c r="F3006" s="2">
        <f t="shared" si="57"/>
        <v>21.1</v>
      </c>
    </row>
    <row r="3007" spans="4:6" x14ac:dyDescent="0.2">
      <c r="D3007" s="2">
        <v>49.2</v>
      </c>
      <c r="F3007" s="2">
        <f t="shared" si="57"/>
        <v>49.2</v>
      </c>
    </row>
    <row r="3008" spans="4:6" x14ac:dyDescent="0.2">
      <c r="D3008" s="2">
        <v>199</v>
      </c>
      <c r="F3008" s="2">
        <f t="shared" si="57"/>
        <v>199</v>
      </c>
    </row>
    <row r="3009" spans="4:6" x14ac:dyDescent="0.2">
      <c r="D3009" s="2">
        <v>42.3</v>
      </c>
      <c r="F3009" s="2">
        <f t="shared" si="57"/>
        <v>42.3</v>
      </c>
    </row>
    <row r="3010" spans="4:6" x14ac:dyDescent="0.2">
      <c r="D3010" s="2">
        <v>35</v>
      </c>
      <c r="F3010" s="2">
        <f t="shared" si="57"/>
        <v>35</v>
      </c>
    </row>
    <row r="3011" spans="4:6" x14ac:dyDescent="0.2">
      <c r="D3011" s="2">
        <v>78.900000000000006</v>
      </c>
      <c r="F3011" s="2">
        <f t="shared" si="57"/>
        <v>78.900000000000006</v>
      </c>
    </row>
    <row r="3012" spans="4:6" x14ac:dyDescent="0.2">
      <c r="D3012" s="2">
        <v>86.5</v>
      </c>
      <c r="F3012" s="2">
        <f t="shared" si="57"/>
        <v>86.5</v>
      </c>
    </row>
    <row r="3013" spans="4:6" x14ac:dyDescent="0.2">
      <c r="D3013" s="2">
        <v>74.2</v>
      </c>
      <c r="F3013" s="2">
        <f t="shared" si="57"/>
        <v>74.2</v>
      </c>
    </row>
    <row r="3014" spans="4:6" x14ac:dyDescent="0.2">
      <c r="D3014" s="2">
        <v>55.8</v>
      </c>
      <c r="F3014" s="2">
        <f t="shared" si="57"/>
        <v>55.8</v>
      </c>
    </row>
    <row r="3015" spans="4:6" x14ac:dyDescent="0.2">
      <c r="D3015" s="2">
        <v>112</v>
      </c>
      <c r="F3015" s="2">
        <f t="shared" si="57"/>
        <v>112</v>
      </c>
    </row>
    <row r="3016" spans="4:6" x14ac:dyDescent="0.2">
      <c r="D3016" s="2">
        <v>85.6</v>
      </c>
      <c r="F3016" s="2">
        <f t="shared" si="57"/>
        <v>85.6</v>
      </c>
    </row>
    <row r="3017" spans="4:6" x14ac:dyDescent="0.2">
      <c r="D3017" s="2">
        <v>124</v>
      </c>
      <c r="F3017" s="2">
        <f t="shared" si="57"/>
        <v>124</v>
      </c>
    </row>
    <row r="3018" spans="4:6" x14ac:dyDescent="0.2">
      <c r="D3018" s="2">
        <v>181</v>
      </c>
      <c r="F3018" s="2">
        <f t="shared" si="57"/>
        <v>181</v>
      </c>
    </row>
    <row r="3019" spans="4:6" x14ac:dyDescent="0.2">
      <c r="D3019" s="2">
        <v>22.5</v>
      </c>
      <c r="F3019" s="2">
        <f t="shared" si="57"/>
        <v>22.5</v>
      </c>
    </row>
    <row r="3020" spans="4:6" x14ac:dyDescent="0.2">
      <c r="D3020" s="2">
        <v>139</v>
      </c>
      <c r="F3020" s="2">
        <f t="shared" si="57"/>
        <v>139</v>
      </c>
    </row>
    <row r="3021" spans="4:6" x14ac:dyDescent="0.2">
      <c r="D3021" s="2">
        <v>182000</v>
      </c>
      <c r="F3021" s="2">
        <f t="shared" si="57"/>
        <v>182000</v>
      </c>
    </row>
    <row r="3022" spans="4:6" x14ac:dyDescent="0.2">
      <c r="D3022" s="2">
        <v>215000</v>
      </c>
      <c r="F3022" s="2">
        <f t="shared" si="57"/>
        <v>215000</v>
      </c>
    </row>
    <row r="3023" spans="4:6" x14ac:dyDescent="0.2">
      <c r="D3023" s="2">
        <v>158000</v>
      </c>
      <c r="F3023" s="2">
        <f t="shared" si="57"/>
        <v>158000</v>
      </c>
    </row>
    <row r="3024" spans="4:6" x14ac:dyDescent="0.2">
      <c r="D3024" s="2">
        <v>563</v>
      </c>
      <c r="F3024" s="2">
        <f t="shared" si="57"/>
        <v>563</v>
      </c>
    </row>
    <row r="3025" spans="4:6" x14ac:dyDescent="0.2">
      <c r="D3025" s="2">
        <v>790</v>
      </c>
      <c r="F3025" s="2">
        <f t="shared" si="57"/>
        <v>790</v>
      </c>
    </row>
    <row r="3026" spans="4:6" x14ac:dyDescent="0.2">
      <c r="D3026" s="2">
        <v>367</v>
      </c>
      <c r="F3026" s="2">
        <f t="shared" si="57"/>
        <v>367</v>
      </c>
    </row>
    <row r="3027" spans="4:6" x14ac:dyDescent="0.2">
      <c r="D3027" s="2">
        <v>245</v>
      </c>
      <c r="F3027" s="2">
        <f t="shared" si="57"/>
        <v>245</v>
      </c>
    </row>
    <row r="3028" spans="4:6" x14ac:dyDescent="0.2">
      <c r="D3028" s="2">
        <v>248</v>
      </c>
      <c r="F3028" s="2">
        <f t="shared" si="57"/>
        <v>248</v>
      </c>
    </row>
    <row r="3029" spans="4:6" x14ac:dyDescent="0.2">
      <c r="D3029" s="2">
        <v>200</v>
      </c>
      <c r="F3029" s="2">
        <f t="shared" ref="F3029:F3092" si="58">D3029</f>
        <v>200</v>
      </c>
    </row>
    <row r="3030" spans="4:6" x14ac:dyDescent="0.2">
      <c r="D3030" s="2">
        <v>5110</v>
      </c>
      <c r="F3030" s="2">
        <f t="shared" si="58"/>
        <v>5110</v>
      </c>
    </row>
    <row r="3031" spans="4:6" x14ac:dyDescent="0.2">
      <c r="D3031" s="2">
        <v>5640</v>
      </c>
      <c r="F3031" s="2">
        <f t="shared" si="58"/>
        <v>5640</v>
      </c>
    </row>
    <row r="3032" spans="4:6" x14ac:dyDescent="0.2">
      <c r="D3032" s="2">
        <v>4650</v>
      </c>
      <c r="F3032" s="2">
        <f t="shared" si="58"/>
        <v>4650</v>
      </c>
    </row>
    <row r="3033" spans="4:6" x14ac:dyDescent="0.2">
      <c r="D3033" s="2">
        <v>6420</v>
      </c>
      <c r="F3033" s="2">
        <f t="shared" si="58"/>
        <v>6420</v>
      </c>
    </row>
    <row r="3034" spans="4:6" x14ac:dyDescent="0.2">
      <c r="D3034" s="2">
        <v>4850</v>
      </c>
      <c r="F3034" s="2">
        <f t="shared" si="58"/>
        <v>4850</v>
      </c>
    </row>
    <row r="3035" spans="4:6" x14ac:dyDescent="0.2">
      <c r="D3035" s="2">
        <v>4570</v>
      </c>
      <c r="F3035" s="2">
        <f t="shared" si="58"/>
        <v>4570</v>
      </c>
    </row>
    <row r="3036" spans="4:6" x14ac:dyDescent="0.2">
      <c r="D3036" s="2">
        <v>4000</v>
      </c>
      <c r="F3036" s="2">
        <f t="shared" si="58"/>
        <v>4000</v>
      </c>
    </row>
    <row r="3037" spans="4:6" x14ac:dyDescent="0.2">
      <c r="D3037" s="2">
        <v>4000</v>
      </c>
      <c r="F3037" s="2">
        <f t="shared" si="58"/>
        <v>4000</v>
      </c>
    </row>
    <row r="3038" spans="4:6" x14ac:dyDescent="0.2">
      <c r="D3038" s="2">
        <v>4250</v>
      </c>
      <c r="F3038" s="2">
        <f t="shared" si="58"/>
        <v>4250</v>
      </c>
    </row>
    <row r="3039" spans="4:6" x14ac:dyDescent="0.2">
      <c r="D3039" s="2">
        <v>188</v>
      </c>
      <c r="F3039" s="2">
        <f t="shared" si="58"/>
        <v>188</v>
      </c>
    </row>
    <row r="3040" spans="4:6" x14ac:dyDescent="0.2">
      <c r="D3040" s="2">
        <v>197</v>
      </c>
      <c r="F3040" s="2">
        <f t="shared" si="58"/>
        <v>197</v>
      </c>
    </row>
    <row r="3041" spans="4:6" x14ac:dyDescent="0.2">
      <c r="D3041" s="2">
        <v>165</v>
      </c>
      <c r="F3041" s="2">
        <f t="shared" si="58"/>
        <v>165</v>
      </c>
    </row>
    <row r="3042" spans="4:6" x14ac:dyDescent="0.2">
      <c r="D3042" s="2">
        <v>132000</v>
      </c>
      <c r="F3042" s="2">
        <f t="shared" si="58"/>
        <v>132000</v>
      </c>
    </row>
    <row r="3043" spans="4:6" x14ac:dyDescent="0.2">
      <c r="D3043" s="2">
        <v>114000</v>
      </c>
      <c r="F3043" s="2">
        <f t="shared" si="58"/>
        <v>114000</v>
      </c>
    </row>
    <row r="3044" spans="4:6" x14ac:dyDescent="0.2">
      <c r="D3044" s="2">
        <v>111000</v>
      </c>
      <c r="F3044" s="2">
        <f t="shared" si="58"/>
        <v>111000</v>
      </c>
    </row>
    <row r="3045" spans="4:6" x14ac:dyDescent="0.2">
      <c r="D3045" s="2">
        <v>20.2</v>
      </c>
      <c r="F3045" s="2">
        <f t="shared" si="58"/>
        <v>20.2</v>
      </c>
    </row>
    <row r="3046" spans="4:6" x14ac:dyDescent="0.2">
      <c r="D3046" s="2">
        <v>31.4</v>
      </c>
      <c r="F3046" s="2">
        <f t="shared" si="58"/>
        <v>31.4</v>
      </c>
    </row>
    <row r="3047" spans="4:6" x14ac:dyDescent="0.2">
      <c r="D3047" s="2">
        <v>16.600000000000001</v>
      </c>
      <c r="F3047" s="2">
        <f t="shared" si="58"/>
        <v>16.600000000000001</v>
      </c>
    </row>
    <row r="3048" spans="4:6" x14ac:dyDescent="0.2">
      <c r="D3048" s="2">
        <v>141</v>
      </c>
      <c r="F3048" s="2">
        <f t="shared" si="58"/>
        <v>141</v>
      </c>
    </row>
    <row r="3049" spans="4:6" x14ac:dyDescent="0.2">
      <c r="D3049" s="2">
        <v>96.4</v>
      </c>
      <c r="F3049" s="2">
        <f t="shared" si="58"/>
        <v>96.4</v>
      </c>
    </row>
    <row r="3050" spans="4:6" x14ac:dyDescent="0.2">
      <c r="D3050" s="2">
        <v>114</v>
      </c>
      <c r="F3050" s="2">
        <f t="shared" si="58"/>
        <v>114</v>
      </c>
    </row>
    <row r="3051" spans="4:6" x14ac:dyDescent="0.2">
      <c r="D3051" s="2">
        <v>165</v>
      </c>
      <c r="F3051" s="2">
        <f t="shared" si="58"/>
        <v>165</v>
      </c>
    </row>
    <row r="3052" spans="4:6" x14ac:dyDescent="0.2">
      <c r="D3052" s="2">
        <v>219</v>
      </c>
      <c r="F3052" s="2">
        <f t="shared" si="58"/>
        <v>219</v>
      </c>
    </row>
    <row r="3053" spans="4:6" x14ac:dyDescent="0.2">
      <c r="D3053" s="2">
        <v>188</v>
      </c>
      <c r="F3053" s="2">
        <f t="shared" si="58"/>
        <v>188</v>
      </c>
    </row>
    <row r="3054" spans="4:6" x14ac:dyDescent="0.2">
      <c r="D3054" s="2">
        <v>585</v>
      </c>
      <c r="F3054" s="2">
        <f t="shared" si="58"/>
        <v>585</v>
      </c>
    </row>
    <row r="3055" spans="4:6" x14ac:dyDescent="0.2">
      <c r="D3055" s="2">
        <v>606</v>
      </c>
      <c r="F3055" s="2">
        <f t="shared" si="58"/>
        <v>606</v>
      </c>
    </row>
    <row r="3056" spans="4:6" x14ac:dyDescent="0.2">
      <c r="D3056" s="2">
        <v>794</v>
      </c>
      <c r="F3056" s="2">
        <f t="shared" si="58"/>
        <v>794</v>
      </c>
    </row>
    <row r="3057" spans="4:6" x14ac:dyDescent="0.2">
      <c r="D3057" s="2">
        <v>745</v>
      </c>
      <c r="F3057" s="2">
        <f t="shared" si="58"/>
        <v>745</v>
      </c>
    </row>
    <row r="3058" spans="4:6" x14ac:dyDescent="0.2">
      <c r="D3058" s="2">
        <v>416</v>
      </c>
      <c r="F3058" s="2">
        <f t="shared" si="58"/>
        <v>416</v>
      </c>
    </row>
    <row r="3059" spans="4:6" x14ac:dyDescent="0.2">
      <c r="D3059" s="2">
        <v>636</v>
      </c>
      <c r="F3059" s="2">
        <f t="shared" si="58"/>
        <v>636</v>
      </c>
    </row>
    <row r="3060" spans="4:6" x14ac:dyDescent="0.2">
      <c r="D3060" s="2">
        <v>1050</v>
      </c>
      <c r="F3060" s="2">
        <f t="shared" si="58"/>
        <v>1050</v>
      </c>
    </row>
    <row r="3061" spans="4:6" x14ac:dyDescent="0.2">
      <c r="D3061" s="2">
        <v>563</v>
      </c>
      <c r="F3061" s="2">
        <f t="shared" si="58"/>
        <v>563</v>
      </c>
    </row>
    <row r="3062" spans="4:6" x14ac:dyDescent="0.2">
      <c r="D3062" s="2">
        <v>1180</v>
      </c>
      <c r="F3062" s="2">
        <f t="shared" si="58"/>
        <v>1180</v>
      </c>
    </row>
    <row r="3063" spans="4:6" x14ac:dyDescent="0.2">
      <c r="D3063" s="2">
        <v>696000</v>
      </c>
      <c r="F3063" s="2">
        <f t="shared" si="58"/>
        <v>696000</v>
      </c>
    </row>
    <row r="3064" spans="4:6" x14ac:dyDescent="0.2">
      <c r="D3064" s="2">
        <v>757000</v>
      </c>
      <c r="F3064" s="2">
        <f t="shared" si="58"/>
        <v>757000</v>
      </c>
    </row>
    <row r="3065" spans="4:6" x14ac:dyDescent="0.2">
      <c r="D3065" s="2">
        <v>519000</v>
      </c>
      <c r="F3065" s="2">
        <f t="shared" si="58"/>
        <v>519000</v>
      </c>
    </row>
    <row r="3066" spans="4:6" x14ac:dyDescent="0.2">
      <c r="D3066" s="2">
        <v>20.9</v>
      </c>
      <c r="F3066" s="2">
        <f t="shared" si="58"/>
        <v>20.9</v>
      </c>
    </row>
    <row r="3067" spans="4:6" x14ac:dyDescent="0.2">
      <c r="D3067" s="2">
        <v>24.1</v>
      </c>
      <c r="F3067" s="2">
        <f t="shared" si="58"/>
        <v>24.1</v>
      </c>
    </row>
    <row r="3068" spans="4:6" x14ac:dyDescent="0.2">
      <c r="D3068" s="2">
        <v>4.9400000000000004</v>
      </c>
      <c r="F3068" s="2">
        <f t="shared" si="58"/>
        <v>4.9400000000000004</v>
      </c>
    </row>
    <row r="3069" spans="4:6" x14ac:dyDescent="0.2">
      <c r="D3069">
        <v>0</v>
      </c>
      <c r="F3069" s="2">
        <f t="shared" si="58"/>
        <v>0</v>
      </c>
    </row>
    <row r="3070" spans="4:6" x14ac:dyDescent="0.2">
      <c r="D3070">
        <v>0</v>
      </c>
      <c r="F3070" s="2">
        <f t="shared" si="58"/>
        <v>0</v>
      </c>
    </row>
    <row r="3071" spans="4:6" x14ac:dyDescent="0.2">
      <c r="D3071">
        <v>0</v>
      </c>
      <c r="F3071" s="2">
        <f t="shared" si="58"/>
        <v>0</v>
      </c>
    </row>
    <row r="3072" spans="4:6" x14ac:dyDescent="0.2">
      <c r="D3072" s="2">
        <v>92.3</v>
      </c>
      <c r="F3072" s="2">
        <f t="shared" si="58"/>
        <v>92.3</v>
      </c>
    </row>
    <row r="3073" spans="4:6" x14ac:dyDescent="0.2">
      <c r="D3073" s="2">
        <v>23.7</v>
      </c>
      <c r="F3073" s="2">
        <f t="shared" si="58"/>
        <v>23.7</v>
      </c>
    </row>
    <row r="3074" spans="4:6" x14ac:dyDescent="0.2">
      <c r="D3074" s="2">
        <v>28.9</v>
      </c>
      <c r="F3074" s="2">
        <f t="shared" si="58"/>
        <v>28.9</v>
      </c>
    </row>
    <row r="3075" spans="4:6" x14ac:dyDescent="0.2">
      <c r="D3075" s="2">
        <v>44</v>
      </c>
      <c r="F3075" s="2">
        <f t="shared" si="58"/>
        <v>44</v>
      </c>
    </row>
    <row r="3076" spans="4:6" x14ac:dyDescent="0.2">
      <c r="D3076" s="2">
        <v>48.6</v>
      </c>
      <c r="F3076" s="2">
        <f t="shared" si="58"/>
        <v>48.6</v>
      </c>
    </row>
    <row r="3077" spans="4:6" x14ac:dyDescent="0.2">
      <c r="D3077" s="2">
        <v>4.53</v>
      </c>
      <c r="F3077" s="2">
        <f t="shared" si="58"/>
        <v>4.53</v>
      </c>
    </row>
    <row r="3078" spans="4:6" x14ac:dyDescent="0.2">
      <c r="D3078" s="2">
        <v>8.74</v>
      </c>
      <c r="F3078" s="2">
        <f t="shared" si="58"/>
        <v>8.74</v>
      </c>
    </row>
    <row r="3079" spans="4:6" x14ac:dyDescent="0.2">
      <c r="D3079" s="2">
        <v>6.76</v>
      </c>
      <c r="F3079" s="2">
        <f t="shared" si="58"/>
        <v>6.76</v>
      </c>
    </row>
    <row r="3080" spans="4:6" x14ac:dyDescent="0.2">
      <c r="D3080" s="2">
        <v>23.7</v>
      </c>
      <c r="F3080" s="2">
        <f t="shared" si="58"/>
        <v>23.7</v>
      </c>
    </row>
    <row r="3081" spans="4:6" x14ac:dyDescent="0.2">
      <c r="D3081">
        <v>0</v>
      </c>
      <c r="F3081" s="2">
        <f t="shared" si="58"/>
        <v>0</v>
      </c>
    </row>
    <row r="3082" spans="4:6" x14ac:dyDescent="0.2">
      <c r="D3082">
        <v>0</v>
      </c>
      <c r="F3082" s="2">
        <f t="shared" si="58"/>
        <v>0</v>
      </c>
    </row>
    <row r="3083" spans="4:6" x14ac:dyDescent="0.2">
      <c r="D3083">
        <v>0</v>
      </c>
      <c r="F3083" s="2">
        <f t="shared" si="58"/>
        <v>0</v>
      </c>
    </row>
    <row r="3084" spans="4:6" x14ac:dyDescent="0.2">
      <c r="D3084" s="2">
        <v>4670</v>
      </c>
      <c r="F3084" s="2">
        <f t="shared" si="58"/>
        <v>4670</v>
      </c>
    </row>
    <row r="3085" spans="4:6" x14ac:dyDescent="0.2">
      <c r="D3085" s="2">
        <v>3610</v>
      </c>
      <c r="F3085" s="2">
        <f t="shared" si="58"/>
        <v>3610</v>
      </c>
    </row>
    <row r="3086" spans="4:6" x14ac:dyDescent="0.2">
      <c r="D3086" s="2">
        <v>3320</v>
      </c>
      <c r="F3086" s="2">
        <f t="shared" si="58"/>
        <v>3320</v>
      </c>
    </row>
    <row r="3087" spans="4:6" x14ac:dyDescent="0.2">
      <c r="D3087">
        <v>0</v>
      </c>
      <c r="F3087" s="2">
        <f t="shared" si="58"/>
        <v>0</v>
      </c>
    </row>
    <row r="3088" spans="4:6" x14ac:dyDescent="0.2">
      <c r="D3088">
        <v>0</v>
      </c>
      <c r="F3088" s="2">
        <f t="shared" si="58"/>
        <v>0</v>
      </c>
    </row>
    <row r="3089" spans="4:6" x14ac:dyDescent="0.2">
      <c r="D3089">
        <v>0</v>
      </c>
      <c r="F3089" s="2">
        <f t="shared" si="58"/>
        <v>0</v>
      </c>
    </row>
    <row r="3090" spans="4:6" x14ac:dyDescent="0.2">
      <c r="D3090">
        <v>0</v>
      </c>
      <c r="F3090" s="2">
        <f t="shared" si="58"/>
        <v>0</v>
      </c>
    </row>
    <row r="3091" spans="4:6" x14ac:dyDescent="0.2">
      <c r="D3091">
        <v>0</v>
      </c>
      <c r="F3091" s="2">
        <f t="shared" si="58"/>
        <v>0</v>
      </c>
    </row>
    <row r="3092" spans="4:6" x14ac:dyDescent="0.2">
      <c r="D3092">
        <v>0</v>
      </c>
      <c r="F3092" s="2">
        <f t="shared" si="58"/>
        <v>0</v>
      </c>
    </row>
    <row r="3093" spans="4:6" x14ac:dyDescent="0.2">
      <c r="D3093">
        <v>0</v>
      </c>
      <c r="F3093" s="2">
        <f t="shared" ref="F3093:F3156" si="59">D3093</f>
        <v>0</v>
      </c>
    </row>
    <row r="3094" spans="4:6" x14ac:dyDescent="0.2">
      <c r="D3094">
        <v>0</v>
      </c>
      <c r="F3094" s="2">
        <f t="shared" si="59"/>
        <v>0</v>
      </c>
    </row>
    <row r="3095" spans="4:6" x14ac:dyDescent="0.2">
      <c r="D3095">
        <v>0</v>
      </c>
      <c r="F3095" s="2">
        <f t="shared" si="59"/>
        <v>0</v>
      </c>
    </row>
    <row r="3096" spans="4:6" x14ac:dyDescent="0.2">
      <c r="D3096">
        <v>0</v>
      </c>
      <c r="F3096" s="2">
        <f t="shared" si="59"/>
        <v>0</v>
      </c>
    </row>
    <row r="3097" spans="4:6" x14ac:dyDescent="0.2">
      <c r="D3097">
        <v>0</v>
      </c>
      <c r="F3097" s="2">
        <f t="shared" si="59"/>
        <v>0</v>
      </c>
    </row>
    <row r="3098" spans="4:6" x14ac:dyDescent="0.2">
      <c r="D3098">
        <v>0</v>
      </c>
      <c r="F3098" s="2">
        <f t="shared" si="59"/>
        <v>0</v>
      </c>
    </row>
    <row r="3099" spans="4:6" x14ac:dyDescent="0.2">
      <c r="D3099">
        <v>0</v>
      </c>
      <c r="F3099" s="2">
        <f t="shared" si="59"/>
        <v>0</v>
      </c>
    </row>
    <row r="3100" spans="4:6" x14ac:dyDescent="0.2">
      <c r="D3100">
        <v>0</v>
      </c>
      <c r="F3100" s="2">
        <f t="shared" si="59"/>
        <v>0</v>
      </c>
    </row>
    <row r="3101" spans="4:6" x14ac:dyDescent="0.2">
      <c r="D3101">
        <v>0</v>
      </c>
      <c r="F3101" s="2">
        <f t="shared" si="59"/>
        <v>0</v>
      </c>
    </row>
    <row r="3102" spans="4:6" x14ac:dyDescent="0.2">
      <c r="D3102">
        <v>0</v>
      </c>
      <c r="F3102" s="2">
        <f t="shared" si="59"/>
        <v>0</v>
      </c>
    </row>
    <row r="3103" spans="4:6" x14ac:dyDescent="0.2">
      <c r="D3103">
        <v>0</v>
      </c>
      <c r="F3103" s="2">
        <f t="shared" si="59"/>
        <v>0</v>
      </c>
    </row>
    <row r="3104" spans="4:6" x14ac:dyDescent="0.2">
      <c r="D3104">
        <v>0</v>
      </c>
      <c r="F3104" s="2">
        <f t="shared" si="59"/>
        <v>0</v>
      </c>
    </row>
    <row r="3105" spans="4:6" x14ac:dyDescent="0.2">
      <c r="D3105" s="2">
        <v>1240</v>
      </c>
      <c r="F3105" s="2">
        <f t="shared" si="59"/>
        <v>1240</v>
      </c>
    </row>
    <row r="3106" spans="4:6" x14ac:dyDescent="0.2">
      <c r="D3106" s="2">
        <v>1580</v>
      </c>
      <c r="F3106" s="2">
        <f t="shared" si="59"/>
        <v>1580</v>
      </c>
    </row>
    <row r="3107" spans="4:6" x14ac:dyDescent="0.2">
      <c r="D3107" s="2">
        <v>1140</v>
      </c>
      <c r="F3107" s="2">
        <f t="shared" si="59"/>
        <v>1140</v>
      </c>
    </row>
    <row r="3108" spans="4:6" x14ac:dyDescent="0.2">
      <c r="D3108" s="2">
        <v>14.4</v>
      </c>
      <c r="F3108" s="2">
        <f t="shared" si="59"/>
        <v>14.4</v>
      </c>
    </row>
    <row r="3109" spans="4:6" x14ac:dyDescent="0.2">
      <c r="D3109" s="2">
        <v>24.6</v>
      </c>
      <c r="F3109" s="2">
        <f t="shared" si="59"/>
        <v>24.6</v>
      </c>
    </row>
    <row r="3110" spans="4:6" x14ac:dyDescent="0.2">
      <c r="D3110" s="2">
        <v>18.100000000000001</v>
      </c>
      <c r="F3110" s="2">
        <f t="shared" si="59"/>
        <v>18.100000000000001</v>
      </c>
    </row>
    <row r="3111" spans="4:6" x14ac:dyDescent="0.2">
      <c r="D3111">
        <v>0</v>
      </c>
      <c r="F3111" s="2">
        <f t="shared" si="59"/>
        <v>0</v>
      </c>
    </row>
    <row r="3112" spans="4:6" x14ac:dyDescent="0.2">
      <c r="D3112" s="2">
        <v>7.64</v>
      </c>
      <c r="F3112" s="2">
        <f t="shared" si="59"/>
        <v>7.64</v>
      </c>
    </row>
    <row r="3113" spans="4:6" x14ac:dyDescent="0.2">
      <c r="D3113" s="2">
        <v>3.83</v>
      </c>
      <c r="F3113" s="2">
        <f t="shared" si="59"/>
        <v>3.83</v>
      </c>
    </row>
    <row r="3114" spans="4:6" x14ac:dyDescent="0.2">
      <c r="D3114" s="2">
        <v>12.4</v>
      </c>
      <c r="F3114" s="2">
        <f t="shared" si="59"/>
        <v>12.4</v>
      </c>
    </row>
    <row r="3115" spans="4:6" x14ac:dyDescent="0.2">
      <c r="D3115" s="2">
        <v>12.6</v>
      </c>
      <c r="F3115" s="2">
        <f t="shared" si="59"/>
        <v>12.6</v>
      </c>
    </row>
    <row r="3116" spans="4:6" x14ac:dyDescent="0.2">
      <c r="D3116" s="2">
        <v>9.64</v>
      </c>
      <c r="F3116" s="2">
        <f t="shared" si="59"/>
        <v>9.64</v>
      </c>
    </row>
    <row r="3117" spans="4:6" x14ac:dyDescent="0.2">
      <c r="D3117" s="2">
        <v>33</v>
      </c>
      <c r="F3117" s="2">
        <f t="shared" si="59"/>
        <v>33</v>
      </c>
    </row>
    <row r="3118" spans="4:6" x14ac:dyDescent="0.2">
      <c r="D3118" s="2">
        <v>37.1</v>
      </c>
      <c r="F3118" s="2">
        <f t="shared" si="59"/>
        <v>37.1</v>
      </c>
    </row>
    <row r="3119" spans="4:6" x14ac:dyDescent="0.2">
      <c r="D3119" s="2">
        <v>10</v>
      </c>
      <c r="F3119" s="2">
        <f t="shared" si="59"/>
        <v>10</v>
      </c>
    </row>
    <row r="3120" spans="4:6" x14ac:dyDescent="0.2">
      <c r="D3120">
        <v>0</v>
      </c>
      <c r="F3120" s="2">
        <f t="shared" si="59"/>
        <v>0</v>
      </c>
    </row>
    <row r="3121" spans="4:6" x14ac:dyDescent="0.2">
      <c r="D3121" s="2">
        <v>6.64</v>
      </c>
      <c r="F3121" s="2">
        <f t="shared" si="59"/>
        <v>6.64</v>
      </c>
    </row>
    <row r="3122" spans="4:6" x14ac:dyDescent="0.2">
      <c r="D3122" s="2">
        <v>9.58</v>
      </c>
      <c r="F3122" s="2">
        <f t="shared" si="59"/>
        <v>9.58</v>
      </c>
    </row>
    <row r="3123" spans="4:6" x14ac:dyDescent="0.2">
      <c r="D3123" s="2">
        <v>18.7</v>
      </c>
      <c r="F3123" s="2">
        <f t="shared" si="59"/>
        <v>18.7</v>
      </c>
    </row>
    <row r="3124" spans="4:6" x14ac:dyDescent="0.2">
      <c r="D3124" s="2">
        <v>2.2599999999999998</v>
      </c>
      <c r="F3124" s="2">
        <f t="shared" si="59"/>
        <v>2.2599999999999998</v>
      </c>
    </row>
    <row r="3125" spans="4:6" x14ac:dyDescent="0.2">
      <c r="D3125" s="2">
        <v>7.15</v>
      </c>
      <c r="F3125" s="2">
        <f t="shared" si="59"/>
        <v>7.15</v>
      </c>
    </row>
    <row r="3126" spans="4:6" x14ac:dyDescent="0.2">
      <c r="D3126" s="2">
        <v>586</v>
      </c>
      <c r="F3126" s="2">
        <f t="shared" si="59"/>
        <v>586</v>
      </c>
    </row>
    <row r="3127" spans="4:6" x14ac:dyDescent="0.2">
      <c r="D3127" s="2">
        <v>512</v>
      </c>
      <c r="F3127" s="2">
        <f t="shared" si="59"/>
        <v>512</v>
      </c>
    </row>
    <row r="3128" spans="4:6" x14ac:dyDescent="0.2">
      <c r="D3128" s="2">
        <v>487</v>
      </c>
      <c r="F3128" s="2">
        <f t="shared" si="59"/>
        <v>487</v>
      </c>
    </row>
    <row r="3129" spans="4:6" x14ac:dyDescent="0.2">
      <c r="D3129">
        <v>0</v>
      </c>
      <c r="F3129" s="2">
        <f t="shared" si="59"/>
        <v>0</v>
      </c>
    </row>
    <row r="3130" spans="4:6" x14ac:dyDescent="0.2">
      <c r="D3130">
        <v>0</v>
      </c>
      <c r="F3130" s="2">
        <f t="shared" si="59"/>
        <v>0</v>
      </c>
    </row>
    <row r="3131" spans="4:6" x14ac:dyDescent="0.2">
      <c r="D3131">
        <v>0</v>
      </c>
      <c r="F3131" s="2">
        <f t="shared" si="59"/>
        <v>0</v>
      </c>
    </row>
    <row r="3132" spans="4:6" x14ac:dyDescent="0.2">
      <c r="D3132">
        <v>0</v>
      </c>
      <c r="F3132" s="2">
        <f t="shared" si="59"/>
        <v>0</v>
      </c>
    </row>
    <row r="3133" spans="4:6" x14ac:dyDescent="0.2">
      <c r="D3133">
        <v>0</v>
      </c>
      <c r="F3133" s="2">
        <f t="shared" si="59"/>
        <v>0</v>
      </c>
    </row>
    <row r="3134" spans="4:6" x14ac:dyDescent="0.2">
      <c r="D3134">
        <v>0</v>
      </c>
      <c r="F3134" s="2">
        <f t="shared" si="59"/>
        <v>0</v>
      </c>
    </row>
    <row r="3135" spans="4:6" x14ac:dyDescent="0.2">
      <c r="D3135">
        <v>0</v>
      </c>
      <c r="F3135" s="2">
        <f t="shared" si="59"/>
        <v>0</v>
      </c>
    </row>
    <row r="3136" spans="4:6" x14ac:dyDescent="0.2">
      <c r="D3136">
        <v>0</v>
      </c>
      <c r="F3136" s="2">
        <f t="shared" si="59"/>
        <v>0</v>
      </c>
    </row>
    <row r="3137" spans="4:6" x14ac:dyDescent="0.2">
      <c r="D3137">
        <v>0</v>
      </c>
      <c r="F3137" s="2">
        <f t="shared" si="59"/>
        <v>0</v>
      </c>
    </row>
    <row r="3138" spans="4:6" x14ac:dyDescent="0.2">
      <c r="D3138">
        <v>0</v>
      </c>
      <c r="F3138" s="2">
        <f t="shared" si="59"/>
        <v>0</v>
      </c>
    </row>
    <row r="3139" spans="4:6" x14ac:dyDescent="0.2">
      <c r="D3139">
        <v>0</v>
      </c>
      <c r="F3139" s="2">
        <f t="shared" si="59"/>
        <v>0</v>
      </c>
    </row>
    <row r="3140" spans="4:6" x14ac:dyDescent="0.2">
      <c r="D3140">
        <v>0</v>
      </c>
      <c r="F3140" s="2">
        <f t="shared" si="59"/>
        <v>0</v>
      </c>
    </row>
    <row r="3141" spans="4:6" x14ac:dyDescent="0.2">
      <c r="D3141">
        <v>0</v>
      </c>
      <c r="F3141" s="2">
        <f t="shared" si="59"/>
        <v>0</v>
      </c>
    </row>
    <row r="3142" spans="4:6" x14ac:dyDescent="0.2">
      <c r="D3142">
        <v>0</v>
      </c>
      <c r="F3142" s="2">
        <f t="shared" si="59"/>
        <v>0</v>
      </c>
    </row>
    <row r="3143" spans="4:6" x14ac:dyDescent="0.2">
      <c r="D3143">
        <v>0</v>
      </c>
      <c r="F3143" s="2">
        <f t="shared" si="59"/>
        <v>0</v>
      </c>
    </row>
    <row r="3144" spans="4:6" x14ac:dyDescent="0.2">
      <c r="D3144">
        <v>0</v>
      </c>
      <c r="F3144" s="2">
        <f t="shared" si="59"/>
        <v>0</v>
      </c>
    </row>
    <row r="3145" spans="4:6" x14ac:dyDescent="0.2">
      <c r="D3145">
        <v>0</v>
      </c>
      <c r="F3145" s="2">
        <f t="shared" si="59"/>
        <v>0</v>
      </c>
    </row>
    <row r="3146" spans="4:6" x14ac:dyDescent="0.2">
      <c r="D3146">
        <v>0</v>
      </c>
      <c r="F3146" s="2">
        <f t="shared" si="59"/>
        <v>0</v>
      </c>
    </row>
    <row r="3147" spans="4:6" x14ac:dyDescent="0.2">
      <c r="D3147" s="2">
        <v>658</v>
      </c>
      <c r="F3147" s="2">
        <f t="shared" si="59"/>
        <v>658</v>
      </c>
    </row>
    <row r="3148" spans="4:6" x14ac:dyDescent="0.2">
      <c r="D3148" s="2">
        <v>935</v>
      </c>
      <c r="F3148" s="2">
        <f t="shared" si="59"/>
        <v>935</v>
      </c>
    </row>
    <row r="3149" spans="4:6" x14ac:dyDescent="0.2">
      <c r="D3149" s="2">
        <v>663</v>
      </c>
      <c r="F3149" s="2">
        <f t="shared" si="59"/>
        <v>663</v>
      </c>
    </row>
    <row r="3150" spans="4:6" x14ac:dyDescent="0.2">
      <c r="D3150" s="2">
        <v>17.8</v>
      </c>
      <c r="F3150" s="2">
        <f t="shared" si="59"/>
        <v>17.8</v>
      </c>
    </row>
    <row r="3151" spans="4:6" x14ac:dyDescent="0.2">
      <c r="D3151" s="2">
        <v>19.3</v>
      </c>
      <c r="F3151" s="2">
        <f t="shared" si="59"/>
        <v>19.3</v>
      </c>
    </row>
    <row r="3152" spans="4:6" x14ac:dyDescent="0.2">
      <c r="D3152" s="2">
        <v>10.199999999999999</v>
      </c>
      <c r="F3152" s="2">
        <f t="shared" si="59"/>
        <v>10.199999999999999</v>
      </c>
    </row>
    <row r="3153" spans="4:6" x14ac:dyDescent="0.2">
      <c r="D3153" s="2">
        <v>14.7</v>
      </c>
      <c r="F3153" s="2">
        <f t="shared" si="59"/>
        <v>14.7</v>
      </c>
    </row>
    <row r="3154" spans="4:6" x14ac:dyDescent="0.2">
      <c r="D3154" s="2">
        <v>12.6</v>
      </c>
      <c r="F3154" s="2">
        <f t="shared" si="59"/>
        <v>12.6</v>
      </c>
    </row>
    <row r="3155" spans="4:6" x14ac:dyDescent="0.2">
      <c r="D3155" s="2">
        <v>11.4</v>
      </c>
      <c r="F3155" s="2">
        <f t="shared" si="59"/>
        <v>11.4</v>
      </c>
    </row>
    <row r="3156" spans="4:6" x14ac:dyDescent="0.2">
      <c r="D3156" s="2">
        <v>181</v>
      </c>
      <c r="F3156" s="2">
        <f t="shared" si="59"/>
        <v>181</v>
      </c>
    </row>
    <row r="3157" spans="4:6" x14ac:dyDescent="0.2">
      <c r="D3157" s="2">
        <v>96.9</v>
      </c>
      <c r="F3157" s="2">
        <f t="shared" ref="F3157:F3220" si="60">D3157</f>
        <v>96.9</v>
      </c>
    </row>
    <row r="3158" spans="4:6" x14ac:dyDescent="0.2">
      <c r="D3158" s="2">
        <v>70.400000000000006</v>
      </c>
      <c r="F3158" s="2">
        <f t="shared" si="60"/>
        <v>70.400000000000006</v>
      </c>
    </row>
    <row r="3159" spans="4:6" x14ac:dyDescent="0.2">
      <c r="D3159" s="2">
        <v>348</v>
      </c>
      <c r="F3159" s="2">
        <f t="shared" si="60"/>
        <v>348</v>
      </c>
    </row>
    <row r="3160" spans="4:6" x14ac:dyDescent="0.2">
      <c r="D3160" s="2">
        <v>155</v>
      </c>
      <c r="F3160" s="2">
        <f t="shared" si="60"/>
        <v>155</v>
      </c>
    </row>
    <row r="3161" spans="4:6" x14ac:dyDescent="0.2">
      <c r="D3161" s="2">
        <v>134</v>
      </c>
      <c r="F3161" s="2">
        <f t="shared" si="60"/>
        <v>134</v>
      </c>
    </row>
    <row r="3162" spans="4:6" x14ac:dyDescent="0.2">
      <c r="D3162" s="2">
        <v>742</v>
      </c>
      <c r="F3162" s="2">
        <f t="shared" si="60"/>
        <v>742</v>
      </c>
    </row>
    <row r="3163" spans="4:6" x14ac:dyDescent="0.2">
      <c r="D3163" s="2">
        <v>399</v>
      </c>
      <c r="F3163" s="2">
        <f t="shared" si="60"/>
        <v>399</v>
      </c>
    </row>
    <row r="3164" spans="4:6" x14ac:dyDescent="0.2">
      <c r="D3164" s="2">
        <v>472</v>
      </c>
      <c r="F3164" s="2">
        <f t="shared" si="60"/>
        <v>472</v>
      </c>
    </row>
    <row r="3165" spans="4:6" x14ac:dyDescent="0.2">
      <c r="D3165" s="2">
        <v>14</v>
      </c>
      <c r="F3165" s="2">
        <f t="shared" si="60"/>
        <v>14</v>
      </c>
    </row>
    <row r="3166" spans="4:6" x14ac:dyDescent="0.2">
      <c r="D3166" s="2">
        <v>9.84</v>
      </c>
      <c r="F3166" s="2">
        <f t="shared" si="60"/>
        <v>9.84</v>
      </c>
    </row>
    <row r="3167" spans="4:6" x14ac:dyDescent="0.2">
      <c r="D3167" s="2">
        <v>12.6</v>
      </c>
      <c r="F3167" s="2">
        <f t="shared" si="60"/>
        <v>12.6</v>
      </c>
    </row>
    <row r="3168" spans="4:6" x14ac:dyDescent="0.2">
      <c r="D3168" s="2">
        <v>87.6</v>
      </c>
      <c r="F3168" s="2">
        <f t="shared" si="60"/>
        <v>87.6</v>
      </c>
    </row>
    <row r="3169" spans="4:6" x14ac:dyDescent="0.2">
      <c r="D3169" s="2">
        <v>62.2</v>
      </c>
      <c r="F3169" s="2">
        <f t="shared" si="60"/>
        <v>62.2</v>
      </c>
    </row>
    <row r="3170" spans="4:6" x14ac:dyDescent="0.2">
      <c r="D3170" s="2">
        <v>61.7</v>
      </c>
      <c r="F3170" s="2">
        <f t="shared" si="60"/>
        <v>61.7</v>
      </c>
    </row>
    <row r="3171" spans="4:6" x14ac:dyDescent="0.2">
      <c r="D3171">
        <v>0</v>
      </c>
      <c r="F3171" s="2">
        <f t="shared" si="60"/>
        <v>0</v>
      </c>
    </row>
    <row r="3172" spans="4:6" x14ac:dyDescent="0.2">
      <c r="D3172" s="2">
        <v>4.74</v>
      </c>
      <c r="F3172" s="2">
        <f t="shared" si="60"/>
        <v>4.74</v>
      </c>
    </row>
    <row r="3173" spans="4:6" x14ac:dyDescent="0.2">
      <c r="D3173">
        <v>0</v>
      </c>
      <c r="F3173" s="2">
        <f t="shared" si="60"/>
        <v>0</v>
      </c>
    </row>
    <row r="3174" spans="4:6" x14ac:dyDescent="0.2">
      <c r="D3174" s="2">
        <v>64.5</v>
      </c>
      <c r="F3174" s="2">
        <f t="shared" si="60"/>
        <v>64.5</v>
      </c>
    </row>
    <row r="3175" spans="4:6" x14ac:dyDescent="0.2">
      <c r="D3175" s="2">
        <v>27.7</v>
      </c>
      <c r="F3175" s="2">
        <f t="shared" si="60"/>
        <v>27.7</v>
      </c>
    </row>
    <row r="3176" spans="4:6" x14ac:dyDescent="0.2">
      <c r="D3176" s="2">
        <v>24.1</v>
      </c>
      <c r="F3176" s="2">
        <f t="shared" si="60"/>
        <v>24.1</v>
      </c>
    </row>
    <row r="3177" spans="4:6" x14ac:dyDescent="0.2">
      <c r="D3177">
        <v>0</v>
      </c>
      <c r="F3177" s="2">
        <f t="shared" si="60"/>
        <v>0</v>
      </c>
    </row>
    <row r="3178" spans="4:6" x14ac:dyDescent="0.2">
      <c r="D3178">
        <v>0</v>
      </c>
      <c r="F3178" s="2">
        <f t="shared" si="60"/>
        <v>0</v>
      </c>
    </row>
    <row r="3179" spans="4:6" x14ac:dyDescent="0.2">
      <c r="D3179">
        <v>0</v>
      </c>
      <c r="F3179" s="2">
        <f t="shared" si="60"/>
        <v>0</v>
      </c>
    </row>
    <row r="3180" spans="4:6" x14ac:dyDescent="0.2">
      <c r="D3180">
        <v>0</v>
      </c>
      <c r="F3180" s="2">
        <f t="shared" si="60"/>
        <v>0</v>
      </c>
    </row>
    <row r="3181" spans="4:6" x14ac:dyDescent="0.2">
      <c r="D3181">
        <v>0</v>
      </c>
      <c r="F3181" s="2">
        <f t="shared" si="60"/>
        <v>0</v>
      </c>
    </row>
    <row r="3182" spans="4:6" x14ac:dyDescent="0.2">
      <c r="D3182">
        <v>0</v>
      </c>
      <c r="F3182" s="2">
        <f t="shared" si="60"/>
        <v>0</v>
      </c>
    </row>
    <row r="3183" spans="4:6" x14ac:dyDescent="0.2">
      <c r="D3183" s="2">
        <v>0.81399999999999995</v>
      </c>
      <c r="F3183" s="2">
        <f t="shared" si="60"/>
        <v>0.81399999999999995</v>
      </c>
    </row>
    <row r="3184" spans="4:6" x14ac:dyDescent="0.2">
      <c r="D3184">
        <v>0</v>
      </c>
      <c r="F3184" s="2">
        <f t="shared" si="60"/>
        <v>0</v>
      </c>
    </row>
    <row r="3185" spans="4:6" x14ac:dyDescent="0.2">
      <c r="D3185">
        <v>0</v>
      </c>
      <c r="F3185" s="2">
        <f t="shared" si="60"/>
        <v>0</v>
      </c>
    </row>
    <row r="3186" spans="4:6" x14ac:dyDescent="0.2">
      <c r="D3186">
        <v>0</v>
      </c>
      <c r="F3186" s="2">
        <f t="shared" si="60"/>
        <v>0</v>
      </c>
    </row>
    <row r="3187" spans="4:6" x14ac:dyDescent="0.2">
      <c r="D3187">
        <v>0</v>
      </c>
      <c r="F3187" s="2">
        <f t="shared" si="60"/>
        <v>0</v>
      </c>
    </row>
    <row r="3188" spans="4:6" x14ac:dyDescent="0.2">
      <c r="D3188" s="2">
        <v>1.84</v>
      </c>
      <c r="F3188" s="2">
        <f t="shared" si="60"/>
        <v>1.84</v>
      </c>
    </row>
    <row r="3189" spans="4:6" x14ac:dyDescent="0.2">
      <c r="D3189" s="2">
        <v>1740</v>
      </c>
      <c r="F3189" s="2">
        <f t="shared" si="60"/>
        <v>1740</v>
      </c>
    </row>
    <row r="3190" spans="4:6" x14ac:dyDescent="0.2">
      <c r="D3190" s="2">
        <v>2070</v>
      </c>
      <c r="F3190" s="2">
        <f t="shared" si="60"/>
        <v>2070</v>
      </c>
    </row>
    <row r="3191" spans="4:6" x14ac:dyDescent="0.2">
      <c r="D3191" s="2">
        <v>1550</v>
      </c>
      <c r="F3191" s="2">
        <f t="shared" si="60"/>
        <v>1550</v>
      </c>
    </row>
    <row r="3192" spans="4:6" x14ac:dyDescent="0.2">
      <c r="D3192" s="2">
        <v>1030</v>
      </c>
      <c r="F3192" s="2">
        <f t="shared" si="60"/>
        <v>1030</v>
      </c>
    </row>
    <row r="3193" spans="4:6" x14ac:dyDescent="0.2">
      <c r="D3193" s="2">
        <v>1060</v>
      </c>
      <c r="F3193" s="2">
        <f t="shared" si="60"/>
        <v>1060</v>
      </c>
    </row>
    <row r="3194" spans="4:6" x14ac:dyDescent="0.2">
      <c r="D3194" s="2">
        <v>539</v>
      </c>
      <c r="F3194" s="2">
        <f t="shared" si="60"/>
        <v>539</v>
      </c>
    </row>
    <row r="3195" spans="4:6" x14ac:dyDescent="0.2">
      <c r="D3195" s="2">
        <v>431</v>
      </c>
      <c r="F3195" s="2">
        <f t="shared" si="60"/>
        <v>431</v>
      </c>
    </row>
    <row r="3196" spans="4:6" x14ac:dyDescent="0.2">
      <c r="D3196" s="2">
        <v>308</v>
      </c>
      <c r="F3196" s="2">
        <f t="shared" si="60"/>
        <v>308</v>
      </c>
    </row>
    <row r="3197" spans="4:6" x14ac:dyDescent="0.2">
      <c r="D3197" s="2">
        <v>267</v>
      </c>
      <c r="F3197" s="2">
        <f t="shared" si="60"/>
        <v>267</v>
      </c>
    </row>
    <row r="3198" spans="4:6" x14ac:dyDescent="0.2">
      <c r="D3198" s="2">
        <v>932</v>
      </c>
      <c r="F3198" s="2">
        <f t="shared" si="60"/>
        <v>932</v>
      </c>
    </row>
    <row r="3199" spans="4:6" x14ac:dyDescent="0.2">
      <c r="D3199" s="2">
        <v>755</v>
      </c>
      <c r="F3199" s="2">
        <f t="shared" si="60"/>
        <v>755</v>
      </c>
    </row>
    <row r="3200" spans="4:6" x14ac:dyDescent="0.2">
      <c r="D3200" s="2">
        <v>874</v>
      </c>
      <c r="F3200" s="2">
        <f t="shared" si="60"/>
        <v>874</v>
      </c>
    </row>
    <row r="3201" spans="4:6" x14ac:dyDescent="0.2">
      <c r="D3201" s="2">
        <v>3520</v>
      </c>
      <c r="F3201" s="2">
        <f t="shared" si="60"/>
        <v>3520</v>
      </c>
    </row>
    <row r="3202" spans="4:6" x14ac:dyDescent="0.2">
      <c r="D3202" s="2">
        <v>2670</v>
      </c>
      <c r="F3202" s="2">
        <f t="shared" si="60"/>
        <v>2670</v>
      </c>
    </row>
    <row r="3203" spans="4:6" x14ac:dyDescent="0.2">
      <c r="D3203" s="2">
        <v>2300</v>
      </c>
      <c r="F3203" s="2">
        <f t="shared" si="60"/>
        <v>2300</v>
      </c>
    </row>
    <row r="3204" spans="4:6" x14ac:dyDescent="0.2">
      <c r="D3204" s="2">
        <v>790</v>
      </c>
      <c r="F3204" s="2">
        <f t="shared" si="60"/>
        <v>790</v>
      </c>
    </row>
    <row r="3205" spans="4:6" x14ac:dyDescent="0.2">
      <c r="D3205" s="2">
        <v>556</v>
      </c>
      <c r="F3205" s="2">
        <f t="shared" si="60"/>
        <v>556</v>
      </c>
    </row>
    <row r="3206" spans="4:6" x14ac:dyDescent="0.2">
      <c r="D3206" s="2">
        <v>667</v>
      </c>
      <c r="F3206" s="2">
        <f t="shared" si="60"/>
        <v>667</v>
      </c>
    </row>
    <row r="3207" spans="4:6" x14ac:dyDescent="0.2">
      <c r="D3207" s="2">
        <v>106</v>
      </c>
      <c r="F3207" s="2">
        <f t="shared" si="60"/>
        <v>106</v>
      </c>
    </row>
    <row r="3208" spans="4:6" x14ac:dyDescent="0.2">
      <c r="D3208" s="2">
        <v>96.9</v>
      </c>
      <c r="F3208" s="2">
        <f t="shared" si="60"/>
        <v>96.9</v>
      </c>
    </row>
    <row r="3209" spans="4:6" x14ac:dyDescent="0.2">
      <c r="D3209" s="2">
        <v>91.7</v>
      </c>
      <c r="F3209" s="2">
        <f t="shared" si="60"/>
        <v>91.7</v>
      </c>
    </row>
    <row r="3210" spans="4:6" x14ac:dyDescent="0.2">
      <c r="D3210" s="2">
        <v>108000</v>
      </c>
      <c r="F3210" s="2">
        <f t="shared" si="60"/>
        <v>108000</v>
      </c>
    </row>
    <row r="3211" spans="4:6" x14ac:dyDescent="0.2">
      <c r="D3211" s="2">
        <v>111000</v>
      </c>
      <c r="F3211" s="2">
        <f t="shared" si="60"/>
        <v>111000</v>
      </c>
    </row>
    <row r="3212" spans="4:6" x14ac:dyDescent="0.2">
      <c r="D3212" s="2">
        <v>104000</v>
      </c>
      <c r="F3212" s="2">
        <f t="shared" si="60"/>
        <v>104000</v>
      </c>
    </row>
    <row r="3213" spans="4:6" x14ac:dyDescent="0.2">
      <c r="D3213" s="2">
        <v>15.5</v>
      </c>
      <c r="F3213" s="2">
        <f t="shared" si="60"/>
        <v>15.5</v>
      </c>
    </row>
    <row r="3214" spans="4:6" x14ac:dyDescent="0.2">
      <c r="D3214" s="2">
        <v>22.2</v>
      </c>
      <c r="F3214" s="2">
        <f t="shared" si="60"/>
        <v>22.2</v>
      </c>
    </row>
    <row r="3215" spans="4:6" x14ac:dyDescent="0.2">
      <c r="D3215" s="2">
        <v>12.4</v>
      </c>
      <c r="F3215" s="2">
        <f t="shared" si="60"/>
        <v>12.4</v>
      </c>
    </row>
    <row r="3216" spans="4:6" x14ac:dyDescent="0.2">
      <c r="D3216" s="2">
        <v>29.9</v>
      </c>
      <c r="F3216" s="2">
        <f t="shared" si="60"/>
        <v>29.9</v>
      </c>
    </row>
    <row r="3217" spans="4:6" x14ac:dyDescent="0.2">
      <c r="D3217" s="2">
        <v>31.6</v>
      </c>
      <c r="F3217" s="2">
        <f t="shared" si="60"/>
        <v>31.6</v>
      </c>
    </row>
    <row r="3218" spans="4:6" x14ac:dyDescent="0.2">
      <c r="D3218" s="2">
        <v>35.4</v>
      </c>
      <c r="F3218" s="2">
        <f t="shared" si="60"/>
        <v>35.4</v>
      </c>
    </row>
    <row r="3219" spans="4:6" x14ac:dyDescent="0.2">
      <c r="D3219" s="2">
        <v>7.93</v>
      </c>
      <c r="F3219" s="2">
        <f t="shared" si="60"/>
        <v>7.93</v>
      </c>
    </row>
    <row r="3220" spans="4:6" x14ac:dyDescent="0.2">
      <c r="D3220" s="2">
        <v>14.5</v>
      </c>
      <c r="F3220" s="2">
        <f t="shared" si="60"/>
        <v>14.5</v>
      </c>
    </row>
    <row r="3221" spans="4:6" x14ac:dyDescent="0.2">
      <c r="D3221" s="2">
        <v>13.5</v>
      </c>
      <c r="F3221" s="2">
        <f t="shared" ref="F3221:F3284" si="61">D3221</f>
        <v>13.5</v>
      </c>
    </row>
    <row r="3222" spans="4:6" x14ac:dyDescent="0.2">
      <c r="D3222" s="2">
        <v>18.100000000000001</v>
      </c>
      <c r="F3222" s="2">
        <f t="shared" si="61"/>
        <v>18.100000000000001</v>
      </c>
    </row>
    <row r="3223" spans="4:6" x14ac:dyDescent="0.2">
      <c r="D3223" s="2">
        <v>15.1</v>
      </c>
      <c r="F3223" s="2">
        <f t="shared" si="61"/>
        <v>15.1</v>
      </c>
    </row>
    <row r="3224" spans="4:6" x14ac:dyDescent="0.2">
      <c r="D3224" s="2">
        <v>31</v>
      </c>
      <c r="F3224" s="2">
        <f t="shared" si="61"/>
        <v>31</v>
      </c>
    </row>
    <row r="3225" spans="4:6" x14ac:dyDescent="0.2">
      <c r="D3225" s="2">
        <v>141</v>
      </c>
      <c r="F3225" s="2">
        <f t="shared" si="61"/>
        <v>141</v>
      </c>
    </row>
    <row r="3226" spans="4:6" x14ac:dyDescent="0.2">
      <c r="D3226" s="2">
        <v>106</v>
      </c>
      <c r="F3226" s="2">
        <f t="shared" si="61"/>
        <v>106</v>
      </c>
    </row>
    <row r="3227" spans="4:6" x14ac:dyDescent="0.2">
      <c r="D3227" s="2">
        <v>153</v>
      </c>
      <c r="F3227" s="2">
        <f t="shared" si="61"/>
        <v>153</v>
      </c>
    </row>
    <row r="3228" spans="4:6" x14ac:dyDescent="0.2">
      <c r="D3228" s="2">
        <v>32.700000000000003</v>
      </c>
      <c r="F3228" s="2">
        <f t="shared" si="61"/>
        <v>32.700000000000003</v>
      </c>
    </row>
    <row r="3229" spans="4:6" x14ac:dyDescent="0.2">
      <c r="D3229" s="2">
        <v>11.3</v>
      </c>
      <c r="F3229" s="2">
        <f t="shared" si="61"/>
        <v>11.3</v>
      </c>
    </row>
    <row r="3230" spans="4:6" x14ac:dyDescent="0.2">
      <c r="D3230" s="2">
        <v>29.5</v>
      </c>
      <c r="F3230" s="2">
        <f t="shared" si="61"/>
        <v>29.5</v>
      </c>
    </row>
    <row r="3231" spans="4:6" x14ac:dyDescent="0.2">
      <c r="D3231" s="2">
        <v>263000</v>
      </c>
      <c r="F3231" s="2">
        <f t="shared" si="61"/>
        <v>263000</v>
      </c>
    </row>
    <row r="3232" spans="4:6" x14ac:dyDescent="0.2">
      <c r="D3232" s="2">
        <v>305000</v>
      </c>
      <c r="F3232" s="2">
        <f t="shared" si="61"/>
        <v>305000</v>
      </c>
    </row>
    <row r="3233" spans="4:6" x14ac:dyDescent="0.2">
      <c r="D3233" s="2">
        <v>245000</v>
      </c>
      <c r="F3233" s="2">
        <f t="shared" si="61"/>
        <v>245000</v>
      </c>
    </row>
    <row r="3234" spans="4:6" x14ac:dyDescent="0.2">
      <c r="D3234" s="2">
        <v>22.7</v>
      </c>
      <c r="F3234" s="2">
        <f t="shared" si="61"/>
        <v>22.7</v>
      </c>
    </row>
    <row r="3235" spans="4:6" x14ac:dyDescent="0.2">
      <c r="D3235" s="2">
        <v>29.5</v>
      </c>
      <c r="F3235" s="2">
        <f t="shared" si="61"/>
        <v>29.5</v>
      </c>
    </row>
    <row r="3236" spans="4:6" x14ac:dyDescent="0.2">
      <c r="D3236" s="2">
        <v>11.6</v>
      </c>
      <c r="F3236" s="2">
        <f t="shared" si="61"/>
        <v>11.6</v>
      </c>
    </row>
    <row r="3237" spans="4:6" x14ac:dyDescent="0.2">
      <c r="D3237" s="2">
        <v>18.899999999999999</v>
      </c>
      <c r="F3237" s="2">
        <f t="shared" si="61"/>
        <v>18.899999999999999</v>
      </c>
    </row>
    <row r="3238" spans="4:6" x14ac:dyDescent="0.2">
      <c r="D3238" s="2">
        <v>58.3</v>
      </c>
      <c r="F3238" s="2">
        <f t="shared" si="61"/>
        <v>58.3</v>
      </c>
    </row>
    <row r="3239" spans="4:6" x14ac:dyDescent="0.2">
      <c r="D3239" s="2">
        <v>19.100000000000001</v>
      </c>
      <c r="F3239" s="2">
        <f t="shared" si="61"/>
        <v>19.100000000000001</v>
      </c>
    </row>
    <row r="3240" spans="4:6" x14ac:dyDescent="0.2">
      <c r="D3240" s="2">
        <v>375</v>
      </c>
      <c r="F3240" s="2">
        <f t="shared" si="61"/>
        <v>375</v>
      </c>
    </row>
    <row r="3241" spans="4:6" x14ac:dyDescent="0.2">
      <c r="D3241" s="2">
        <v>520</v>
      </c>
      <c r="F3241" s="2">
        <f t="shared" si="61"/>
        <v>520</v>
      </c>
    </row>
    <row r="3242" spans="4:6" x14ac:dyDescent="0.2">
      <c r="D3242" s="2">
        <v>279</v>
      </c>
      <c r="F3242" s="2">
        <f t="shared" si="61"/>
        <v>279</v>
      </c>
    </row>
    <row r="3243" spans="4:6" x14ac:dyDescent="0.2">
      <c r="D3243" s="2">
        <v>1270</v>
      </c>
      <c r="F3243" s="2">
        <f t="shared" si="61"/>
        <v>1270</v>
      </c>
    </row>
    <row r="3244" spans="4:6" x14ac:dyDescent="0.2">
      <c r="D3244" s="2">
        <v>561</v>
      </c>
      <c r="F3244" s="2">
        <f t="shared" si="61"/>
        <v>561</v>
      </c>
    </row>
    <row r="3245" spans="4:6" x14ac:dyDescent="0.2">
      <c r="D3245" s="2">
        <v>423</v>
      </c>
      <c r="F3245" s="2">
        <f t="shared" si="61"/>
        <v>423</v>
      </c>
    </row>
    <row r="3246" spans="4:6" x14ac:dyDescent="0.2">
      <c r="D3246" s="2">
        <v>429</v>
      </c>
      <c r="F3246" s="2">
        <f t="shared" si="61"/>
        <v>429</v>
      </c>
    </row>
    <row r="3247" spans="4:6" x14ac:dyDescent="0.2">
      <c r="D3247" s="2">
        <v>117</v>
      </c>
      <c r="F3247" s="2">
        <f t="shared" si="61"/>
        <v>117</v>
      </c>
    </row>
    <row r="3248" spans="4:6" x14ac:dyDescent="0.2">
      <c r="D3248" s="2">
        <v>131</v>
      </c>
      <c r="F3248" s="2">
        <f t="shared" si="61"/>
        <v>131</v>
      </c>
    </row>
    <row r="3249" spans="4:6" x14ac:dyDescent="0.2">
      <c r="D3249" s="2">
        <v>6.05</v>
      </c>
      <c r="F3249" s="2">
        <f t="shared" si="61"/>
        <v>6.05</v>
      </c>
    </row>
    <row r="3250" spans="4:6" x14ac:dyDescent="0.2">
      <c r="D3250" s="2">
        <v>6.36</v>
      </c>
      <c r="F3250" s="2">
        <f t="shared" si="61"/>
        <v>6.36</v>
      </c>
    </row>
    <row r="3251" spans="4:6" x14ac:dyDescent="0.2">
      <c r="D3251" s="2">
        <v>7.79</v>
      </c>
      <c r="F3251" s="2">
        <f t="shared" si="61"/>
        <v>7.79</v>
      </c>
    </row>
    <row r="3252" spans="4:6" x14ac:dyDescent="0.2">
      <c r="D3252" s="2">
        <v>18100</v>
      </c>
      <c r="F3252" s="2">
        <f t="shared" si="61"/>
        <v>18100</v>
      </c>
    </row>
    <row r="3253" spans="4:6" x14ac:dyDescent="0.2">
      <c r="D3253" s="2">
        <v>12700</v>
      </c>
      <c r="F3253" s="2">
        <f t="shared" si="61"/>
        <v>12700</v>
      </c>
    </row>
    <row r="3254" spans="4:6" x14ac:dyDescent="0.2">
      <c r="D3254" s="2">
        <v>14800</v>
      </c>
      <c r="F3254" s="2">
        <f t="shared" si="61"/>
        <v>14800</v>
      </c>
    </row>
    <row r="3255" spans="4:6" x14ac:dyDescent="0.2">
      <c r="D3255">
        <v>0</v>
      </c>
      <c r="F3255" s="2">
        <f t="shared" si="61"/>
        <v>0</v>
      </c>
    </row>
    <row r="3256" spans="4:6" x14ac:dyDescent="0.2">
      <c r="D3256">
        <v>0</v>
      </c>
      <c r="F3256" s="2">
        <f t="shared" si="61"/>
        <v>0</v>
      </c>
    </row>
    <row r="3257" spans="4:6" x14ac:dyDescent="0.2">
      <c r="D3257">
        <v>0</v>
      </c>
      <c r="F3257" s="2">
        <f t="shared" si="61"/>
        <v>0</v>
      </c>
    </row>
    <row r="3258" spans="4:6" x14ac:dyDescent="0.2">
      <c r="D3258" s="2">
        <v>5.63</v>
      </c>
      <c r="F3258" s="2">
        <f t="shared" si="61"/>
        <v>5.63</v>
      </c>
    </row>
    <row r="3259" spans="4:6" x14ac:dyDescent="0.2">
      <c r="D3259" s="2">
        <v>3.3</v>
      </c>
      <c r="F3259" s="2">
        <f t="shared" si="61"/>
        <v>3.3</v>
      </c>
    </row>
    <row r="3260" spans="4:6" x14ac:dyDescent="0.2">
      <c r="D3260" s="2">
        <v>2.7</v>
      </c>
      <c r="F3260" s="2">
        <f t="shared" si="61"/>
        <v>2.7</v>
      </c>
    </row>
    <row r="3261" spans="4:6" x14ac:dyDescent="0.2">
      <c r="D3261" s="2">
        <v>1.78</v>
      </c>
      <c r="F3261" s="2">
        <f t="shared" si="61"/>
        <v>1.78</v>
      </c>
    </row>
    <row r="3262" spans="4:6" x14ac:dyDescent="0.2">
      <c r="D3262" s="2">
        <v>2.89</v>
      </c>
      <c r="F3262" s="2">
        <f t="shared" si="61"/>
        <v>2.89</v>
      </c>
    </row>
    <row r="3263" spans="4:6" x14ac:dyDescent="0.2">
      <c r="D3263" s="2">
        <v>1.9</v>
      </c>
      <c r="F3263" s="2">
        <f t="shared" si="61"/>
        <v>1.9</v>
      </c>
    </row>
    <row r="3264" spans="4:6" x14ac:dyDescent="0.2">
      <c r="D3264" s="2">
        <v>5.08</v>
      </c>
      <c r="F3264" s="2">
        <f t="shared" si="61"/>
        <v>5.08</v>
      </c>
    </row>
    <row r="3265" spans="4:6" x14ac:dyDescent="0.2">
      <c r="D3265" s="2">
        <v>5.53</v>
      </c>
      <c r="F3265" s="2">
        <f t="shared" si="61"/>
        <v>5.53</v>
      </c>
    </row>
    <row r="3266" spans="4:6" x14ac:dyDescent="0.2">
      <c r="D3266" s="2">
        <v>9.18</v>
      </c>
      <c r="F3266" s="2">
        <f t="shared" si="61"/>
        <v>9.18</v>
      </c>
    </row>
    <row r="3267" spans="4:6" x14ac:dyDescent="0.2">
      <c r="D3267" s="2">
        <v>6.68</v>
      </c>
      <c r="F3267" s="2">
        <f t="shared" si="61"/>
        <v>6.68</v>
      </c>
    </row>
    <row r="3268" spans="4:6" x14ac:dyDescent="0.2">
      <c r="D3268" s="2">
        <v>3.43</v>
      </c>
      <c r="F3268" s="2">
        <f t="shared" si="61"/>
        <v>3.43</v>
      </c>
    </row>
    <row r="3269" spans="4:6" x14ac:dyDescent="0.2">
      <c r="D3269" s="2">
        <v>7.89</v>
      </c>
      <c r="F3269" s="2">
        <f t="shared" si="61"/>
        <v>7.89</v>
      </c>
    </row>
    <row r="3270" spans="4:6" x14ac:dyDescent="0.2">
      <c r="D3270" s="2">
        <v>10.6</v>
      </c>
      <c r="F3270" s="2">
        <f t="shared" si="61"/>
        <v>10.6</v>
      </c>
    </row>
    <row r="3271" spans="4:6" x14ac:dyDescent="0.2">
      <c r="D3271" s="2">
        <v>5.28</v>
      </c>
      <c r="F3271" s="2">
        <f t="shared" si="61"/>
        <v>5.28</v>
      </c>
    </row>
    <row r="3272" spans="4:6" x14ac:dyDescent="0.2">
      <c r="D3272" s="2">
        <v>11.2</v>
      </c>
      <c r="F3272" s="2">
        <f t="shared" si="61"/>
        <v>11.2</v>
      </c>
    </row>
    <row r="3273" spans="4:6" x14ac:dyDescent="0.2">
      <c r="D3273" s="2">
        <v>74700</v>
      </c>
      <c r="F3273" s="2">
        <f t="shared" si="61"/>
        <v>74700</v>
      </c>
    </row>
    <row r="3274" spans="4:6" x14ac:dyDescent="0.2">
      <c r="D3274" s="2">
        <v>79200</v>
      </c>
      <c r="F3274" s="2">
        <f t="shared" si="61"/>
        <v>79200</v>
      </c>
    </row>
    <row r="3275" spans="4:6" x14ac:dyDescent="0.2">
      <c r="D3275" s="2">
        <v>61900</v>
      </c>
      <c r="F3275" s="2">
        <f t="shared" si="61"/>
        <v>61900</v>
      </c>
    </row>
    <row r="3276" spans="4:6" x14ac:dyDescent="0.2">
      <c r="D3276" s="2">
        <v>20.100000000000001</v>
      </c>
      <c r="F3276" s="2">
        <f t="shared" si="61"/>
        <v>20.100000000000001</v>
      </c>
    </row>
    <row r="3277" spans="4:6" x14ac:dyDescent="0.2">
      <c r="D3277" s="2">
        <v>28.8</v>
      </c>
      <c r="F3277" s="2">
        <f t="shared" si="61"/>
        <v>28.8</v>
      </c>
    </row>
    <row r="3278" spans="4:6" x14ac:dyDescent="0.2">
      <c r="D3278" s="2">
        <v>12.9</v>
      </c>
      <c r="F3278" s="2">
        <f t="shared" si="61"/>
        <v>12.9</v>
      </c>
    </row>
    <row r="3279" spans="4:6" x14ac:dyDescent="0.2">
      <c r="D3279" s="2">
        <v>7.35</v>
      </c>
      <c r="F3279" s="2">
        <f t="shared" si="61"/>
        <v>7.35</v>
      </c>
    </row>
    <row r="3280" spans="4:6" x14ac:dyDescent="0.2">
      <c r="D3280" s="2">
        <v>7.87</v>
      </c>
      <c r="F3280" s="2">
        <f t="shared" si="61"/>
        <v>7.87</v>
      </c>
    </row>
    <row r="3281" spans="4:6" x14ac:dyDescent="0.2">
      <c r="D3281" s="2">
        <v>6.17</v>
      </c>
      <c r="F3281" s="2">
        <f t="shared" si="61"/>
        <v>6.17</v>
      </c>
    </row>
    <row r="3282" spans="4:6" x14ac:dyDescent="0.2">
      <c r="D3282" s="2">
        <v>230</v>
      </c>
      <c r="F3282" s="2">
        <f t="shared" si="61"/>
        <v>230</v>
      </c>
    </row>
    <row r="3283" spans="4:6" x14ac:dyDescent="0.2">
      <c r="D3283" s="2">
        <v>173</v>
      </c>
      <c r="F3283" s="2">
        <f t="shared" si="61"/>
        <v>173</v>
      </c>
    </row>
    <row r="3284" spans="4:6" x14ac:dyDescent="0.2">
      <c r="D3284" s="2">
        <v>161</v>
      </c>
      <c r="F3284" s="2">
        <f t="shared" si="61"/>
        <v>161</v>
      </c>
    </row>
    <row r="3285" spans="4:6" x14ac:dyDescent="0.2">
      <c r="D3285" s="2">
        <v>178</v>
      </c>
      <c r="F3285" s="2">
        <f t="shared" ref="F3285:F3348" si="62">D3285</f>
        <v>178</v>
      </c>
    </row>
    <row r="3286" spans="4:6" x14ac:dyDescent="0.2">
      <c r="D3286" s="2">
        <v>130</v>
      </c>
      <c r="F3286" s="2">
        <f t="shared" si="62"/>
        <v>130</v>
      </c>
    </row>
    <row r="3287" spans="4:6" x14ac:dyDescent="0.2">
      <c r="D3287" s="2">
        <v>114</v>
      </c>
      <c r="F3287" s="2">
        <f t="shared" si="62"/>
        <v>114</v>
      </c>
    </row>
    <row r="3288" spans="4:6" x14ac:dyDescent="0.2">
      <c r="D3288" s="2">
        <v>136</v>
      </c>
      <c r="F3288" s="2">
        <f t="shared" si="62"/>
        <v>136</v>
      </c>
    </row>
    <row r="3289" spans="4:6" x14ac:dyDescent="0.2">
      <c r="D3289" s="2">
        <v>133</v>
      </c>
      <c r="F3289" s="2">
        <f t="shared" si="62"/>
        <v>133</v>
      </c>
    </row>
    <row r="3290" spans="4:6" x14ac:dyDescent="0.2">
      <c r="D3290" s="2">
        <v>149</v>
      </c>
      <c r="F3290" s="2">
        <f t="shared" si="62"/>
        <v>149</v>
      </c>
    </row>
    <row r="3291" spans="4:6" x14ac:dyDescent="0.2">
      <c r="D3291" s="2">
        <v>4.3899999999999997</v>
      </c>
      <c r="F3291" s="2">
        <f t="shared" si="62"/>
        <v>4.3899999999999997</v>
      </c>
    </row>
    <row r="3292" spans="4:6" x14ac:dyDescent="0.2">
      <c r="D3292" s="2">
        <v>5.03</v>
      </c>
      <c r="F3292" s="2">
        <f t="shared" si="62"/>
        <v>5.03</v>
      </c>
    </row>
    <row r="3293" spans="4:6" x14ac:dyDescent="0.2">
      <c r="D3293" s="2">
        <v>6.28</v>
      </c>
      <c r="F3293" s="2">
        <f t="shared" si="62"/>
        <v>6.28</v>
      </c>
    </row>
    <row r="3294" spans="4:6" x14ac:dyDescent="0.2">
      <c r="D3294" s="2">
        <v>9470</v>
      </c>
      <c r="F3294" s="2">
        <f t="shared" si="62"/>
        <v>9470</v>
      </c>
    </row>
    <row r="3295" spans="4:6" x14ac:dyDescent="0.2">
      <c r="D3295" s="2">
        <v>7310</v>
      </c>
      <c r="F3295" s="2">
        <f t="shared" si="62"/>
        <v>7310</v>
      </c>
    </row>
    <row r="3296" spans="4:6" x14ac:dyDescent="0.2">
      <c r="D3296" s="2">
        <v>6260</v>
      </c>
      <c r="F3296" s="2">
        <f t="shared" si="62"/>
        <v>6260</v>
      </c>
    </row>
    <row r="3297" spans="4:6" x14ac:dyDescent="0.2">
      <c r="D3297">
        <v>0</v>
      </c>
      <c r="F3297" s="2">
        <f t="shared" si="62"/>
        <v>0</v>
      </c>
    </row>
    <row r="3298" spans="4:6" x14ac:dyDescent="0.2">
      <c r="D3298">
        <v>0</v>
      </c>
      <c r="F3298" s="2">
        <f t="shared" si="62"/>
        <v>0</v>
      </c>
    </row>
    <row r="3299" spans="4:6" x14ac:dyDescent="0.2">
      <c r="D3299">
        <v>0</v>
      </c>
      <c r="F3299" s="2">
        <f t="shared" si="62"/>
        <v>0</v>
      </c>
    </row>
    <row r="3300" spans="4:6" x14ac:dyDescent="0.2">
      <c r="D3300" s="2">
        <v>3.44</v>
      </c>
      <c r="F3300" s="2">
        <f t="shared" si="62"/>
        <v>3.44</v>
      </c>
    </row>
    <row r="3301" spans="4:6" x14ac:dyDescent="0.2">
      <c r="D3301" s="2">
        <v>3.39</v>
      </c>
      <c r="F3301" s="2">
        <f t="shared" si="62"/>
        <v>3.39</v>
      </c>
    </row>
    <row r="3302" spans="4:6" x14ac:dyDescent="0.2">
      <c r="D3302" s="2">
        <v>3.48</v>
      </c>
      <c r="F3302" s="2">
        <f t="shared" si="62"/>
        <v>3.48</v>
      </c>
    </row>
    <row r="3303" spans="4:6" x14ac:dyDescent="0.2">
      <c r="D3303" s="2">
        <v>4.93</v>
      </c>
      <c r="F3303" s="2">
        <f t="shared" si="62"/>
        <v>4.93</v>
      </c>
    </row>
    <row r="3304" spans="4:6" x14ac:dyDescent="0.2">
      <c r="D3304" s="2">
        <v>6.92</v>
      </c>
      <c r="F3304" s="2">
        <f t="shared" si="62"/>
        <v>6.92</v>
      </c>
    </row>
    <row r="3305" spans="4:6" x14ac:dyDescent="0.2">
      <c r="D3305" s="2">
        <v>7.06</v>
      </c>
      <c r="F3305" s="2">
        <f t="shared" si="62"/>
        <v>7.06</v>
      </c>
    </row>
    <row r="3306" spans="4:6" x14ac:dyDescent="0.2">
      <c r="D3306" s="2">
        <v>13</v>
      </c>
      <c r="F3306" s="2">
        <f t="shared" si="62"/>
        <v>13</v>
      </c>
    </row>
    <row r="3307" spans="4:6" x14ac:dyDescent="0.2">
      <c r="D3307" s="2">
        <v>11.6</v>
      </c>
      <c r="F3307" s="2">
        <f t="shared" si="62"/>
        <v>11.6</v>
      </c>
    </row>
    <row r="3308" spans="4:6" x14ac:dyDescent="0.2">
      <c r="D3308" s="2">
        <v>14.5</v>
      </c>
      <c r="F3308" s="2">
        <f t="shared" si="62"/>
        <v>14.5</v>
      </c>
    </row>
    <row r="3309" spans="4:6" x14ac:dyDescent="0.2">
      <c r="D3309" s="2">
        <v>23</v>
      </c>
      <c r="F3309" s="2">
        <f t="shared" si="62"/>
        <v>23</v>
      </c>
    </row>
    <row r="3310" spans="4:6" x14ac:dyDescent="0.2">
      <c r="D3310" s="2">
        <v>13</v>
      </c>
      <c r="F3310" s="2">
        <f t="shared" si="62"/>
        <v>13</v>
      </c>
    </row>
    <row r="3311" spans="4:6" x14ac:dyDescent="0.2">
      <c r="D3311" s="2">
        <v>21.6</v>
      </c>
      <c r="F3311" s="2">
        <f t="shared" si="62"/>
        <v>21.6</v>
      </c>
    </row>
    <row r="3312" spans="4:6" x14ac:dyDescent="0.2">
      <c r="D3312" s="2">
        <v>16.600000000000001</v>
      </c>
      <c r="F3312" s="2">
        <f t="shared" si="62"/>
        <v>16.600000000000001</v>
      </c>
    </row>
    <row r="3313" spans="4:6" x14ac:dyDescent="0.2">
      <c r="D3313" s="2">
        <v>8.0500000000000007</v>
      </c>
      <c r="F3313" s="2">
        <f t="shared" si="62"/>
        <v>8.0500000000000007</v>
      </c>
    </row>
    <row r="3314" spans="4:6" x14ac:dyDescent="0.2">
      <c r="D3314" s="2">
        <v>15.8</v>
      </c>
      <c r="F3314" s="2">
        <f t="shared" si="62"/>
        <v>15.8</v>
      </c>
    </row>
    <row r="3315" spans="4:6" x14ac:dyDescent="0.2">
      <c r="D3315" s="2">
        <v>16400</v>
      </c>
      <c r="F3315" s="2">
        <f t="shared" si="62"/>
        <v>16400</v>
      </c>
    </row>
    <row r="3316" spans="4:6" x14ac:dyDescent="0.2">
      <c r="D3316" s="2">
        <v>18800</v>
      </c>
      <c r="F3316" s="2">
        <f t="shared" si="62"/>
        <v>18800</v>
      </c>
    </row>
    <row r="3317" spans="4:6" x14ac:dyDescent="0.2">
      <c r="D3317" s="2">
        <v>16400</v>
      </c>
      <c r="F3317" s="2">
        <f t="shared" si="62"/>
        <v>16400</v>
      </c>
    </row>
    <row r="3318" spans="4:6" x14ac:dyDescent="0.2">
      <c r="D3318" s="2">
        <v>35.1</v>
      </c>
      <c r="F3318" s="2">
        <f t="shared" si="62"/>
        <v>35.1</v>
      </c>
    </row>
    <row r="3319" spans="4:6" x14ac:dyDescent="0.2">
      <c r="D3319" s="2">
        <v>38.6</v>
      </c>
      <c r="F3319" s="2">
        <f t="shared" si="62"/>
        <v>38.6</v>
      </c>
    </row>
    <row r="3320" spans="4:6" x14ac:dyDescent="0.2">
      <c r="D3320" s="2">
        <v>18</v>
      </c>
      <c r="F3320" s="2">
        <f t="shared" si="62"/>
        <v>18</v>
      </c>
    </row>
    <row r="3321" spans="4:6" x14ac:dyDescent="0.2">
      <c r="D3321" s="2">
        <v>11.5</v>
      </c>
      <c r="F3321" s="2">
        <f t="shared" si="62"/>
        <v>11.5</v>
      </c>
    </row>
    <row r="3322" spans="4:6" x14ac:dyDescent="0.2">
      <c r="D3322" s="2">
        <v>12.6</v>
      </c>
      <c r="F3322" s="2">
        <f t="shared" si="62"/>
        <v>12.6</v>
      </c>
    </row>
    <row r="3323" spans="4:6" x14ac:dyDescent="0.2">
      <c r="D3323" s="2">
        <v>10.7</v>
      </c>
      <c r="F3323" s="2">
        <f t="shared" si="62"/>
        <v>10.7</v>
      </c>
    </row>
    <row r="3324" spans="4:6" x14ac:dyDescent="0.2">
      <c r="D3324" s="2">
        <v>349</v>
      </c>
      <c r="F3324" s="2">
        <f t="shared" si="62"/>
        <v>349</v>
      </c>
    </row>
    <row r="3325" spans="4:6" x14ac:dyDescent="0.2">
      <c r="D3325" s="2">
        <v>285</v>
      </c>
      <c r="F3325" s="2">
        <f t="shared" si="62"/>
        <v>285</v>
      </c>
    </row>
    <row r="3326" spans="4:6" x14ac:dyDescent="0.2">
      <c r="D3326" s="2">
        <v>232</v>
      </c>
      <c r="F3326" s="2">
        <f t="shared" si="62"/>
        <v>232</v>
      </c>
    </row>
    <row r="3327" spans="4:6" x14ac:dyDescent="0.2">
      <c r="D3327" s="2">
        <v>2420</v>
      </c>
      <c r="F3327" s="2">
        <f t="shared" si="62"/>
        <v>2420</v>
      </c>
    </row>
    <row r="3328" spans="4:6" x14ac:dyDescent="0.2">
      <c r="D3328" s="2">
        <v>1080</v>
      </c>
      <c r="F3328" s="2">
        <f t="shared" si="62"/>
        <v>1080</v>
      </c>
    </row>
    <row r="3329" spans="4:6" x14ac:dyDescent="0.2">
      <c r="D3329" s="2">
        <v>944</v>
      </c>
      <c r="F3329" s="2">
        <f t="shared" si="62"/>
        <v>944</v>
      </c>
    </row>
    <row r="3330" spans="4:6" x14ac:dyDescent="0.2">
      <c r="D3330" s="2">
        <v>168</v>
      </c>
      <c r="F3330" s="2">
        <f t="shared" si="62"/>
        <v>168</v>
      </c>
    </row>
    <row r="3331" spans="4:6" x14ac:dyDescent="0.2">
      <c r="D3331" s="2">
        <v>137</v>
      </c>
      <c r="F3331" s="2">
        <f t="shared" si="62"/>
        <v>137</v>
      </c>
    </row>
    <row r="3332" spans="4:6" x14ac:dyDescent="0.2">
      <c r="D3332" s="2">
        <v>168</v>
      </c>
      <c r="F3332" s="2">
        <f t="shared" si="62"/>
        <v>168</v>
      </c>
    </row>
    <row r="3333" spans="4:6" x14ac:dyDescent="0.2">
      <c r="D3333" s="2">
        <v>4.83</v>
      </c>
      <c r="F3333" s="2">
        <f t="shared" si="62"/>
        <v>4.83</v>
      </c>
    </row>
    <row r="3334" spans="4:6" x14ac:dyDescent="0.2">
      <c r="D3334" s="2">
        <v>4.38</v>
      </c>
      <c r="F3334" s="2">
        <f t="shared" si="62"/>
        <v>4.38</v>
      </c>
    </row>
    <row r="3335" spans="4:6" x14ac:dyDescent="0.2">
      <c r="D3335" s="2">
        <v>3.9</v>
      </c>
      <c r="F3335" s="2">
        <f t="shared" si="62"/>
        <v>3.9</v>
      </c>
    </row>
    <row r="3336" spans="4:6" x14ac:dyDescent="0.2">
      <c r="D3336" s="2">
        <v>24700</v>
      </c>
      <c r="F3336" s="2">
        <f t="shared" si="62"/>
        <v>24700</v>
      </c>
    </row>
    <row r="3337" spans="4:6" x14ac:dyDescent="0.2">
      <c r="D3337" s="2">
        <v>18600</v>
      </c>
      <c r="F3337" s="2">
        <f t="shared" si="62"/>
        <v>18600</v>
      </c>
    </row>
    <row r="3338" spans="4:6" x14ac:dyDescent="0.2">
      <c r="D3338" s="2">
        <v>18700</v>
      </c>
      <c r="F3338" s="2">
        <f t="shared" si="62"/>
        <v>18700</v>
      </c>
    </row>
    <row r="3339" spans="4:6" x14ac:dyDescent="0.2">
      <c r="D3339">
        <v>0</v>
      </c>
      <c r="F3339" s="2">
        <f t="shared" si="62"/>
        <v>0</v>
      </c>
    </row>
    <row r="3340" spans="4:6" x14ac:dyDescent="0.2">
      <c r="D3340">
        <v>0</v>
      </c>
      <c r="F3340" s="2">
        <f t="shared" si="62"/>
        <v>0</v>
      </c>
    </row>
    <row r="3341" spans="4:6" x14ac:dyDescent="0.2">
      <c r="D3341">
        <v>0</v>
      </c>
      <c r="F3341" s="2">
        <f t="shared" si="62"/>
        <v>0</v>
      </c>
    </row>
    <row r="3342" spans="4:6" x14ac:dyDescent="0.2">
      <c r="D3342" s="2">
        <v>4.34</v>
      </c>
      <c r="F3342" s="2">
        <f t="shared" si="62"/>
        <v>4.34</v>
      </c>
    </row>
    <row r="3343" spans="4:6" x14ac:dyDescent="0.2">
      <c r="D3343" s="2">
        <v>3.89</v>
      </c>
      <c r="F3343" s="2">
        <f t="shared" si="62"/>
        <v>3.89</v>
      </c>
    </row>
    <row r="3344" spans="4:6" x14ac:dyDescent="0.2">
      <c r="D3344" s="2">
        <v>3.09</v>
      </c>
      <c r="F3344" s="2">
        <f t="shared" si="62"/>
        <v>3.09</v>
      </c>
    </row>
    <row r="3345" spans="4:6" x14ac:dyDescent="0.2">
      <c r="D3345" s="2">
        <v>1.33</v>
      </c>
      <c r="F3345" s="2">
        <f t="shared" si="62"/>
        <v>1.33</v>
      </c>
    </row>
    <row r="3346" spans="4:6" x14ac:dyDescent="0.2">
      <c r="D3346" s="2">
        <v>1.73</v>
      </c>
      <c r="F3346" s="2">
        <f t="shared" si="62"/>
        <v>1.73</v>
      </c>
    </row>
    <row r="3347" spans="4:6" x14ac:dyDescent="0.2">
      <c r="D3347" s="2">
        <v>1.59</v>
      </c>
      <c r="F3347" s="2">
        <f t="shared" si="62"/>
        <v>1.59</v>
      </c>
    </row>
    <row r="3348" spans="4:6" x14ac:dyDescent="0.2">
      <c r="D3348" s="2">
        <v>3.85</v>
      </c>
      <c r="F3348" s="2">
        <f t="shared" si="62"/>
        <v>3.85</v>
      </c>
    </row>
    <row r="3349" spans="4:6" x14ac:dyDescent="0.2">
      <c r="D3349" s="2">
        <v>5.95</v>
      </c>
      <c r="F3349" s="2">
        <f t="shared" ref="F3349:F3412" si="63">D3349</f>
        <v>5.95</v>
      </c>
    </row>
    <row r="3350" spans="4:6" x14ac:dyDescent="0.2">
      <c r="D3350" s="2">
        <v>7.25</v>
      </c>
      <c r="F3350" s="2">
        <f t="shared" si="63"/>
        <v>7.25</v>
      </c>
    </row>
    <row r="3351" spans="4:6" x14ac:dyDescent="0.2">
      <c r="D3351" s="2">
        <v>6.49</v>
      </c>
      <c r="F3351" s="2">
        <f t="shared" si="63"/>
        <v>6.49</v>
      </c>
    </row>
    <row r="3352" spans="4:6" x14ac:dyDescent="0.2">
      <c r="D3352" s="2">
        <v>3.8</v>
      </c>
      <c r="F3352" s="2">
        <f t="shared" si="63"/>
        <v>3.8</v>
      </c>
    </row>
    <row r="3353" spans="4:6" x14ac:dyDescent="0.2">
      <c r="D3353" s="2">
        <v>7.78</v>
      </c>
      <c r="F3353" s="2">
        <f t="shared" si="63"/>
        <v>7.78</v>
      </c>
    </row>
    <row r="3354" spans="4:6" x14ac:dyDescent="0.2">
      <c r="D3354" s="2">
        <v>4.92</v>
      </c>
      <c r="F3354" s="2">
        <f t="shared" si="63"/>
        <v>4.92</v>
      </c>
    </row>
    <row r="3355" spans="4:6" x14ac:dyDescent="0.2">
      <c r="D3355" s="2">
        <v>2.36</v>
      </c>
      <c r="F3355" s="2">
        <f t="shared" si="63"/>
        <v>2.36</v>
      </c>
    </row>
    <row r="3356" spans="4:6" x14ac:dyDescent="0.2">
      <c r="D3356" s="2">
        <v>5.93</v>
      </c>
      <c r="F3356" s="2">
        <f t="shared" si="63"/>
        <v>5.93</v>
      </c>
    </row>
    <row r="3357" spans="4:6" x14ac:dyDescent="0.2">
      <c r="D3357" s="2">
        <v>50900</v>
      </c>
      <c r="F3357" s="2">
        <f t="shared" si="63"/>
        <v>50900</v>
      </c>
    </row>
    <row r="3358" spans="4:6" x14ac:dyDescent="0.2">
      <c r="D3358" s="2">
        <v>61400</v>
      </c>
      <c r="F3358" s="2">
        <f t="shared" si="63"/>
        <v>61400</v>
      </c>
    </row>
    <row r="3359" spans="4:6" x14ac:dyDescent="0.2">
      <c r="D3359" s="2">
        <v>44200</v>
      </c>
      <c r="F3359" s="2">
        <f t="shared" si="63"/>
        <v>44200</v>
      </c>
    </row>
    <row r="3360" spans="4:6" x14ac:dyDescent="0.2">
      <c r="D3360" s="2">
        <v>7.66</v>
      </c>
      <c r="F3360" s="2">
        <f t="shared" si="63"/>
        <v>7.66</v>
      </c>
    </row>
    <row r="3361" spans="4:6" x14ac:dyDescent="0.2">
      <c r="D3361" s="2">
        <v>5.93</v>
      </c>
      <c r="F3361" s="2">
        <f t="shared" si="63"/>
        <v>5.93</v>
      </c>
    </row>
    <row r="3362" spans="4:6" x14ac:dyDescent="0.2">
      <c r="D3362" s="2">
        <v>4.5199999999999996</v>
      </c>
      <c r="F3362" s="2">
        <f t="shared" si="63"/>
        <v>4.5199999999999996</v>
      </c>
    </row>
    <row r="3363" spans="4:6" x14ac:dyDescent="0.2">
      <c r="D3363" s="2">
        <v>3.38</v>
      </c>
      <c r="F3363" s="2">
        <f t="shared" si="63"/>
        <v>3.38</v>
      </c>
    </row>
    <row r="3364" spans="4:6" x14ac:dyDescent="0.2">
      <c r="D3364" s="2">
        <v>2.7</v>
      </c>
      <c r="F3364" s="2">
        <f t="shared" si="63"/>
        <v>2.7</v>
      </c>
    </row>
    <row r="3365" spans="4:6" x14ac:dyDescent="0.2">
      <c r="D3365" s="2">
        <v>1.25</v>
      </c>
      <c r="F3365" s="2">
        <f t="shared" si="63"/>
        <v>1.25</v>
      </c>
    </row>
    <row r="3366" spans="4:6" x14ac:dyDescent="0.2">
      <c r="D3366" s="2">
        <v>6.39</v>
      </c>
      <c r="F3366" s="2">
        <f t="shared" si="63"/>
        <v>6.39</v>
      </c>
    </row>
    <row r="3367" spans="4:6" x14ac:dyDescent="0.2">
      <c r="D3367" s="2">
        <v>5.78</v>
      </c>
      <c r="F3367" s="2">
        <f t="shared" si="63"/>
        <v>5.78</v>
      </c>
    </row>
    <row r="3368" spans="4:6" x14ac:dyDescent="0.2">
      <c r="D3368" s="2">
        <v>3.24</v>
      </c>
      <c r="F3368" s="2">
        <f t="shared" si="63"/>
        <v>3.24</v>
      </c>
    </row>
    <row r="3369" spans="4:6" x14ac:dyDescent="0.2">
      <c r="D3369" s="2">
        <v>9.02</v>
      </c>
      <c r="F3369" s="2">
        <f t="shared" si="63"/>
        <v>9.02</v>
      </c>
    </row>
    <row r="3370" spans="4:6" x14ac:dyDescent="0.2">
      <c r="D3370" s="2">
        <v>7.38</v>
      </c>
      <c r="F3370" s="2">
        <f t="shared" si="63"/>
        <v>7.38</v>
      </c>
    </row>
    <row r="3371" spans="4:6" x14ac:dyDescent="0.2">
      <c r="D3371" s="2">
        <v>4.71</v>
      </c>
      <c r="F3371" s="2">
        <f t="shared" si="63"/>
        <v>4.71</v>
      </c>
    </row>
    <row r="3372" spans="4:6" x14ac:dyDescent="0.2">
      <c r="D3372" s="2">
        <v>4.03</v>
      </c>
      <c r="F3372" s="2">
        <f t="shared" si="63"/>
        <v>4.03</v>
      </c>
    </row>
    <row r="3373" spans="4:6" x14ac:dyDescent="0.2">
      <c r="D3373" s="2">
        <v>3.17</v>
      </c>
      <c r="F3373" s="2">
        <f t="shared" si="63"/>
        <v>3.17</v>
      </c>
    </row>
    <row r="3374" spans="4:6" x14ac:dyDescent="0.2">
      <c r="D3374" s="2">
        <v>3.6</v>
      </c>
      <c r="F3374" s="2">
        <f t="shared" si="63"/>
        <v>3.6</v>
      </c>
    </row>
    <row r="3375" spans="4:6" x14ac:dyDescent="0.2">
      <c r="D3375" s="2">
        <v>1.9</v>
      </c>
      <c r="F3375" s="2">
        <f t="shared" si="63"/>
        <v>1.9</v>
      </c>
    </row>
    <row r="3376" spans="4:6" x14ac:dyDescent="0.2">
      <c r="D3376" s="2">
        <v>1.42</v>
      </c>
      <c r="F3376" s="2">
        <f t="shared" si="63"/>
        <v>1.42</v>
      </c>
    </row>
    <row r="3377" spans="4:6" x14ac:dyDescent="0.2">
      <c r="D3377">
        <v>0</v>
      </c>
      <c r="F3377" s="2">
        <f t="shared" si="63"/>
        <v>0</v>
      </c>
    </row>
    <row r="3378" spans="4:6" x14ac:dyDescent="0.2">
      <c r="D3378" s="2">
        <v>81.7</v>
      </c>
      <c r="F3378" s="2">
        <f t="shared" si="63"/>
        <v>81.7</v>
      </c>
    </row>
    <row r="3379" spans="4:6" x14ac:dyDescent="0.2">
      <c r="D3379" s="2">
        <v>76.599999999999994</v>
      </c>
      <c r="F3379" s="2">
        <f t="shared" si="63"/>
        <v>76.599999999999994</v>
      </c>
    </row>
    <row r="3380" spans="4:6" x14ac:dyDescent="0.2">
      <c r="D3380" s="2">
        <v>60.8</v>
      </c>
      <c r="F3380" s="2">
        <f t="shared" si="63"/>
        <v>60.8</v>
      </c>
    </row>
    <row r="3381" spans="4:6" x14ac:dyDescent="0.2">
      <c r="D3381">
        <v>0</v>
      </c>
      <c r="F3381" s="2">
        <f t="shared" si="63"/>
        <v>0</v>
      </c>
    </row>
    <row r="3382" spans="4:6" x14ac:dyDescent="0.2">
      <c r="D3382">
        <v>0</v>
      </c>
      <c r="F3382" s="2">
        <f t="shared" si="63"/>
        <v>0</v>
      </c>
    </row>
    <row r="3383" spans="4:6" x14ac:dyDescent="0.2">
      <c r="D3383">
        <v>0</v>
      </c>
      <c r="F3383" s="2">
        <f t="shared" si="63"/>
        <v>0</v>
      </c>
    </row>
    <row r="3384" spans="4:6" x14ac:dyDescent="0.2">
      <c r="D3384">
        <v>0</v>
      </c>
      <c r="F3384" s="2">
        <f t="shared" si="63"/>
        <v>0</v>
      </c>
    </row>
    <row r="3385" spans="4:6" x14ac:dyDescent="0.2">
      <c r="D3385">
        <v>0</v>
      </c>
      <c r="F3385" s="2">
        <f t="shared" si="63"/>
        <v>0</v>
      </c>
    </row>
    <row r="3386" spans="4:6" x14ac:dyDescent="0.2">
      <c r="D3386">
        <v>0</v>
      </c>
      <c r="F3386" s="2">
        <f t="shared" si="63"/>
        <v>0</v>
      </c>
    </row>
    <row r="3387" spans="4:6" x14ac:dyDescent="0.2">
      <c r="D3387">
        <v>0</v>
      </c>
      <c r="F3387" s="2">
        <f t="shared" si="63"/>
        <v>0</v>
      </c>
    </row>
    <row r="3388" spans="4:6" x14ac:dyDescent="0.2">
      <c r="D3388">
        <v>0</v>
      </c>
      <c r="F3388" s="2">
        <f t="shared" si="63"/>
        <v>0</v>
      </c>
    </row>
    <row r="3389" spans="4:6" x14ac:dyDescent="0.2">
      <c r="D3389">
        <v>0</v>
      </c>
      <c r="F3389" s="2">
        <f t="shared" si="63"/>
        <v>0</v>
      </c>
    </row>
    <row r="3390" spans="4:6" x14ac:dyDescent="0.2">
      <c r="D3390">
        <v>0</v>
      </c>
      <c r="F3390" s="2">
        <f t="shared" si="63"/>
        <v>0</v>
      </c>
    </row>
    <row r="3391" spans="4:6" x14ac:dyDescent="0.2">
      <c r="D3391">
        <v>0</v>
      </c>
      <c r="F3391" s="2">
        <f t="shared" si="63"/>
        <v>0</v>
      </c>
    </row>
    <row r="3392" spans="4:6" x14ac:dyDescent="0.2">
      <c r="D3392">
        <v>0</v>
      </c>
      <c r="F3392" s="2">
        <f t="shared" si="63"/>
        <v>0</v>
      </c>
    </row>
    <row r="3393" spans="1:8" x14ac:dyDescent="0.2">
      <c r="D3393">
        <v>0</v>
      </c>
      <c r="F3393" s="2">
        <f t="shared" si="63"/>
        <v>0</v>
      </c>
    </row>
    <row r="3394" spans="1:8" x14ac:dyDescent="0.2">
      <c r="D3394">
        <v>0</v>
      </c>
      <c r="F3394" s="2">
        <f t="shared" si="63"/>
        <v>0</v>
      </c>
    </row>
    <row r="3395" spans="1:8" x14ac:dyDescent="0.2">
      <c r="D3395">
        <v>0</v>
      </c>
      <c r="F3395" s="2">
        <f t="shared" si="63"/>
        <v>0</v>
      </c>
    </row>
    <row r="3396" spans="1:8" x14ac:dyDescent="0.2">
      <c r="D3396">
        <v>0</v>
      </c>
      <c r="F3396" s="2">
        <f t="shared" si="63"/>
        <v>0</v>
      </c>
    </row>
    <row r="3397" spans="1:8" x14ac:dyDescent="0.2">
      <c r="D3397">
        <v>0</v>
      </c>
      <c r="F3397" s="2">
        <f t="shared" si="63"/>
        <v>0</v>
      </c>
    </row>
    <row r="3398" spans="1:8" x14ac:dyDescent="0.2">
      <c r="D3398">
        <v>0</v>
      </c>
      <c r="F3398" s="2">
        <f t="shared" si="63"/>
        <v>0</v>
      </c>
    </row>
    <row r="3399" spans="1:8" x14ac:dyDescent="0.2">
      <c r="D3399" s="2">
        <v>4110</v>
      </c>
      <c r="F3399" s="2">
        <f t="shared" si="63"/>
        <v>4110</v>
      </c>
    </row>
    <row r="3400" spans="1:8" x14ac:dyDescent="0.2">
      <c r="D3400" s="2">
        <v>4800</v>
      </c>
      <c r="F3400" s="2">
        <f t="shared" si="63"/>
        <v>4800</v>
      </c>
    </row>
    <row r="3401" spans="1:8" x14ac:dyDescent="0.2">
      <c r="D3401" s="2">
        <v>3680</v>
      </c>
      <c r="F3401" s="2">
        <f t="shared" si="63"/>
        <v>3680</v>
      </c>
    </row>
    <row r="3402" spans="1:8" x14ac:dyDescent="0.2">
      <c r="A3402" t="s">
        <v>588</v>
      </c>
      <c r="B3402">
        <v>2019</v>
      </c>
      <c r="C3402" t="s">
        <v>586</v>
      </c>
      <c r="D3402" s="2">
        <v>45.6</v>
      </c>
      <c r="E3402" t="s">
        <v>544</v>
      </c>
      <c r="F3402" s="2">
        <f t="shared" si="63"/>
        <v>45.6</v>
      </c>
      <c r="H3402" t="s">
        <v>590</v>
      </c>
    </row>
    <row r="3403" spans="1:8" x14ac:dyDescent="0.2">
      <c r="D3403" s="2">
        <v>955</v>
      </c>
      <c r="F3403" s="2">
        <f t="shared" si="63"/>
        <v>955</v>
      </c>
    </row>
    <row r="3404" spans="1:8" x14ac:dyDescent="0.2">
      <c r="D3404" s="2">
        <v>54</v>
      </c>
      <c r="F3404" s="2">
        <f t="shared" si="63"/>
        <v>54</v>
      </c>
    </row>
    <row r="3405" spans="1:8" x14ac:dyDescent="0.2">
      <c r="D3405" s="2">
        <v>6040</v>
      </c>
      <c r="F3405" s="2">
        <f t="shared" si="63"/>
        <v>6040</v>
      </c>
    </row>
    <row r="3406" spans="1:8" x14ac:dyDescent="0.2">
      <c r="D3406" s="2">
        <v>53.4</v>
      </c>
      <c r="F3406" s="2">
        <f t="shared" si="63"/>
        <v>53.4</v>
      </c>
    </row>
    <row r="3407" spans="1:8" x14ac:dyDescent="0.2">
      <c r="D3407" s="2">
        <v>342.3</v>
      </c>
      <c r="F3407" s="2">
        <f t="shared" si="63"/>
        <v>342.3</v>
      </c>
    </row>
    <row r="3408" spans="1:8" x14ac:dyDescent="0.2">
      <c r="D3408" s="2">
        <v>137.6</v>
      </c>
      <c r="F3408" s="2">
        <f t="shared" si="63"/>
        <v>137.6</v>
      </c>
    </row>
    <row r="3409" spans="4:6" x14ac:dyDescent="0.2">
      <c r="D3409" s="2">
        <v>2130</v>
      </c>
      <c r="F3409" s="2">
        <f t="shared" si="63"/>
        <v>2130</v>
      </c>
    </row>
    <row r="3410" spans="4:6" x14ac:dyDescent="0.2">
      <c r="D3410" s="2">
        <v>6230</v>
      </c>
      <c r="F3410" s="2">
        <f t="shared" si="63"/>
        <v>6230</v>
      </c>
    </row>
    <row r="3411" spans="4:6" x14ac:dyDescent="0.2">
      <c r="D3411" s="2">
        <v>1350</v>
      </c>
      <c r="F3411" s="2">
        <f t="shared" si="63"/>
        <v>1350</v>
      </c>
    </row>
    <row r="3412" spans="4:6" x14ac:dyDescent="0.2">
      <c r="D3412" s="2">
        <v>7560</v>
      </c>
      <c r="F3412" s="2">
        <f t="shared" si="63"/>
        <v>7560</v>
      </c>
    </row>
    <row r="3413" spans="4:6" x14ac:dyDescent="0.2">
      <c r="D3413" s="2">
        <v>366000</v>
      </c>
      <c r="F3413" s="2">
        <f t="shared" ref="F3413:F3424" si="64">D3413</f>
        <v>366000</v>
      </c>
    </row>
    <row r="3414" spans="4:6" x14ac:dyDescent="0.2">
      <c r="D3414" s="2">
        <v>281.3</v>
      </c>
      <c r="F3414" s="2">
        <f t="shared" si="64"/>
        <v>281.3</v>
      </c>
    </row>
    <row r="3415" spans="4:6" x14ac:dyDescent="0.2">
      <c r="D3415" s="2">
        <v>13400</v>
      </c>
      <c r="F3415" s="2">
        <f t="shared" si="64"/>
        <v>13400</v>
      </c>
    </row>
    <row r="3416" spans="4:6" x14ac:dyDescent="0.2">
      <c r="D3416" s="2">
        <v>50500</v>
      </c>
      <c r="F3416" s="2">
        <f t="shared" si="64"/>
        <v>50500</v>
      </c>
    </row>
    <row r="3417" spans="4:6" x14ac:dyDescent="0.2">
      <c r="D3417" s="2">
        <v>80.900000000000006</v>
      </c>
      <c r="F3417" s="2">
        <f t="shared" si="64"/>
        <v>80.900000000000006</v>
      </c>
    </row>
    <row r="3418" spans="4:6" x14ac:dyDescent="0.2">
      <c r="D3418" s="2">
        <v>1460</v>
      </c>
      <c r="F3418" s="2">
        <f t="shared" si="64"/>
        <v>1460</v>
      </c>
    </row>
    <row r="3419" spans="4:6" x14ac:dyDescent="0.2">
      <c r="D3419" s="2">
        <v>25.9</v>
      </c>
      <c r="F3419" s="2">
        <f t="shared" si="64"/>
        <v>25.9</v>
      </c>
    </row>
    <row r="3420" spans="4:6" x14ac:dyDescent="0.2">
      <c r="D3420" s="2">
        <v>3430</v>
      </c>
      <c r="F3420" s="2">
        <f t="shared" si="64"/>
        <v>3430</v>
      </c>
    </row>
    <row r="3421" spans="4:6" x14ac:dyDescent="0.2">
      <c r="D3421" s="2">
        <v>4.76</v>
      </c>
      <c r="F3421" s="2">
        <f t="shared" si="64"/>
        <v>4.76</v>
      </c>
    </row>
    <row r="3422" spans="4:6" x14ac:dyDescent="0.2">
      <c r="D3422" s="2">
        <v>1420</v>
      </c>
      <c r="F3422" s="2">
        <f t="shared" si="64"/>
        <v>1420</v>
      </c>
    </row>
    <row r="3423" spans="4:6" x14ac:dyDescent="0.2">
      <c r="D3423" s="2">
        <v>80.5</v>
      </c>
      <c r="F3423" s="2">
        <f t="shared" si="64"/>
        <v>80.5</v>
      </c>
    </row>
    <row r="3424" spans="4:6" x14ac:dyDescent="0.2">
      <c r="D3424" s="2">
        <v>1680</v>
      </c>
      <c r="F3424" s="2">
        <f t="shared" si="64"/>
        <v>1680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D26C-0BEC-7B43-8326-EED9164FAF7D}">
  <dimension ref="A1:E1108"/>
  <sheetViews>
    <sheetView tabSelected="1" workbookViewId="0">
      <selection activeCell="Z15" sqref="Z15"/>
    </sheetView>
  </sheetViews>
  <sheetFormatPr baseColWidth="10" defaultRowHeight="16" x14ac:dyDescent="0.2"/>
  <sheetData>
    <row r="1" spans="1:5" x14ac:dyDescent="0.2">
      <c r="A1" t="s">
        <v>270</v>
      </c>
      <c r="B1" t="s">
        <v>0</v>
      </c>
      <c r="C1" t="s">
        <v>45</v>
      </c>
      <c r="D1" t="s">
        <v>44</v>
      </c>
      <c r="E1" t="s">
        <v>591</v>
      </c>
    </row>
    <row r="2" spans="1:5" x14ac:dyDescent="0.2">
      <c r="A2">
        <v>256000000</v>
      </c>
      <c r="B2">
        <v>117489.75549395289</v>
      </c>
      <c r="C2">
        <v>281000</v>
      </c>
      <c r="D2">
        <v>8.1632653061224482E-4</v>
      </c>
      <c r="E2">
        <v>10000</v>
      </c>
    </row>
    <row r="3" spans="1:5" x14ac:dyDescent="0.2">
      <c r="A3">
        <v>220000000000</v>
      </c>
      <c r="B3">
        <v>64565.422903465565</v>
      </c>
      <c r="C3">
        <v>2220000</v>
      </c>
      <c r="D3">
        <v>8.1632653061224474</v>
      </c>
      <c r="E3">
        <v>15848.931924611146</v>
      </c>
    </row>
    <row r="4" spans="1:5" x14ac:dyDescent="0.2">
      <c r="A4">
        <v>12000000000</v>
      </c>
      <c r="B4">
        <v>109647.81961431868</v>
      </c>
      <c r="C4">
        <v>60600</v>
      </c>
      <c r="D4">
        <v>8.1632653061224482E-4</v>
      </c>
      <c r="E4">
        <v>63.095734448019364</v>
      </c>
    </row>
    <row r="5" spans="1:5" x14ac:dyDescent="0.2">
      <c r="A5">
        <v>13000000000</v>
      </c>
      <c r="B5">
        <v>288403.15031266143</v>
      </c>
      <c r="C5">
        <v>107000</v>
      </c>
      <c r="D5">
        <v>0.81632653061224481</v>
      </c>
      <c r="E5">
        <v>1700</v>
      </c>
    </row>
    <row r="6" spans="1:5" x14ac:dyDescent="0.2">
      <c r="A6">
        <v>1500000000</v>
      </c>
      <c r="B6">
        <v>190546.0717963246</v>
      </c>
      <c r="C6">
        <v>114000</v>
      </c>
      <c r="D6">
        <v>81.632653061224488</v>
      </c>
      <c r="E6">
        <v>1300</v>
      </c>
    </row>
    <row r="7" spans="1:5" x14ac:dyDescent="0.2">
      <c r="A7">
        <v>3235936569.2962875</v>
      </c>
      <c r="B7">
        <v>338844.15613920329</v>
      </c>
      <c r="C7">
        <v>2040000</v>
      </c>
      <c r="D7">
        <v>8163.2653061224482</v>
      </c>
      <c r="E7">
        <v>770</v>
      </c>
    </row>
    <row r="8" spans="1:5" x14ac:dyDescent="0.2">
      <c r="A8">
        <v>5495408738.5762615</v>
      </c>
      <c r="B8">
        <v>102329.29922807543</v>
      </c>
      <c r="C8">
        <v>1890000</v>
      </c>
      <c r="D8">
        <v>81.632653061224488</v>
      </c>
      <c r="E8">
        <v>430</v>
      </c>
    </row>
    <row r="9" spans="1:5" x14ac:dyDescent="0.2">
      <c r="A9">
        <v>251188643.15095839</v>
      </c>
      <c r="B9">
        <v>204173.79446695346</v>
      </c>
      <c r="C9">
        <v>180000000</v>
      </c>
      <c r="D9">
        <v>8163.2653061224482</v>
      </c>
      <c r="E9">
        <v>500</v>
      </c>
    </row>
    <row r="10" spans="1:5" x14ac:dyDescent="0.2">
      <c r="A10">
        <v>5248074.6024977341</v>
      </c>
      <c r="B10">
        <v>112201.84543019651</v>
      </c>
      <c r="C10">
        <v>45000</v>
      </c>
      <c r="D10">
        <v>81.632653061224488</v>
      </c>
      <c r="E10">
        <v>1100</v>
      </c>
    </row>
    <row r="11" spans="1:5" x14ac:dyDescent="0.2">
      <c r="A11">
        <v>190546071.79632455</v>
      </c>
      <c r="B11">
        <v>691830.97091893724</v>
      </c>
      <c r="C11">
        <v>24500</v>
      </c>
      <c r="D11">
        <v>8163.2653061224482</v>
      </c>
      <c r="E11">
        <v>500</v>
      </c>
    </row>
    <row r="12" spans="1:5" x14ac:dyDescent="0.2">
      <c r="A12">
        <v>1737800.8287493798</v>
      </c>
      <c r="B12">
        <v>794328.23472428333</v>
      </c>
      <c r="C12">
        <v>60400</v>
      </c>
      <c r="D12">
        <v>0.81632653061224481</v>
      </c>
      <c r="E12">
        <v>1800</v>
      </c>
    </row>
    <row r="13" spans="1:5" x14ac:dyDescent="0.2">
      <c r="A13">
        <v>39810717.055349804</v>
      </c>
      <c r="B13">
        <v>933254.30079698924</v>
      </c>
      <c r="C13">
        <v>168000</v>
      </c>
      <c r="D13">
        <v>8.1632653061224474</v>
      </c>
      <c r="E13">
        <v>1100</v>
      </c>
    </row>
    <row r="14" spans="1:5" x14ac:dyDescent="0.2">
      <c r="A14">
        <v>144543.97707459307</v>
      </c>
      <c r="B14">
        <v>1995262.314968887</v>
      </c>
      <c r="C14">
        <v>71900</v>
      </c>
      <c r="D14">
        <v>81.632653061224488</v>
      </c>
      <c r="E14">
        <v>2000</v>
      </c>
    </row>
    <row r="15" spans="1:5" x14ac:dyDescent="0.2">
      <c r="A15">
        <v>0</v>
      </c>
      <c r="B15">
        <v>977237.22095581202</v>
      </c>
      <c r="C15">
        <v>27000</v>
      </c>
      <c r="D15">
        <v>0.81632653061224481</v>
      </c>
      <c r="E15">
        <v>59.6</v>
      </c>
    </row>
    <row r="16" spans="1:5" x14ac:dyDescent="0.2">
      <c r="A16">
        <v>0</v>
      </c>
      <c r="B16">
        <v>239883.29190194866</v>
      </c>
      <c r="C16">
        <v>24500</v>
      </c>
      <c r="D16">
        <v>0.81632653061224481</v>
      </c>
      <c r="E16">
        <v>320</v>
      </c>
    </row>
    <row r="17" spans="1:5" x14ac:dyDescent="0.2">
      <c r="A17">
        <v>0</v>
      </c>
      <c r="B17">
        <v>99999.99999999984</v>
      </c>
      <c r="C17">
        <v>32100</v>
      </c>
      <c r="D17">
        <v>8.1632653061224474</v>
      </c>
      <c r="E17">
        <v>76.3</v>
      </c>
    </row>
    <row r="18" spans="1:5" x14ac:dyDescent="0.2">
      <c r="A18">
        <v>0</v>
      </c>
      <c r="B18">
        <v>1659586.9074375653</v>
      </c>
      <c r="C18">
        <v>47000</v>
      </c>
      <c r="D18">
        <v>0.81632653061224481</v>
      </c>
      <c r="E18">
        <v>300</v>
      </c>
    </row>
    <row r="19" spans="1:5" x14ac:dyDescent="0.2">
      <c r="A19">
        <v>0</v>
      </c>
      <c r="B19">
        <v>4265795.1880159369</v>
      </c>
      <c r="C19">
        <v>2810000</v>
      </c>
      <c r="D19">
        <v>0.81632653061224481</v>
      </c>
      <c r="E19">
        <v>25.9</v>
      </c>
    </row>
    <row r="20" spans="1:5" x14ac:dyDescent="0.2">
      <c r="A20">
        <v>0</v>
      </c>
      <c r="B20">
        <v>2818382.9312644652</v>
      </c>
      <c r="C20">
        <v>6940000</v>
      </c>
      <c r="D20">
        <v>8.1632653061224483E-2</v>
      </c>
      <c r="E20">
        <v>1450</v>
      </c>
    </row>
    <row r="21" spans="1:5" x14ac:dyDescent="0.2">
      <c r="A21">
        <v>0</v>
      </c>
      <c r="B21">
        <v>1949844.5997580425</v>
      </c>
      <c r="C21">
        <v>4560000</v>
      </c>
      <c r="D21">
        <v>0.81632653061224481</v>
      </c>
      <c r="E21">
        <v>1450</v>
      </c>
    </row>
    <row r="22" spans="1:5" x14ac:dyDescent="0.2">
      <c r="A22">
        <v>0</v>
      </c>
      <c r="B22">
        <v>831763.77110267128</v>
      </c>
      <c r="C22">
        <v>5460000</v>
      </c>
      <c r="D22">
        <v>81.632653061224488</v>
      </c>
      <c r="E22">
        <v>905</v>
      </c>
    </row>
    <row r="23" spans="1:5" x14ac:dyDescent="0.2">
      <c r="A23">
        <v>0</v>
      </c>
      <c r="B23">
        <v>16218100.973589335</v>
      </c>
      <c r="C23">
        <v>1400000</v>
      </c>
      <c r="D23">
        <v>8.1632653061224474</v>
      </c>
      <c r="E23">
        <v>429</v>
      </c>
    </row>
    <row r="24" spans="1:5" x14ac:dyDescent="0.2">
      <c r="A24">
        <v>0</v>
      </c>
      <c r="B24">
        <v>21379620.895022344</v>
      </c>
      <c r="C24">
        <v>699000</v>
      </c>
      <c r="D24">
        <v>0.81632653061224481</v>
      </c>
      <c r="E24">
        <v>478</v>
      </c>
    </row>
    <row r="25" spans="1:5" x14ac:dyDescent="0.2">
      <c r="A25">
        <v>125892541.17941682</v>
      </c>
      <c r="B25">
        <v>10232929.922807584</v>
      </c>
      <c r="C25">
        <v>381000</v>
      </c>
      <c r="D25">
        <v>8.1632653061224474</v>
      </c>
      <c r="E25">
        <v>324</v>
      </c>
    </row>
    <row r="26" spans="1:5" x14ac:dyDescent="0.2">
      <c r="A26">
        <v>61659500.186148226</v>
      </c>
      <c r="B26">
        <v>6606934.4800759638</v>
      </c>
      <c r="C26">
        <v>30800</v>
      </c>
      <c r="D26">
        <v>0.81632653061224481</v>
      </c>
      <c r="E26">
        <v>1070</v>
      </c>
    </row>
    <row r="27" spans="1:5" x14ac:dyDescent="0.2">
      <c r="A27">
        <v>2344228.8153199251</v>
      </c>
      <c r="B27">
        <v>12882495.516931379</v>
      </c>
      <c r="C27">
        <v>329000</v>
      </c>
      <c r="D27">
        <v>8.1632653061224474</v>
      </c>
      <c r="E27">
        <v>850</v>
      </c>
    </row>
    <row r="28" spans="1:5" x14ac:dyDescent="0.2">
      <c r="A28">
        <v>114815362.14968841</v>
      </c>
      <c r="B28">
        <v>6309573.444801949</v>
      </c>
      <c r="C28">
        <v>2040000</v>
      </c>
      <c r="D28">
        <v>0.81632653061224481</v>
      </c>
      <c r="E28">
        <v>704</v>
      </c>
    </row>
    <row r="29" spans="1:5" x14ac:dyDescent="0.2">
      <c r="A29">
        <v>331131.12148259126</v>
      </c>
      <c r="B29">
        <v>9772372.2095581144</v>
      </c>
      <c r="C29">
        <v>232000</v>
      </c>
      <c r="D29">
        <v>8.1632653061224483E-2</v>
      </c>
      <c r="E29">
        <v>1730</v>
      </c>
    </row>
    <row r="30" spans="1:5" x14ac:dyDescent="0.2">
      <c r="A30">
        <v>95499.258602143804</v>
      </c>
      <c r="B30">
        <v>3981071.705534976</v>
      </c>
      <c r="C30">
        <v>2510000</v>
      </c>
      <c r="D30">
        <v>0.81632653061224481</v>
      </c>
      <c r="E30">
        <v>1080</v>
      </c>
    </row>
    <row r="31" spans="1:5" x14ac:dyDescent="0.2">
      <c r="A31">
        <v>208929.61308540447</v>
      </c>
      <c r="B31">
        <v>8128305.1616410045</v>
      </c>
      <c r="C31">
        <v>6370000</v>
      </c>
      <c r="D31">
        <v>0.81632653061224481</v>
      </c>
      <c r="E31">
        <v>793</v>
      </c>
    </row>
    <row r="32" spans="1:5" x14ac:dyDescent="0.2">
      <c r="A32">
        <v>12882.49551693136</v>
      </c>
      <c r="B32">
        <v>8128305.1616410045</v>
      </c>
      <c r="C32">
        <v>34200</v>
      </c>
      <c r="D32">
        <v>8.1632653061224483E-2</v>
      </c>
      <c r="E32">
        <v>606</v>
      </c>
    </row>
    <row r="33" spans="1:5" x14ac:dyDescent="0.2">
      <c r="A33">
        <v>95499258.602143779</v>
      </c>
      <c r="B33">
        <v>50118723.362727284</v>
      </c>
      <c r="C33">
        <v>387000</v>
      </c>
      <c r="D33">
        <v>0.16326530612244897</v>
      </c>
      <c r="E33">
        <v>636</v>
      </c>
    </row>
    <row r="34" spans="1:5" x14ac:dyDescent="0.2">
      <c r="A34">
        <v>169824365.24617496</v>
      </c>
      <c r="B34">
        <v>3630780.5477010245</v>
      </c>
      <c r="C34">
        <v>28700</v>
      </c>
      <c r="D34">
        <v>8.1632653061224483E-2</v>
      </c>
      <c r="E34">
        <v>712</v>
      </c>
    </row>
    <row r="35" spans="1:5" x14ac:dyDescent="0.2">
      <c r="A35">
        <v>6309573.4448019378</v>
      </c>
      <c r="B35">
        <v>1412537.5446227542</v>
      </c>
      <c r="C35">
        <v>136000</v>
      </c>
      <c r="D35">
        <v>0.32653061224489793</v>
      </c>
      <c r="E35">
        <v>52.7</v>
      </c>
    </row>
    <row r="36" spans="1:5" x14ac:dyDescent="0.2">
      <c r="A36">
        <v>6165950.0186148267</v>
      </c>
      <c r="B36">
        <v>2754228.7033381681</v>
      </c>
      <c r="C36">
        <v>3870</v>
      </c>
      <c r="D36">
        <v>1.2244897959183673E-2</v>
      </c>
      <c r="E36">
        <v>99.4</v>
      </c>
    </row>
    <row r="37" spans="1:5" x14ac:dyDescent="0.2">
      <c r="A37">
        <v>5248074.6024977341</v>
      </c>
      <c r="B37">
        <v>1148153.6214968855</v>
      </c>
      <c r="C37">
        <v>54700</v>
      </c>
      <c r="D37">
        <v>4.3265306122448974</v>
      </c>
      <c r="E37">
        <v>88</v>
      </c>
    </row>
    <row r="38" spans="1:5" x14ac:dyDescent="0.2">
      <c r="A38">
        <v>26915.348039269167</v>
      </c>
      <c r="B38">
        <v>6165950.0186148491</v>
      </c>
      <c r="C38">
        <v>48000</v>
      </c>
      <c r="D38">
        <v>0.11428571428571428</v>
      </c>
      <c r="E38">
        <v>17900</v>
      </c>
    </row>
    <row r="39" spans="1:5" x14ac:dyDescent="0.2">
      <c r="A39">
        <v>1995262.31496888</v>
      </c>
      <c r="B39">
        <v>4168693.8347033495</v>
      </c>
      <c r="C39">
        <v>29000</v>
      </c>
      <c r="D39">
        <v>0.58775510204081627</v>
      </c>
      <c r="E39">
        <v>15000</v>
      </c>
    </row>
    <row r="40" spans="1:5" x14ac:dyDescent="0.2">
      <c r="A40">
        <v>0</v>
      </c>
      <c r="B40">
        <v>1862087.1366628683</v>
      </c>
      <c r="C40">
        <v>30700</v>
      </c>
      <c r="D40">
        <v>1.3061224489795917E-2</v>
      </c>
      <c r="E40">
        <v>14600</v>
      </c>
    </row>
    <row r="41" spans="1:5" x14ac:dyDescent="0.2">
      <c r="A41">
        <v>5790000000000</v>
      </c>
      <c r="B41">
        <v>5128613.8399136476</v>
      </c>
      <c r="C41">
        <v>10300</v>
      </c>
      <c r="D41">
        <v>0.1306122448979592</v>
      </c>
      <c r="E41">
        <v>72.599999999999994</v>
      </c>
    </row>
    <row r="42" spans="1:5" x14ac:dyDescent="0.2">
      <c r="A42">
        <v>7250000000000</v>
      </c>
      <c r="B42">
        <v>3801893.963205616</v>
      </c>
      <c r="C42">
        <v>1910</v>
      </c>
      <c r="D42">
        <v>1.3877551020408163E-5</v>
      </c>
      <c r="E42">
        <v>101</v>
      </c>
    </row>
    <row r="43" spans="1:5" x14ac:dyDescent="0.2">
      <c r="A43">
        <v>8280000000000</v>
      </c>
      <c r="B43">
        <v>5128613.8399136569</v>
      </c>
      <c r="C43">
        <v>207000</v>
      </c>
      <c r="D43">
        <v>1.6326530612244896E-3</v>
      </c>
      <c r="E43">
        <v>89.8</v>
      </c>
    </row>
    <row r="44" spans="1:5" x14ac:dyDescent="0.2">
      <c r="A44">
        <v>11900000000000</v>
      </c>
      <c r="B44">
        <v>75857757.502918601</v>
      </c>
      <c r="C44">
        <v>363000</v>
      </c>
      <c r="D44">
        <v>0.81632653061224481</v>
      </c>
      <c r="E44">
        <v>21.1</v>
      </c>
    </row>
    <row r="45" spans="1:5" x14ac:dyDescent="0.2">
      <c r="A45">
        <v>3280000000000</v>
      </c>
      <c r="B45">
        <v>40738027.780411348</v>
      </c>
      <c r="C45">
        <v>108000</v>
      </c>
      <c r="D45">
        <v>1.3061224489795919E-6</v>
      </c>
      <c r="E45">
        <v>49.2</v>
      </c>
    </row>
    <row r="46" spans="1:5" x14ac:dyDescent="0.2">
      <c r="A46">
        <v>3400000000000</v>
      </c>
      <c r="B46">
        <v>75857757.502918333</v>
      </c>
      <c r="C46">
        <v>26600</v>
      </c>
      <c r="D46">
        <v>816.32653061224482</v>
      </c>
      <c r="E46">
        <v>199</v>
      </c>
    </row>
    <row r="47" spans="1:5" x14ac:dyDescent="0.2">
      <c r="A47">
        <v>4090000000000</v>
      </c>
      <c r="B47">
        <v>30199517.204020258</v>
      </c>
      <c r="C47">
        <v>13900</v>
      </c>
      <c r="D47">
        <v>8163.2653061224482</v>
      </c>
      <c r="E47">
        <v>42.3</v>
      </c>
    </row>
    <row r="48" spans="1:5" x14ac:dyDescent="0.2">
      <c r="A48">
        <v>3600000000000</v>
      </c>
      <c r="B48">
        <v>18197008.586099867</v>
      </c>
      <c r="C48">
        <v>15800000000</v>
      </c>
      <c r="D48">
        <v>8.1632653061224483E-2</v>
      </c>
      <c r="E48">
        <v>35</v>
      </c>
    </row>
    <row r="49" spans="1:5" x14ac:dyDescent="0.2">
      <c r="A49">
        <v>481000000000</v>
      </c>
      <c r="B49">
        <v>4897788.1936844625</v>
      </c>
      <c r="C49">
        <v>101000000</v>
      </c>
      <c r="D49">
        <v>0.32653061224489793</v>
      </c>
      <c r="E49">
        <v>78.900000000000006</v>
      </c>
    </row>
    <row r="50" spans="1:5" x14ac:dyDescent="0.2">
      <c r="A50">
        <v>979000000000</v>
      </c>
      <c r="B50">
        <v>10471285.480509</v>
      </c>
      <c r="C50">
        <v>54500000</v>
      </c>
      <c r="D50">
        <v>8.1632653061224483E-2</v>
      </c>
      <c r="E50">
        <v>86.5</v>
      </c>
    </row>
    <row r="51" spans="1:5" x14ac:dyDescent="0.2">
      <c r="A51">
        <v>721000000000</v>
      </c>
      <c r="B51">
        <v>29512092.266663849</v>
      </c>
      <c r="C51">
        <v>247000000</v>
      </c>
      <c r="D51">
        <v>0.16326530612244897</v>
      </c>
      <c r="E51">
        <v>74.2</v>
      </c>
    </row>
    <row r="52" spans="1:5" x14ac:dyDescent="0.2">
      <c r="A52">
        <v>697000000000</v>
      </c>
      <c r="B52">
        <v>67608297.539198399</v>
      </c>
      <c r="C52">
        <v>32900000</v>
      </c>
      <c r="D52">
        <v>0.97959183673469385</v>
      </c>
      <c r="E52">
        <v>55.8</v>
      </c>
    </row>
    <row r="53" spans="1:5" x14ac:dyDescent="0.2">
      <c r="A53">
        <v>16000000000000</v>
      </c>
      <c r="B53">
        <v>38904514.499428138</v>
      </c>
      <c r="C53">
        <v>25500000</v>
      </c>
      <c r="D53">
        <v>8.1632653061224482E-4</v>
      </c>
      <c r="E53">
        <v>112</v>
      </c>
    </row>
    <row r="54" spans="1:5" x14ac:dyDescent="0.2">
      <c r="A54">
        <v>15700000000000</v>
      </c>
      <c r="B54">
        <v>89125093.81337443</v>
      </c>
      <c r="C54">
        <v>84800000</v>
      </c>
      <c r="D54">
        <v>0.81632653061224481</v>
      </c>
      <c r="E54">
        <v>85.6</v>
      </c>
    </row>
    <row r="55" spans="1:5" x14ac:dyDescent="0.2">
      <c r="A55">
        <v>16800000000000</v>
      </c>
      <c r="B55">
        <v>39810717.055349804</v>
      </c>
      <c r="C55">
        <v>16800000</v>
      </c>
      <c r="D55">
        <v>1.1428571428571426</v>
      </c>
      <c r="E55">
        <v>124</v>
      </c>
    </row>
    <row r="56" spans="1:5" x14ac:dyDescent="0.2">
      <c r="A56">
        <v>16200000000000</v>
      </c>
      <c r="B56">
        <v>10715193.052376106</v>
      </c>
      <c r="C56">
        <v>163000000</v>
      </c>
      <c r="D56">
        <v>1142.8571428571427</v>
      </c>
      <c r="E56">
        <v>181</v>
      </c>
    </row>
    <row r="57" spans="1:5" x14ac:dyDescent="0.2">
      <c r="A57">
        <v>5360000000000</v>
      </c>
      <c r="B57">
        <v>1995262.314968887</v>
      </c>
      <c r="C57">
        <v>389000000</v>
      </c>
      <c r="D57">
        <v>0.41632653061224489</v>
      </c>
      <c r="E57">
        <v>22.5</v>
      </c>
    </row>
    <row r="58" spans="1:5" x14ac:dyDescent="0.2">
      <c r="A58">
        <v>6610000000000</v>
      </c>
      <c r="B58">
        <v>251188643.15095839</v>
      </c>
      <c r="C58">
        <v>15100000</v>
      </c>
      <c r="D58">
        <v>77.551020408163254</v>
      </c>
      <c r="E58">
        <v>139</v>
      </c>
    </row>
    <row r="59" spans="1:5" x14ac:dyDescent="0.2">
      <c r="A59">
        <v>8980000000000</v>
      </c>
      <c r="B59">
        <v>57543993.73371572</v>
      </c>
      <c r="C59">
        <v>139000000</v>
      </c>
      <c r="D59">
        <v>7.4285714285714288</v>
      </c>
      <c r="E59">
        <v>182000</v>
      </c>
    </row>
    <row r="60" spans="1:5" x14ac:dyDescent="0.2">
      <c r="A60">
        <v>8260000000000</v>
      </c>
      <c r="B60">
        <v>204173794.4669534</v>
      </c>
      <c r="C60">
        <v>11400000000</v>
      </c>
      <c r="D60">
        <v>0.31673469387755104</v>
      </c>
      <c r="E60">
        <v>215000</v>
      </c>
    </row>
    <row r="61" spans="1:5" x14ac:dyDescent="0.2">
      <c r="A61">
        <v>4380000000000</v>
      </c>
      <c r="B61">
        <v>5754399.373371576</v>
      </c>
      <c r="C61">
        <v>280000</v>
      </c>
      <c r="D61">
        <v>1628.7855632399021</v>
      </c>
      <c r="E61">
        <v>158000</v>
      </c>
    </row>
    <row r="62" spans="1:5" x14ac:dyDescent="0.2">
      <c r="A62">
        <v>3680000000000</v>
      </c>
      <c r="B62">
        <v>851138.0382023782</v>
      </c>
      <c r="C62">
        <v>28900000</v>
      </c>
      <c r="D62">
        <v>413.87755102040813</v>
      </c>
      <c r="E62">
        <v>563</v>
      </c>
    </row>
    <row r="63" spans="1:5" x14ac:dyDescent="0.2">
      <c r="A63">
        <v>6030000000000</v>
      </c>
      <c r="B63">
        <v>25703957.827688646</v>
      </c>
      <c r="C63">
        <v>576000</v>
      </c>
      <c r="D63">
        <v>128.9795918367347</v>
      </c>
      <c r="E63">
        <v>790</v>
      </c>
    </row>
    <row r="64" spans="1:5" x14ac:dyDescent="0.2">
      <c r="A64">
        <v>7090000000000</v>
      </c>
      <c r="B64">
        <v>10000000</v>
      </c>
      <c r="C64">
        <v>13600000</v>
      </c>
      <c r="D64">
        <v>12.897959183673469</v>
      </c>
      <c r="E64">
        <v>367</v>
      </c>
    </row>
    <row r="65" spans="1:5" x14ac:dyDescent="0.2">
      <c r="A65">
        <v>0</v>
      </c>
      <c r="B65">
        <v>10232929.922807546</v>
      </c>
      <c r="C65">
        <v>827000</v>
      </c>
      <c r="D65">
        <v>419.59183673469386</v>
      </c>
      <c r="E65">
        <v>245</v>
      </c>
    </row>
    <row r="66" spans="1:5" x14ac:dyDescent="0.2">
      <c r="A66">
        <v>6180000000000</v>
      </c>
      <c r="B66">
        <v>870963.58995608077</v>
      </c>
      <c r="C66">
        <v>165000000</v>
      </c>
      <c r="D66">
        <v>445.71428571428567</v>
      </c>
      <c r="E66">
        <v>248</v>
      </c>
    </row>
    <row r="67" spans="1:5" x14ac:dyDescent="0.2">
      <c r="A67">
        <v>4600000000000</v>
      </c>
      <c r="B67">
        <v>3801893.963205616</v>
      </c>
      <c r="C67">
        <v>3710000</v>
      </c>
      <c r="D67">
        <v>395.10204081632651</v>
      </c>
      <c r="E67">
        <v>200</v>
      </c>
    </row>
    <row r="68" spans="1:5" x14ac:dyDescent="0.2">
      <c r="A68">
        <v>3910000000000</v>
      </c>
      <c r="B68">
        <v>1202264.4346174158</v>
      </c>
      <c r="C68">
        <v>36400000</v>
      </c>
      <c r="D68">
        <v>426.93877551020404</v>
      </c>
      <c r="E68">
        <v>5110</v>
      </c>
    </row>
    <row r="69" spans="1:5" x14ac:dyDescent="0.2">
      <c r="A69">
        <v>1360000000000</v>
      </c>
      <c r="B69">
        <v>870963.58995608077</v>
      </c>
      <c r="C69">
        <v>6130000</v>
      </c>
      <c r="D69">
        <v>391.02040816326524</v>
      </c>
      <c r="E69">
        <v>5640</v>
      </c>
    </row>
    <row r="70" spans="1:5" x14ac:dyDescent="0.2">
      <c r="A70">
        <v>1140000000000</v>
      </c>
      <c r="B70">
        <v>446683.59215096442</v>
      </c>
      <c r="C70">
        <v>662000</v>
      </c>
      <c r="D70">
        <v>431.83673469387753</v>
      </c>
      <c r="E70">
        <v>4650</v>
      </c>
    </row>
    <row r="71" spans="1:5" x14ac:dyDescent="0.2">
      <c r="A71">
        <v>1410000000000</v>
      </c>
      <c r="B71">
        <v>1995262.314968887</v>
      </c>
      <c r="C71">
        <v>11100000</v>
      </c>
      <c r="D71">
        <v>554.28571428571422</v>
      </c>
      <c r="E71">
        <v>6420</v>
      </c>
    </row>
    <row r="72" spans="1:5" x14ac:dyDescent="0.2">
      <c r="A72">
        <v>1270000000000</v>
      </c>
      <c r="B72">
        <v>1023292.9922807553</v>
      </c>
      <c r="C72">
        <v>85500000</v>
      </c>
      <c r="D72">
        <v>453.87755102040813</v>
      </c>
      <c r="E72">
        <v>4850</v>
      </c>
    </row>
    <row r="73" spans="1:5" x14ac:dyDescent="0.2">
      <c r="A73">
        <v>1690000000000</v>
      </c>
      <c r="B73">
        <v>2137962.0895022359</v>
      </c>
      <c r="C73">
        <v>9660000</v>
      </c>
      <c r="D73">
        <v>1134.6938775510203</v>
      </c>
      <c r="E73">
        <v>4570</v>
      </c>
    </row>
    <row r="74" spans="1:5" x14ac:dyDescent="0.2">
      <c r="A74">
        <v>2340000000000</v>
      </c>
      <c r="B74">
        <v>1698243.6524617458</v>
      </c>
      <c r="C74">
        <v>3310000</v>
      </c>
      <c r="D74">
        <v>544.48979591836735</v>
      </c>
      <c r="E74">
        <v>4000</v>
      </c>
    </row>
    <row r="75" spans="1:5" x14ac:dyDescent="0.2">
      <c r="A75">
        <v>1340000000000</v>
      </c>
      <c r="B75">
        <v>1023292.9922807572</v>
      </c>
      <c r="C75">
        <v>9710000</v>
      </c>
      <c r="D75">
        <v>1591.8367346938774</v>
      </c>
      <c r="E75">
        <v>4000</v>
      </c>
    </row>
    <row r="76" spans="1:5" x14ac:dyDescent="0.2">
      <c r="A76">
        <v>1560000000000</v>
      </c>
      <c r="B76">
        <v>2238721.1385683389</v>
      </c>
      <c r="C76">
        <v>13600</v>
      </c>
      <c r="D76">
        <v>1779.5918367346937</v>
      </c>
      <c r="E76">
        <v>4250</v>
      </c>
    </row>
    <row r="77" spans="1:5" x14ac:dyDescent="0.2">
      <c r="A77">
        <v>5750000000000</v>
      </c>
      <c r="B77">
        <v>9120108.3935591076</v>
      </c>
      <c r="C77">
        <v>9490000</v>
      </c>
      <c r="D77">
        <v>648.9795918367347</v>
      </c>
      <c r="E77">
        <v>188</v>
      </c>
    </row>
    <row r="78" spans="1:5" x14ac:dyDescent="0.2">
      <c r="A78">
        <v>7230000000000</v>
      </c>
      <c r="B78">
        <v>17378008.287493788</v>
      </c>
      <c r="C78">
        <v>3440000</v>
      </c>
      <c r="D78">
        <v>684.89795918367338</v>
      </c>
      <c r="E78">
        <v>197</v>
      </c>
    </row>
    <row r="79" spans="1:5" x14ac:dyDescent="0.2">
      <c r="A79">
        <v>8490000000000</v>
      </c>
      <c r="B79">
        <v>28183829.312644534</v>
      </c>
      <c r="C79">
        <v>4550000</v>
      </c>
      <c r="D79">
        <v>580.40816326530603</v>
      </c>
      <c r="E79">
        <v>165</v>
      </c>
    </row>
    <row r="80" spans="1:5" x14ac:dyDescent="0.2">
      <c r="A80">
        <v>7940000000000</v>
      </c>
      <c r="B80">
        <v>15488166.189124851</v>
      </c>
      <c r="C80">
        <v>1370000</v>
      </c>
      <c r="D80">
        <v>465.30612244897958</v>
      </c>
      <c r="E80">
        <v>132000</v>
      </c>
    </row>
    <row r="81" spans="1:5" x14ac:dyDescent="0.2">
      <c r="A81">
        <v>5340000000000</v>
      </c>
      <c r="B81">
        <v>19952623.149688821</v>
      </c>
      <c r="C81">
        <v>31600000</v>
      </c>
      <c r="D81">
        <v>444.08163265306121</v>
      </c>
      <c r="E81">
        <v>114000</v>
      </c>
    </row>
    <row r="82" spans="1:5" x14ac:dyDescent="0.2">
      <c r="A82">
        <v>5680000000000</v>
      </c>
      <c r="B82">
        <v>11748975.549395295</v>
      </c>
      <c r="C82">
        <v>20700</v>
      </c>
      <c r="D82">
        <v>431.02040816326524</v>
      </c>
      <c r="E82">
        <v>111000</v>
      </c>
    </row>
    <row r="83" spans="1:5" x14ac:dyDescent="0.2">
      <c r="A83">
        <v>5670000000000</v>
      </c>
      <c r="B83">
        <v>3019951.7204020116</v>
      </c>
      <c r="C83">
        <v>201000</v>
      </c>
      <c r="D83">
        <v>1004.0816326530612</v>
      </c>
      <c r="E83">
        <v>20.2</v>
      </c>
    </row>
    <row r="84" spans="1:5" x14ac:dyDescent="0.2">
      <c r="A84">
        <v>3690000000000</v>
      </c>
      <c r="B84">
        <v>11748975.549395336</v>
      </c>
      <c r="C84">
        <v>37200</v>
      </c>
      <c r="D84">
        <v>458.77551020408157</v>
      </c>
      <c r="E84">
        <v>31.4</v>
      </c>
    </row>
    <row r="85" spans="1:5" x14ac:dyDescent="0.2">
      <c r="A85">
        <v>3610000000000</v>
      </c>
      <c r="B85">
        <v>181970085.86099887</v>
      </c>
      <c r="C85">
        <v>300000000</v>
      </c>
      <c r="D85">
        <v>395.91836734693874</v>
      </c>
      <c r="E85">
        <v>16.600000000000001</v>
      </c>
    </row>
    <row r="86" spans="1:5" x14ac:dyDescent="0.2">
      <c r="A86">
        <v>3460000000000</v>
      </c>
      <c r="B86">
        <v>45708818.961487569</v>
      </c>
      <c r="C86">
        <v>150000000</v>
      </c>
      <c r="D86">
        <v>1330.612244897959</v>
      </c>
      <c r="E86">
        <v>141</v>
      </c>
    </row>
    <row r="87" spans="1:5" x14ac:dyDescent="0.2">
      <c r="A87">
        <v>3730000000000</v>
      </c>
      <c r="B87">
        <v>12882495.516931335</v>
      </c>
      <c r="C87">
        <v>799000000</v>
      </c>
      <c r="D87">
        <v>445.71428571428567</v>
      </c>
      <c r="E87">
        <v>96.4</v>
      </c>
    </row>
    <row r="88" spans="1:5" x14ac:dyDescent="0.2">
      <c r="A88">
        <v>3750000000000</v>
      </c>
      <c r="B88">
        <v>34673685.045253128</v>
      </c>
      <c r="C88">
        <v>36700000</v>
      </c>
      <c r="D88">
        <v>427.75510204081627</v>
      </c>
      <c r="E88">
        <v>114</v>
      </c>
    </row>
    <row r="89" spans="1:5" x14ac:dyDescent="0.2">
      <c r="A89">
        <v>4350000000000</v>
      </c>
      <c r="B89">
        <v>6309.5734448019384</v>
      </c>
      <c r="C89">
        <v>545000000</v>
      </c>
      <c r="D89">
        <v>0.24081632653061222</v>
      </c>
      <c r="E89">
        <v>165</v>
      </c>
    </row>
    <row r="90" spans="1:5" x14ac:dyDescent="0.2">
      <c r="A90">
        <v>32500000000000</v>
      </c>
      <c r="B90">
        <v>13803.842646028841</v>
      </c>
      <c r="C90">
        <v>95400000</v>
      </c>
      <c r="D90">
        <v>16.244897959183671</v>
      </c>
      <c r="E90">
        <v>219</v>
      </c>
    </row>
    <row r="91" spans="1:5" x14ac:dyDescent="0.2">
      <c r="A91">
        <v>14400000000000</v>
      </c>
      <c r="B91">
        <v>8912.5093813374679</v>
      </c>
      <c r="C91">
        <v>44200000</v>
      </c>
      <c r="D91">
        <v>29.061224489795919</v>
      </c>
      <c r="E91">
        <v>188</v>
      </c>
    </row>
    <row r="92" spans="1:5" x14ac:dyDescent="0.2">
      <c r="A92">
        <v>24700000000000</v>
      </c>
      <c r="B92">
        <v>4570.8818961487532</v>
      </c>
      <c r="C92">
        <v>290000000</v>
      </c>
      <c r="D92">
        <v>1.240816326530612</v>
      </c>
      <c r="E92">
        <v>585</v>
      </c>
    </row>
    <row r="93" spans="1:5" x14ac:dyDescent="0.2">
      <c r="A93">
        <v>13400000000000</v>
      </c>
      <c r="B93">
        <v>1288.2495516931335</v>
      </c>
      <c r="C93">
        <v>713000000</v>
      </c>
      <c r="D93">
        <v>1787.7551020408162</v>
      </c>
      <c r="E93">
        <v>606</v>
      </c>
    </row>
    <row r="94" spans="1:5" x14ac:dyDescent="0.2">
      <c r="A94">
        <v>14200000000000</v>
      </c>
      <c r="B94">
        <v>15848.931924611146</v>
      </c>
      <c r="C94">
        <v>15800000</v>
      </c>
      <c r="D94">
        <v>0.26204081632653059</v>
      </c>
      <c r="E94">
        <v>794</v>
      </c>
    </row>
    <row r="95" spans="1:5" x14ac:dyDescent="0.2">
      <c r="A95">
        <v>13000000000000</v>
      </c>
      <c r="B95">
        <v>14125.375446227536</v>
      </c>
      <c r="C95">
        <v>232000000</v>
      </c>
      <c r="D95">
        <v>1.2326530612244897</v>
      </c>
      <c r="E95">
        <v>745</v>
      </c>
    </row>
    <row r="96" spans="1:5" x14ac:dyDescent="0.2">
      <c r="A96">
        <v>11400000000000</v>
      </c>
      <c r="B96">
        <v>42657.951880159351</v>
      </c>
      <c r="C96">
        <v>21000000000</v>
      </c>
      <c r="D96">
        <v>3.4040816326530607</v>
      </c>
      <c r="E96">
        <v>416</v>
      </c>
    </row>
    <row r="97" spans="1:5" x14ac:dyDescent="0.2">
      <c r="A97">
        <v>1190000000000</v>
      </c>
      <c r="B97">
        <v>75857.757502918481</v>
      </c>
      <c r="C97">
        <v>27300</v>
      </c>
      <c r="D97">
        <v>0.97959183673469385</v>
      </c>
      <c r="E97">
        <v>636</v>
      </c>
    </row>
    <row r="98" spans="1:5" x14ac:dyDescent="0.2">
      <c r="A98">
        <v>1460000000000</v>
      </c>
      <c r="B98">
        <v>309029.54325135931</v>
      </c>
      <c r="C98">
        <v>242000000</v>
      </c>
      <c r="D98">
        <v>2.2285714285714286</v>
      </c>
      <c r="E98">
        <v>1050</v>
      </c>
    </row>
    <row r="99" spans="1:5" x14ac:dyDescent="0.2">
      <c r="A99">
        <v>1250000000000</v>
      </c>
      <c r="B99">
        <v>63095.734448019342</v>
      </c>
      <c r="C99">
        <v>78700</v>
      </c>
      <c r="D99">
        <v>0.61795918367346936</v>
      </c>
      <c r="E99">
        <v>563</v>
      </c>
    </row>
    <row r="100" spans="1:5" x14ac:dyDescent="0.2">
      <c r="A100">
        <v>1830000000000</v>
      </c>
      <c r="B100">
        <v>213796.20895022296</v>
      </c>
      <c r="C100">
        <v>15000000</v>
      </c>
      <c r="D100">
        <v>9.1428571428571415E-2</v>
      </c>
      <c r="E100">
        <v>1180</v>
      </c>
    </row>
    <row r="101" spans="1:5" x14ac:dyDescent="0.2">
      <c r="A101">
        <v>14900000000000</v>
      </c>
      <c r="B101">
        <v>91201.083935591188</v>
      </c>
      <c r="C101">
        <v>122000</v>
      </c>
      <c r="D101">
        <v>0.15428571428571428</v>
      </c>
      <c r="E101">
        <v>696000</v>
      </c>
    </row>
    <row r="102" spans="1:5" x14ac:dyDescent="0.2">
      <c r="A102">
        <v>13600000000000</v>
      </c>
      <c r="B102">
        <v>87096.358995608127</v>
      </c>
      <c r="C102">
        <v>211000000</v>
      </c>
      <c r="D102">
        <v>5.1102040816326529E-2</v>
      </c>
      <c r="E102">
        <v>757000</v>
      </c>
    </row>
    <row r="103" spans="1:5" x14ac:dyDescent="0.2">
      <c r="A103">
        <v>11100000000000</v>
      </c>
      <c r="B103">
        <v>36307.805477010166</v>
      </c>
      <c r="C103">
        <v>161000000</v>
      </c>
      <c r="D103">
        <v>8.7346938775510197E-2</v>
      </c>
      <c r="E103">
        <v>519000</v>
      </c>
    </row>
    <row r="104" spans="1:5" x14ac:dyDescent="0.2">
      <c r="A104">
        <v>13400000000000</v>
      </c>
      <c r="B104">
        <v>169824.36524617471</v>
      </c>
      <c r="C104">
        <v>53100000</v>
      </c>
      <c r="D104">
        <v>5.2408163265306125E-2</v>
      </c>
      <c r="E104">
        <v>20.9</v>
      </c>
    </row>
    <row r="105" spans="1:5" x14ac:dyDescent="0.2">
      <c r="A105">
        <v>15900000000000</v>
      </c>
      <c r="B105">
        <v>186208.71366628728</v>
      </c>
      <c r="C105">
        <v>1270000</v>
      </c>
      <c r="D105">
        <v>0.51183673469387758</v>
      </c>
      <c r="E105">
        <v>24.1</v>
      </c>
    </row>
    <row r="106" spans="1:5" x14ac:dyDescent="0.2">
      <c r="A106">
        <v>20900000000000</v>
      </c>
      <c r="B106">
        <v>87096.358995608447</v>
      </c>
      <c r="C106">
        <v>69000</v>
      </c>
      <c r="D106">
        <v>2.1795918367346934</v>
      </c>
      <c r="E106">
        <v>4.9400000000000004</v>
      </c>
    </row>
    <row r="107" spans="1:5" x14ac:dyDescent="0.2">
      <c r="A107">
        <v>24500000000000</v>
      </c>
      <c r="B107">
        <v>102329.29922807543</v>
      </c>
      <c r="C107">
        <v>617000</v>
      </c>
      <c r="D107">
        <v>0.92244897959183658</v>
      </c>
      <c r="E107">
        <v>0</v>
      </c>
    </row>
    <row r="108" spans="1:5" x14ac:dyDescent="0.2">
      <c r="A108">
        <v>24300000000000</v>
      </c>
      <c r="B108">
        <v>138038.42646028858</v>
      </c>
      <c r="C108">
        <v>35600000</v>
      </c>
      <c r="D108">
        <v>8.816326530612244</v>
      </c>
      <c r="E108">
        <v>0</v>
      </c>
    </row>
    <row r="109" spans="1:5" x14ac:dyDescent="0.2">
      <c r="A109">
        <v>3760000000000</v>
      </c>
      <c r="B109">
        <v>26915348.039269254</v>
      </c>
      <c r="C109">
        <v>8520000</v>
      </c>
      <c r="D109">
        <v>1.9346938775510203</v>
      </c>
      <c r="E109">
        <v>0</v>
      </c>
    </row>
    <row r="110" spans="1:5" x14ac:dyDescent="0.2">
      <c r="A110">
        <v>2320000000000</v>
      </c>
      <c r="B110">
        <v>23988329.19019492</v>
      </c>
      <c r="C110">
        <v>3690000</v>
      </c>
      <c r="D110">
        <v>0.20816326530612245</v>
      </c>
      <c r="E110">
        <v>92.3</v>
      </c>
    </row>
    <row r="111" spans="1:5" x14ac:dyDescent="0.2">
      <c r="A111">
        <v>3320000000000</v>
      </c>
      <c r="B111">
        <v>263026799.18953946</v>
      </c>
      <c r="C111">
        <v>29000000</v>
      </c>
      <c r="D111">
        <v>0.29959183673469386</v>
      </c>
      <c r="E111">
        <v>23.7</v>
      </c>
    </row>
    <row r="112" spans="1:5" x14ac:dyDescent="0.2">
      <c r="A112">
        <v>5870000000000</v>
      </c>
      <c r="B112">
        <v>64565422.903465554</v>
      </c>
      <c r="C112">
        <v>22700</v>
      </c>
      <c r="D112">
        <v>0.17142857142857143</v>
      </c>
      <c r="E112">
        <v>28.9</v>
      </c>
    </row>
    <row r="113" spans="1:5" x14ac:dyDescent="0.2">
      <c r="A113">
        <v>22200000000000</v>
      </c>
      <c r="B113">
        <v>213796208.95022365</v>
      </c>
      <c r="C113">
        <v>19000000</v>
      </c>
      <c r="D113">
        <v>1.7387755102040818E-2</v>
      </c>
      <c r="E113">
        <v>44</v>
      </c>
    </row>
    <row r="114" spans="1:5" x14ac:dyDescent="0.2">
      <c r="A114">
        <v>31300000000000</v>
      </c>
      <c r="B114">
        <v>13182567.385564111</v>
      </c>
      <c r="C114">
        <v>3730000</v>
      </c>
      <c r="D114">
        <v>0.77877551020408153</v>
      </c>
      <c r="E114">
        <v>48.6</v>
      </c>
    </row>
    <row r="115" spans="1:5" x14ac:dyDescent="0.2">
      <c r="A115">
        <v>24100000000000</v>
      </c>
      <c r="B115">
        <v>11220184.543019677</v>
      </c>
      <c r="C115">
        <v>12900000</v>
      </c>
      <c r="D115">
        <v>1.4285714285714284</v>
      </c>
      <c r="E115">
        <v>4.53</v>
      </c>
    </row>
    <row r="116" spans="1:5" x14ac:dyDescent="0.2">
      <c r="A116">
        <v>30800000000000</v>
      </c>
      <c r="B116">
        <v>30199517.20402015</v>
      </c>
      <c r="C116">
        <v>4660000</v>
      </c>
      <c r="D116">
        <v>8.408163265306122</v>
      </c>
      <c r="E116">
        <v>8.74</v>
      </c>
    </row>
    <row r="117" spans="1:5" x14ac:dyDescent="0.2">
      <c r="A117">
        <v>2530000000000</v>
      </c>
      <c r="B117">
        <v>19054607.1796325</v>
      </c>
      <c r="C117">
        <v>49500000</v>
      </c>
      <c r="D117">
        <v>1624.4897959183672</v>
      </c>
      <c r="E117">
        <v>6.76</v>
      </c>
    </row>
    <row r="118" spans="1:5" x14ac:dyDescent="0.2">
      <c r="A118">
        <v>2570000000000</v>
      </c>
      <c r="B118">
        <v>19054607.1796325</v>
      </c>
      <c r="C118">
        <v>105000</v>
      </c>
      <c r="D118">
        <v>2751.0204081632655</v>
      </c>
      <c r="E118">
        <v>23.7</v>
      </c>
    </row>
    <row r="119" spans="1:5" x14ac:dyDescent="0.2">
      <c r="A119">
        <v>2800000000000</v>
      </c>
      <c r="B119">
        <v>52480746.02497749</v>
      </c>
      <c r="C119">
        <v>625000</v>
      </c>
      <c r="D119">
        <v>7.6408163265306124</v>
      </c>
      <c r="E119">
        <v>0</v>
      </c>
    </row>
    <row r="120" spans="1:5" x14ac:dyDescent="0.2">
      <c r="A120">
        <v>2580000000000</v>
      </c>
      <c r="B120">
        <v>8317637.7110267216</v>
      </c>
      <c r="C120">
        <v>66500</v>
      </c>
      <c r="D120">
        <v>3.4448979591836735</v>
      </c>
      <c r="E120">
        <v>0</v>
      </c>
    </row>
    <row r="121" spans="1:5" x14ac:dyDescent="0.2">
      <c r="A121">
        <v>9670000000000</v>
      </c>
      <c r="B121">
        <v>3890.451449942811</v>
      </c>
      <c r="C121">
        <v>39600000</v>
      </c>
      <c r="D121">
        <v>3.0122448979591838</v>
      </c>
      <c r="E121">
        <v>0</v>
      </c>
    </row>
    <row r="122" spans="1:5" x14ac:dyDescent="0.2">
      <c r="A122">
        <v>11900000000000</v>
      </c>
      <c r="B122">
        <v>5248.0746024977261</v>
      </c>
      <c r="C122">
        <v>234000000</v>
      </c>
      <c r="D122">
        <v>35.020408163265301</v>
      </c>
      <c r="E122">
        <v>4670</v>
      </c>
    </row>
    <row r="123" spans="1:5" x14ac:dyDescent="0.2">
      <c r="A123">
        <v>7840000000000</v>
      </c>
      <c r="B123">
        <v>4466.8359215096425</v>
      </c>
      <c r="C123">
        <v>97900000</v>
      </c>
      <c r="D123">
        <v>4.5632653061224486</v>
      </c>
      <c r="E123">
        <v>3610</v>
      </c>
    </row>
    <row r="124" spans="1:5" x14ac:dyDescent="0.2">
      <c r="A124">
        <v>10300000000000</v>
      </c>
      <c r="B124">
        <v>933.25430079699277</v>
      </c>
      <c r="C124">
        <v>6640000</v>
      </c>
      <c r="D124">
        <v>18.857142857142854</v>
      </c>
      <c r="E124">
        <v>3320</v>
      </c>
    </row>
    <row r="125" spans="1:5" x14ac:dyDescent="0.2">
      <c r="A125">
        <v>3540000000000</v>
      </c>
      <c r="B125">
        <v>8128.3051616410066</v>
      </c>
      <c r="C125">
        <v>28100000</v>
      </c>
      <c r="D125">
        <v>13.795918367346937</v>
      </c>
      <c r="E125">
        <v>0</v>
      </c>
    </row>
    <row r="126" spans="1:5" x14ac:dyDescent="0.2">
      <c r="A126">
        <v>6460000000000</v>
      </c>
      <c r="B126">
        <v>16982.436524617482</v>
      </c>
      <c r="C126">
        <v>13300000</v>
      </c>
      <c r="D126">
        <v>13.959183673469386</v>
      </c>
      <c r="E126">
        <v>0</v>
      </c>
    </row>
    <row r="127" spans="1:5" x14ac:dyDescent="0.2">
      <c r="A127">
        <v>4910000000000</v>
      </c>
      <c r="B127">
        <v>10715.193052376051</v>
      </c>
      <c r="C127">
        <v>15900000</v>
      </c>
      <c r="D127">
        <v>83.265306122448976</v>
      </c>
      <c r="E127">
        <v>0</v>
      </c>
    </row>
    <row r="128" spans="1:5" x14ac:dyDescent="0.2">
      <c r="A128">
        <v>6660000000000</v>
      </c>
      <c r="B128">
        <v>1148.1536214968849</v>
      </c>
      <c r="C128">
        <v>278000000</v>
      </c>
      <c r="D128">
        <v>4.6612244897959183</v>
      </c>
      <c r="E128">
        <v>0</v>
      </c>
    </row>
    <row r="129" spans="1:5" x14ac:dyDescent="0.2">
      <c r="A129">
        <v>9850000000000</v>
      </c>
      <c r="B129">
        <v>831.7637711026714</v>
      </c>
      <c r="C129">
        <v>879000000</v>
      </c>
      <c r="D129">
        <v>28.979591836734691</v>
      </c>
      <c r="E129">
        <v>0</v>
      </c>
    </row>
    <row r="130" spans="1:5" x14ac:dyDescent="0.2">
      <c r="A130">
        <v>7050000000000</v>
      </c>
      <c r="B130">
        <v>295120.92266663886</v>
      </c>
      <c r="C130">
        <v>75300000</v>
      </c>
      <c r="D130">
        <v>88.979591836734684</v>
      </c>
      <c r="E130">
        <v>0</v>
      </c>
    </row>
    <row r="131" spans="1:5" x14ac:dyDescent="0.2">
      <c r="A131">
        <v>6620000000000</v>
      </c>
      <c r="B131">
        <v>147910.83881682079</v>
      </c>
      <c r="C131">
        <v>45700000</v>
      </c>
      <c r="D131">
        <v>464.48979591836735</v>
      </c>
      <c r="E131">
        <v>0</v>
      </c>
    </row>
    <row r="132" spans="1:5" x14ac:dyDescent="0.2">
      <c r="A132">
        <v>5870000000000</v>
      </c>
      <c r="B132">
        <v>213796.20895022296</v>
      </c>
      <c r="C132">
        <v>11400000000</v>
      </c>
      <c r="D132">
        <v>75.183673469387756</v>
      </c>
      <c r="E132">
        <v>0</v>
      </c>
    </row>
    <row r="133" spans="1:5" x14ac:dyDescent="0.2">
      <c r="A133">
        <v>2630000000000</v>
      </c>
      <c r="B133">
        <v>223872.11385683445</v>
      </c>
      <c r="C133">
        <v>15200</v>
      </c>
      <c r="D133">
        <v>237.55102040816325</v>
      </c>
      <c r="E133">
        <v>0</v>
      </c>
    </row>
    <row r="134" spans="1:5" x14ac:dyDescent="0.2">
      <c r="A134">
        <v>2320000000000</v>
      </c>
      <c r="B134">
        <v>47863.009232263823</v>
      </c>
      <c r="C134">
        <v>1380000</v>
      </c>
      <c r="D134">
        <v>83.265306122448976</v>
      </c>
      <c r="E134">
        <v>0</v>
      </c>
    </row>
    <row r="135" spans="1:5" x14ac:dyDescent="0.2">
      <c r="A135">
        <v>2280000000000</v>
      </c>
      <c r="B135">
        <v>66069.344800759616</v>
      </c>
      <c r="C135">
        <v>21600</v>
      </c>
      <c r="D135">
        <v>493.87755102040813</v>
      </c>
      <c r="E135">
        <v>0</v>
      </c>
    </row>
    <row r="136" spans="1:5" x14ac:dyDescent="0.2">
      <c r="A136">
        <v>2670000000000</v>
      </c>
      <c r="B136">
        <v>147910.83881682079</v>
      </c>
      <c r="C136">
        <v>10300000</v>
      </c>
      <c r="D136">
        <v>292.24489795918367</v>
      </c>
      <c r="E136">
        <v>0</v>
      </c>
    </row>
    <row r="137" spans="1:5" x14ac:dyDescent="0.2">
      <c r="A137">
        <v>1721199113</v>
      </c>
      <c r="B137">
        <v>331131.12148259126</v>
      </c>
      <c r="C137">
        <v>4110</v>
      </c>
      <c r="D137">
        <v>46.530612244897959</v>
      </c>
      <c r="E137">
        <v>0</v>
      </c>
    </row>
    <row r="138" spans="1:5" x14ac:dyDescent="0.2">
      <c r="A138">
        <v>1262318370</v>
      </c>
      <c r="B138">
        <v>416869.38347033522</v>
      </c>
      <c r="C138">
        <v>14200000</v>
      </c>
      <c r="D138">
        <v>577.142857142857</v>
      </c>
      <c r="E138">
        <v>0</v>
      </c>
    </row>
    <row r="139" spans="1:5" x14ac:dyDescent="0.2">
      <c r="A139">
        <v>2669840224</v>
      </c>
      <c r="B139">
        <v>79432.823472428106</v>
      </c>
      <c r="C139">
        <v>1430000</v>
      </c>
      <c r="D139">
        <v>77.795918367346943</v>
      </c>
      <c r="E139">
        <v>0</v>
      </c>
    </row>
    <row r="140" spans="1:5" x14ac:dyDescent="0.2">
      <c r="A140">
        <v>3363099227</v>
      </c>
      <c r="B140">
        <v>81283.051616409866</v>
      </c>
      <c r="C140">
        <v>14500000</v>
      </c>
      <c r="D140">
        <v>235.10204081632651</v>
      </c>
      <c r="E140">
        <v>0</v>
      </c>
    </row>
    <row r="141" spans="1:5" x14ac:dyDescent="0.2">
      <c r="A141">
        <v>15640321603</v>
      </c>
      <c r="B141">
        <v>309029.54325135931</v>
      </c>
      <c r="C141">
        <v>100000</v>
      </c>
      <c r="D141">
        <v>881.63265306122435</v>
      </c>
      <c r="E141">
        <v>0</v>
      </c>
    </row>
    <row r="142" spans="1:5" x14ac:dyDescent="0.2">
      <c r="A142">
        <v>19089471342</v>
      </c>
      <c r="B142">
        <v>109647.81961431887</v>
      </c>
      <c r="C142">
        <v>1580</v>
      </c>
      <c r="D142">
        <v>1673.4693877551019</v>
      </c>
      <c r="E142">
        <v>0</v>
      </c>
    </row>
    <row r="143" spans="1:5" x14ac:dyDescent="0.2">
      <c r="A143">
        <v>19240316908</v>
      </c>
      <c r="B143">
        <v>42657.951880159271</v>
      </c>
      <c r="C143">
        <v>48500</v>
      </c>
      <c r="D143">
        <v>9.3061224489795924E-2</v>
      </c>
      <c r="E143">
        <v>1240</v>
      </c>
    </row>
    <row r="144" spans="1:5" x14ac:dyDescent="0.2">
      <c r="A144">
        <v>12876776623</v>
      </c>
      <c r="B144">
        <v>141253.75446227577</v>
      </c>
      <c r="C144">
        <v>1990000</v>
      </c>
      <c r="D144">
        <v>0.71183673469387743</v>
      </c>
      <c r="E144">
        <v>1580</v>
      </c>
    </row>
    <row r="145" spans="1:5" x14ac:dyDescent="0.2">
      <c r="A145">
        <v>5269155333</v>
      </c>
      <c r="B145">
        <v>309029.54325135931</v>
      </c>
      <c r="C145">
        <v>6560000</v>
      </c>
      <c r="D145">
        <v>1.8612244897959183</v>
      </c>
      <c r="E145">
        <v>1140</v>
      </c>
    </row>
    <row r="146" spans="1:5" x14ac:dyDescent="0.2">
      <c r="A146">
        <v>7736989234</v>
      </c>
      <c r="B146">
        <v>776247.11662869353</v>
      </c>
      <c r="C146">
        <v>673000</v>
      </c>
      <c r="D146">
        <v>4.0489795918367343E-2</v>
      </c>
      <c r="E146">
        <v>14.4</v>
      </c>
    </row>
    <row r="147" spans="1:5" x14ac:dyDescent="0.2">
      <c r="A147">
        <v>12563361358</v>
      </c>
      <c r="B147">
        <v>912010.83935591124</v>
      </c>
      <c r="C147">
        <v>9680000</v>
      </c>
      <c r="D147">
        <v>0.12244897959183673</v>
      </c>
      <c r="E147">
        <v>24.6</v>
      </c>
    </row>
    <row r="148" spans="1:5" x14ac:dyDescent="0.2">
      <c r="A148">
        <v>6967494645</v>
      </c>
      <c r="B148">
        <v>2137962.0895022359</v>
      </c>
      <c r="C148">
        <v>12300</v>
      </c>
      <c r="D148">
        <v>5.5591836734693874E-2</v>
      </c>
      <c r="E148">
        <v>18.100000000000001</v>
      </c>
    </row>
    <row r="149" spans="1:5" x14ac:dyDescent="0.2">
      <c r="A149">
        <v>171000000000</v>
      </c>
      <c r="B149">
        <v>891250.93813374557</v>
      </c>
      <c r="C149">
        <v>23400000</v>
      </c>
      <c r="D149">
        <v>4.8408163265306114E-2</v>
      </c>
      <c r="E149">
        <v>0</v>
      </c>
    </row>
    <row r="150" spans="1:5" x14ac:dyDescent="0.2">
      <c r="A150">
        <v>166000000000</v>
      </c>
      <c r="B150">
        <v>4073802.7780411304</v>
      </c>
      <c r="C150">
        <v>185000</v>
      </c>
      <c r="D150">
        <v>3.9836734693877544E-2</v>
      </c>
      <c r="E150">
        <v>7.64</v>
      </c>
    </row>
    <row r="151" spans="1:5" x14ac:dyDescent="0.2">
      <c r="A151">
        <v>164000000000</v>
      </c>
      <c r="B151">
        <v>2570395.782768866</v>
      </c>
      <c r="C151">
        <v>820000</v>
      </c>
      <c r="D151">
        <v>0.48734693877551016</v>
      </c>
      <c r="E151">
        <v>3.83</v>
      </c>
    </row>
    <row r="152" spans="1:5" x14ac:dyDescent="0.2">
      <c r="A152">
        <v>157000000000</v>
      </c>
      <c r="B152">
        <v>676082.97539198259</v>
      </c>
      <c r="C152">
        <v>37900</v>
      </c>
      <c r="D152">
        <v>8.7346938775510197E-2</v>
      </c>
      <c r="E152">
        <v>12.4</v>
      </c>
    </row>
    <row r="153" spans="1:5" x14ac:dyDescent="0.2">
      <c r="A153">
        <v>139000000000</v>
      </c>
      <c r="B153">
        <v>257039.57827688678</v>
      </c>
      <c r="C153">
        <v>7070000</v>
      </c>
      <c r="D153">
        <v>0.12244897959183673</v>
      </c>
      <c r="E153">
        <v>12.6</v>
      </c>
    </row>
    <row r="154" spans="1:5" x14ac:dyDescent="0.2">
      <c r="A154">
        <v>161000000000</v>
      </c>
      <c r="B154">
        <v>7585775.7502918513</v>
      </c>
      <c r="C154">
        <v>2460</v>
      </c>
      <c r="D154">
        <v>7.3714285714285704E-2</v>
      </c>
      <c r="E154">
        <v>9.64</v>
      </c>
    </row>
    <row r="155" spans="1:5" x14ac:dyDescent="0.2">
      <c r="A155">
        <v>200000000000</v>
      </c>
      <c r="B155">
        <v>2041737.9446695333</v>
      </c>
      <c r="C155">
        <v>5170</v>
      </c>
      <c r="D155">
        <v>6.4816326530612242E-2</v>
      </c>
      <c r="E155">
        <v>33</v>
      </c>
    </row>
    <row r="156" spans="1:5" x14ac:dyDescent="0.2">
      <c r="A156">
        <v>197000000000</v>
      </c>
      <c r="B156">
        <v>1513561.248436213</v>
      </c>
      <c r="C156">
        <v>1050</v>
      </c>
      <c r="D156">
        <v>0.10530612244897958</v>
      </c>
      <c r="E156">
        <v>37.1</v>
      </c>
    </row>
    <row r="157" spans="1:5" x14ac:dyDescent="0.2">
      <c r="A157">
        <v>263000000000</v>
      </c>
      <c r="B157">
        <v>7413102.4130091891</v>
      </c>
      <c r="C157">
        <v>2650000</v>
      </c>
      <c r="D157">
        <v>8.408163265306122E-2</v>
      </c>
      <c r="E157">
        <v>10</v>
      </c>
    </row>
    <row r="158" spans="1:5" x14ac:dyDescent="0.2">
      <c r="A158">
        <v>93589857782</v>
      </c>
      <c r="B158">
        <v>2951209.2266663867</v>
      </c>
      <c r="C158">
        <v>639000</v>
      </c>
      <c r="D158">
        <v>0.13224489795918368</v>
      </c>
      <c r="E158">
        <v>0</v>
      </c>
    </row>
    <row r="159" spans="1:5" x14ac:dyDescent="0.2">
      <c r="A159">
        <v>201000000000</v>
      </c>
      <c r="B159">
        <v>7585775.7502918644</v>
      </c>
      <c r="C159">
        <v>8960000</v>
      </c>
      <c r="D159">
        <v>9.9591836734693864E-2</v>
      </c>
      <c r="E159">
        <v>6.64</v>
      </c>
    </row>
    <row r="160" spans="1:5" x14ac:dyDescent="0.2">
      <c r="A160">
        <v>110000000000</v>
      </c>
      <c r="B160">
        <v>489778.81936844654</v>
      </c>
      <c r="C160">
        <v>2570000</v>
      </c>
      <c r="D160">
        <v>0.22367346938775509</v>
      </c>
      <c r="E160">
        <v>9.58</v>
      </c>
    </row>
    <row r="161" spans="1:5" x14ac:dyDescent="0.2">
      <c r="A161">
        <v>13811391500</v>
      </c>
      <c r="B161">
        <v>109647819.61431904</v>
      </c>
      <c r="C161">
        <v>1910000</v>
      </c>
      <c r="D161">
        <v>9.3061224489795924E-2</v>
      </c>
      <c r="E161">
        <v>18.7</v>
      </c>
    </row>
    <row r="162" spans="1:5" x14ac:dyDescent="0.2">
      <c r="A162">
        <v>123000000000</v>
      </c>
      <c r="B162">
        <v>4073802.7780411304</v>
      </c>
      <c r="C162">
        <v>3720000</v>
      </c>
      <c r="D162">
        <v>0.22367346938775509</v>
      </c>
      <c r="E162">
        <v>2.2599999999999998</v>
      </c>
    </row>
    <row r="163" spans="1:5" x14ac:dyDescent="0.2">
      <c r="A163">
        <v>91756420607</v>
      </c>
      <c r="B163">
        <v>107151930.52376118</v>
      </c>
      <c r="C163">
        <v>164000</v>
      </c>
      <c r="D163">
        <v>1.273469387755102</v>
      </c>
      <c r="E163">
        <v>7.15</v>
      </c>
    </row>
    <row r="164" spans="1:5" x14ac:dyDescent="0.2">
      <c r="A164">
        <v>89131377186</v>
      </c>
      <c r="B164">
        <v>20892961.308540419</v>
      </c>
      <c r="C164">
        <v>62900000</v>
      </c>
      <c r="D164">
        <v>6.4979591836734685E-2</v>
      </c>
      <c r="E164">
        <v>586</v>
      </c>
    </row>
    <row r="165" spans="1:5" x14ac:dyDescent="0.2">
      <c r="A165">
        <v>14813804855</v>
      </c>
      <c r="B165">
        <v>3981071.705534983</v>
      </c>
      <c r="C165">
        <v>239000000</v>
      </c>
      <c r="D165">
        <v>0.11102040816326531</v>
      </c>
      <c r="E165">
        <v>512</v>
      </c>
    </row>
    <row r="166" spans="1:5" x14ac:dyDescent="0.2">
      <c r="A166">
        <v>13731090376</v>
      </c>
      <c r="B166">
        <v>8709635.8995608166</v>
      </c>
      <c r="C166">
        <v>4880000</v>
      </c>
      <c r="D166">
        <v>0.81632653061224481</v>
      </c>
      <c r="E166">
        <v>487</v>
      </c>
    </row>
    <row r="167" spans="1:5" x14ac:dyDescent="0.2">
      <c r="A167">
        <v>18012460448</v>
      </c>
      <c r="B167">
        <v>39810717.055349804</v>
      </c>
      <c r="C167">
        <v>27400000</v>
      </c>
      <c r="D167">
        <v>8.3265306122448979E-2</v>
      </c>
      <c r="E167">
        <v>0</v>
      </c>
    </row>
    <row r="168" spans="1:5" x14ac:dyDescent="0.2">
      <c r="A168">
        <v>11025878552</v>
      </c>
      <c r="B168">
        <v>67608297.539198399</v>
      </c>
      <c r="C168">
        <v>5300000000</v>
      </c>
      <c r="D168">
        <v>7.7795918367346922E-2</v>
      </c>
      <c r="E168">
        <v>0</v>
      </c>
    </row>
    <row r="169" spans="1:5" x14ac:dyDescent="0.2">
      <c r="A169">
        <v>27961887266</v>
      </c>
      <c r="B169">
        <v>36307805.47701022</v>
      </c>
      <c r="C169">
        <v>17100</v>
      </c>
      <c r="D169">
        <v>0.26040816326530608</v>
      </c>
      <c r="E169">
        <v>0</v>
      </c>
    </row>
    <row r="170" spans="1:5" x14ac:dyDescent="0.2">
      <c r="A170">
        <v>27906043865</v>
      </c>
      <c r="B170">
        <v>173780082.87493807</v>
      </c>
      <c r="C170">
        <v>1130000</v>
      </c>
      <c r="D170">
        <v>3.0857142857142854</v>
      </c>
      <c r="E170">
        <v>0</v>
      </c>
    </row>
    <row r="171" spans="1:5" x14ac:dyDescent="0.2">
      <c r="A171">
        <v>27453500914</v>
      </c>
      <c r="B171">
        <v>338.8441561392022</v>
      </c>
      <c r="C171">
        <v>402000</v>
      </c>
      <c r="D171">
        <v>1.3224489795918366</v>
      </c>
      <c r="E171">
        <v>0</v>
      </c>
    </row>
    <row r="172" spans="1:5" x14ac:dyDescent="0.2">
      <c r="A172">
        <v>27944884596</v>
      </c>
      <c r="B172">
        <v>288.40315031266073</v>
      </c>
      <c r="C172">
        <v>5530000</v>
      </c>
      <c r="D172">
        <v>1.3714285714285714</v>
      </c>
      <c r="E172">
        <v>0</v>
      </c>
    </row>
    <row r="173" spans="1:5" x14ac:dyDescent="0.2">
      <c r="A173">
        <v>14391467067</v>
      </c>
      <c r="B173">
        <v>3467.3685045253283</v>
      </c>
      <c r="C173">
        <v>569000</v>
      </c>
      <c r="D173">
        <v>2.6612244897959183</v>
      </c>
      <c r="E173">
        <v>0</v>
      </c>
    </row>
    <row r="174" spans="1:5" x14ac:dyDescent="0.2">
      <c r="A174">
        <v>24151369448</v>
      </c>
      <c r="B174">
        <v>60.255958607435822</v>
      </c>
      <c r="C174">
        <v>16700000</v>
      </c>
      <c r="D174">
        <v>1.1836734693877549</v>
      </c>
      <c r="E174">
        <v>0</v>
      </c>
    </row>
    <row r="175" spans="1:5" x14ac:dyDescent="0.2">
      <c r="A175">
        <v>22186214836</v>
      </c>
      <c r="B175">
        <v>301.99517204020196</v>
      </c>
      <c r="C175">
        <v>302000</v>
      </c>
      <c r="D175">
        <v>2.6612244897959183</v>
      </c>
      <c r="E175">
        <v>0</v>
      </c>
    </row>
    <row r="176" spans="1:5" x14ac:dyDescent="0.2">
      <c r="A176">
        <v>15009253919</v>
      </c>
      <c r="B176">
        <v>501.18723362727184</v>
      </c>
      <c r="C176">
        <v>2380000</v>
      </c>
      <c r="D176">
        <v>4.9061224489795912</v>
      </c>
      <c r="E176">
        <v>0</v>
      </c>
    </row>
    <row r="177" spans="1:5" x14ac:dyDescent="0.2">
      <c r="A177">
        <v>6968425868</v>
      </c>
      <c r="B177">
        <v>8128.3051616410066</v>
      </c>
      <c r="C177">
        <v>2410000</v>
      </c>
      <c r="D177">
        <v>2.4571428571428569</v>
      </c>
      <c r="E177">
        <v>0</v>
      </c>
    </row>
    <row r="178" spans="1:5" x14ac:dyDescent="0.2">
      <c r="A178">
        <v>16790275384</v>
      </c>
      <c r="B178">
        <v>194.98445997580458</v>
      </c>
      <c r="C178">
        <v>93200</v>
      </c>
      <c r="D178">
        <v>3.0122448979591838</v>
      </c>
      <c r="E178">
        <v>0</v>
      </c>
    </row>
    <row r="179" spans="1:5" x14ac:dyDescent="0.2">
      <c r="A179">
        <v>18602543209</v>
      </c>
      <c r="B179">
        <v>1548.8166189124809</v>
      </c>
      <c r="C179">
        <v>729000</v>
      </c>
      <c r="D179">
        <v>2.5061224489795917</v>
      </c>
      <c r="E179">
        <v>0</v>
      </c>
    </row>
    <row r="180" spans="1:5" x14ac:dyDescent="0.2">
      <c r="A180">
        <v>17235057427</v>
      </c>
      <c r="B180">
        <v>36307.805477010166</v>
      </c>
      <c r="C180">
        <v>542000</v>
      </c>
      <c r="D180">
        <v>2.9795918367346936</v>
      </c>
      <c r="E180">
        <v>0</v>
      </c>
    </row>
    <row r="181" spans="1:5" x14ac:dyDescent="0.2">
      <c r="A181">
        <v>53024796765</v>
      </c>
      <c r="B181">
        <v>6309.5734448019502</v>
      </c>
      <c r="C181">
        <v>532000</v>
      </c>
      <c r="D181">
        <v>2.3510204081632651</v>
      </c>
      <c r="E181">
        <v>0</v>
      </c>
    </row>
    <row r="182" spans="1:5" x14ac:dyDescent="0.2">
      <c r="A182">
        <v>41178230124</v>
      </c>
      <c r="B182">
        <v>20417.379446695286</v>
      </c>
      <c r="C182">
        <v>471000</v>
      </c>
      <c r="D182">
        <v>3.0693877551020403</v>
      </c>
      <c r="E182">
        <v>0</v>
      </c>
    </row>
    <row r="183" spans="1:5" x14ac:dyDescent="0.2">
      <c r="A183">
        <v>38761563111</v>
      </c>
      <c r="B183">
        <v>436.51583224016582</v>
      </c>
      <c r="C183">
        <v>339000</v>
      </c>
      <c r="D183">
        <v>3.0693877551020403</v>
      </c>
      <c r="E183">
        <v>0</v>
      </c>
    </row>
    <row r="184" spans="1:5" x14ac:dyDescent="0.2">
      <c r="A184">
        <v>52524862088</v>
      </c>
      <c r="B184">
        <v>2511.8864315095789</v>
      </c>
      <c r="C184">
        <v>1890</v>
      </c>
      <c r="D184">
        <v>2.9142857142857141</v>
      </c>
      <c r="E184">
        <v>0</v>
      </c>
    </row>
    <row r="185" spans="1:5" x14ac:dyDescent="0.2">
      <c r="A185">
        <v>31400000000000</v>
      </c>
      <c r="B185">
        <v>16595.869074375616</v>
      </c>
      <c r="C185">
        <v>272000</v>
      </c>
      <c r="D185">
        <v>2.9387755102040813</v>
      </c>
      <c r="E185">
        <v>658</v>
      </c>
    </row>
    <row r="186" spans="1:5" x14ac:dyDescent="0.2">
      <c r="A186">
        <v>60800000000000</v>
      </c>
      <c r="B186">
        <v>12022.644346174151</v>
      </c>
      <c r="C186">
        <v>377000</v>
      </c>
      <c r="D186">
        <v>2.5551020408163261</v>
      </c>
      <c r="E186">
        <v>935</v>
      </c>
    </row>
    <row r="187" spans="1:5" x14ac:dyDescent="0.2">
      <c r="A187">
        <v>49700000000000</v>
      </c>
      <c r="B187">
        <v>95499.258602143804</v>
      </c>
      <c r="C187">
        <v>106000</v>
      </c>
      <c r="D187">
        <v>3.657142857142857</v>
      </c>
      <c r="E187">
        <v>663</v>
      </c>
    </row>
    <row r="188" spans="1:5" x14ac:dyDescent="0.2">
      <c r="A188">
        <v>40100000000000</v>
      </c>
      <c r="B188">
        <v>281838.29312644521</v>
      </c>
      <c r="C188">
        <v>14500000</v>
      </c>
      <c r="D188">
        <v>2.7755102040816322</v>
      </c>
      <c r="E188">
        <v>17.8</v>
      </c>
    </row>
    <row r="189" spans="1:5" x14ac:dyDescent="0.2">
      <c r="A189">
        <v>5140000000000</v>
      </c>
      <c r="B189">
        <v>100000000</v>
      </c>
      <c r="C189">
        <v>6350000</v>
      </c>
      <c r="D189">
        <v>3.1836734693877546</v>
      </c>
      <c r="E189">
        <v>19.3</v>
      </c>
    </row>
    <row r="190" spans="1:5" x14ac:dyDescent="0.2">
      <c r="A190">
        <v>5150000000000</v>
      </c>
      <c r="B190">
        <v>53703179.637025505</v>
      </c>
      <c r="C190">
        <v>29700</v>
      </c>
      <c r="D190">
        <v>2.6693877551020404</v>
      </c>
      <c r="E190">
        <v>10.199999999999999</v>
      </c>
    </row>
    <row r="191" spans="1:5" x14ac:dyDescent="0.2">
      <c r="A191">
        <v>5220000000000</v>
      </c>
      <c r="B191">
        <v>102329299.22807558</v>
      </c>
      <c r="C191">
        <v>40600</v>
      </c>
      <c r="D191">
        <v>2.5632653061224486</v>
      </c>
      <c r="E191">
        <v>14.7</v>
      </c>
    </row>
    <row r="192" spans="1:5" x14ac:dyDescent="0.2">
      <c r="A192">
        <v>4800000000000</v>
      </c>
      <c r="B192">
        <v>131825673.85564126</v>
      </c>
      <c r="C192">
        <v>71100</v>
      </c>
      <c r="D192">
        <v>2.9469387755102039</v>
      </c>
      <c r="E192">
        <v>12.6</v>
      </c>
    </row>
    <row r="193" spans="1:5" x14ac:dyDescent="0.2">
      <c r="A193">
        <v>56678521128</v>
      </c>
      <c r="B193">
        <v>8511380.382023776</v>
      </c>
      <c r="C193">
        <v>30000</v>
      </c>
      <c r="D193">
        <v>3.1918367346938772</v>
      </c>
      <c r="E193">
        <v>11.4</v>
      </c>
    </row>
    <row r="194" spans="1:5" x14ac:dyDescent="0.2">
      <c r="A194">
        <v>123000000000</v>
      </c>
      <c r="B194">
        <v>69183097.091893882</v>
      </c>
      <c r="C194">
        <v>10100</v>
      </c>
      <c r="D194">
        <v>3.4040816326530607</v>
      </c>
      <c r="E194">
        <v>181</v>
      </c>
    </row>
    <row r="195" spans="1:5" x14ac:dyDescent="0.2">
      <c r="A195">
        <v>137000000000</v>
      </c>
      <c r="B195">
        <v>42657951.880159184</v>
      </c>
      <c r="C195">
        <v>23000</v>
      </c>
      <c r="D195">
        <v>2.9959183673469383</v>
      </c>
      <c r="E195">
        <v>96.9</v>
      </c>
    </row>
    <row r="196" spans="1:5" x14ac:dyDescent="0.2">
      <c r="A196">
        <v>84752232880</v>
      </c>
      <c r="B196">
        <v>19054607.1796325</v>
      </c>
      <c r="C196">
        <v>14400</v>
      </c>
      <c r="D196">
        <v>6.6938775510204076</v>
      </c>
      <c r="E196">
        <v>70.400000000000006</v>
      </c>
    </row>
    <row r="197" spans="1:5" x14ac:dyDescent="0.2">
      <c r="A197">
        <v>9590000000000</v>
      </c>
      <c r="B197">
        <v>47863009.232263893</v>
      </c>
      <c r="C197">
        <v>3060</v>
      </c>
      <c r="D197">
        <v>1.4285714285714284</v>
      </c>
      <c r="E197">
        <v>348</v>
      </c>
    </row>
    <row r="198" spans="1:5" x14ac:dyDescent="0.2">
      <c r="A198">
        <v>6790000000000</v>
      </c>
      <c r="B198">
        <v>37153522.909717336</v>
      </c>
      <c r="C198">
        <v>201000</v>
      </c>
      <c r="D198">
        <v>6.2857142857142856</v>
      </c>
      <c r="E198">
        <v>155</v>
      </c>
    </row>
    <row r="199" spans="1:5" x14ac:dyDescent="0.2">
      <c r="A199">
        <v>7000000000000</v>
      </c>
      <c r="B199">
        <v>120226443.4617414</v>
      </c>
      <c r="C199">
        <v>1060</v>
      </c>
      <c r="D199">
        <v>11.020408163265305</v>
      </c>
      <c r="E199">
        <v>134</v>
      </c>
    </row>
    <row r="200" spans="1:5" x14ac:dyDescent="0.2">
      <c r="A200">
        <v>6940000000000</v>
      </c>
      <c r="B200">
        <v>1778.2794100389197</v>
      </c>
      <c r="C200">
        <v>28100</v>
      </c>
      <c r="D200">
        <v>9.1428571428571406</v>
      </c>
      <c r="E200">
        <v>742</v>
      </c>
    </row>
    <row r="201" spans="1:5" x14ac:dyDescent="0.2">
      <c r="A201">
        <v>5390000000000</v>
      </c>
      <c r="B201">
        <v>7762.4711662869186</v>
      </c>
      <c r="C201">
        <v>1030000</v>
      </c>
      <c r="D201">
        <v>86.530612244897952</v>
      </c>
      <c r="E201">
        <v>399</v>
      </c>
    </row>
    <row r="202" spans="1:5" x14ac:dyDescent="0.2">
      <c r="A202">
        <v>8090000000000</v>
      </c>
      <c r="B202">
        <v>13803.84264602889</v>
      </c>
      <c r="C202">
        <v>3810</v>
      </c>
      <c r="D202">
        <v>1.6081632653061224</v>
      </c>
      <c r="E202">
        <v>472</v>
      </c>
    </row>
    <row r="203" spans="1:5" x14ac:dyDescent="0.2">
      <c r="A203">
        <v>7990000000000</v>
      </c>
      <c r="B203">
        <v>2951.2092266663926</v>
      </c>
      <c r="C203">
        <v>102000</v>
      </c>
      <c r="D203">
        <v>6.4408163265306122</v>
      </c>
      <c r="E203">
        <v>14</v>
      </c>
    </row>
    <row r="204" spans="1:5" x14ac:dyDescent="0.2">
      <c r="A204">
        <v>9380000000000</v>
      </c>
      <c r="B204">
        <v>5011.8723362727324</v>
      </c>
      <c r="C204">
        <v>17900000</v>
      </c>
      <c r="D204">
        <v>0.88979591836734684</v>
      </c>
      <c r="E204">
        <v>9.84</v>
      </c>
    </row>
    <row r="205" spans="1:5" x14ac:dyDescent="0.2">
      <c r="A205">
        <v>8660000000000</v>
      </c>
      <c r="B205">
        <v>16218.100973589309</v>
      </c>
      <c r="C205">
        <v>4520</v>
      </c>
      <c r="D205">
        <v>3.1591836734693874</v>
      </c>
      <c r="E205">
        <v>12.6</v>
      </c>
    </row>
    <row r="206" spans="1:5" x14ac:dyDescent="0.2">
      <c r="A206">
        <v>6880000000000</v>
      </c>
      <c r="B206">
        <v>14791.083881682089</v>
      </c>
      <c r="C206">
        <v>25200</v>
      </c>
      <c r="D206">
        <v>2.4326530612244897</v>
      </c>
      <c r="E206">
        <v>87.6</v>
      </c>
    </row>
    <row r="207" spans="1:5" x14ac:dyDescent="0.2">
      <c r="A207">
        <v>8160000000000</v>
      </c>
      <c r="B207">
        <v>51286.138399136638</v>
      </c>
      <c r="C207">
        <v>15900</v>
      </c>
      <c r="D207">
        <v>1.3142857142857143</v>
      </c>
      <c r="E207">
        <v>62.2</v>
      </c>
    </row>
    <row r="208" spans="1:5" x14ac:dyDescent="0.2">
      <c r="A208">
        <v>10800000000000</v>
      </c>
      <c r="B208">
        <v>158489.31924611135</v>
      </c>
      <c r="C208">
        <v>19500</v>
      </c>
      <c r="D208">
        <v>1.7224489795918367</v>
      </c>
      <c r="E208">
        <v>61.7</v>
      </c>
    </row>
    <row r="209" spans="1:5" x14ac:dyDescent="0.2">
      <c r="A209">
        <v>13800000000000</v>
      </c>
      <c r="B209">
        <v>39810.717055349742</v>
      </c>
      <c r="C209">
        <v>241000</v>
      </c>
      <c r="D209">
        <v>1.7387755102040814</v>
      </c>
      <c r="E209">
        <v>0</v>
      </c>
    </row>
    <row r="210" spans="1:5" x14ac:dyDescent="0.2">
      <c r="A210">
        <v>20300000000000</v>
      </c>
      <c r="B210">
        <v>269153.48039269145</v>
      </c>
      <c r="C210">
        <v>22100</v>
      </c>
      <c r="D210">
        <v>0.98775510204081629</v>
      </c>
      <c r="E210">
        <v>4.74</v>
      </c>
    </row>
    <row r="211" spans="1:5" x14ac:dyDescent="0.2">
      <c r="A211">
        <v>12400000000000</v>
      </c>
      <c r="B211">
        <v>851138.03820237669</v>
      </c>
      <c r="C211">
        <v>2850000</v>
      </c>
      <c r="D211">
        <v>1.4367346938775509</v>
      </c>
      <c r="E211">
        <v>0</v>
      </c>
    </row>
    <row r="212" spans="1:5" x14ac:dyDescent="0.2">
      <c r="A212">
        <v>16500000000000</v>
      </c>
      <c r="B212">
        <v>549540.87385762564</v>
      </c>
      <c r="C212">
        <v>3090</v>
      </c>
      <c r="D212">
        <v>1.7469387755102039</v>
      </c>
      <c r="E212">
        <v>64.5</v>
      </c>
    </row>
    <row r="213" spans="1:5" x14ac:dyDescent="0.2">
      <c r="A213">
        <v>2090000000000</v>
      </c>
      <c r="B213">
        <v>6025.5958607435741</v>
      </c>
      <c r="C213">
        <v>15400</v>
      </c>
      <c r="D213">
        <v>1.7306122448979591</v>
      </c>
      <c r="E213">
        <v>27.7</v>
      </c>
    </row>
    <row r="214" spans="1:5" x14ac:dyDescent="0.2">
      <c r="A214">
        <v>1790000000000</v>
      </c>
      <c r="B214">
        <v>74131.024130091726</v>
      </c>
      <c r="C214">
        <v>17900</v>
      </c>
      <c r="D214">
        <v>2.1142857142857143</v>
      </c>
      <c r="E214">
        <v>24.1</v>
      </c>
    </row>
    <row r="215" spans="1:5" x14ac:dyDescent="0.2">
      <c r="A215">
        <v>2110000000000</v>
      </c>
      <c r="B215">
        <v>239883.29190194866</v>
      </c>
      <c r="C215">
        <v>17500</v>
      </c>
      <c r="D215">
        <v>1.2979591836734694</v>
      </c>
      <c r="E215">
        <v>0</v>
      </c>
    </row>
    <row r="216" spans="1:5" x14ac:dyDescent="0.2">
      <c r="A216">
        <v>3180000000000</v>
      </c>
      <c r="B216">
        <v>1096478.196143186</v>
      </c>
      <c r="C216">
        <v>3850</v>
      </c>
      <c r="D216">
        <v>1.5020408163265306</v>
      </c>
      <c r="E216">
        <v>0</v>
      </c>
    </row>
    <row r="217" spans="1:5" x14ac:dyDescent="0.2">
      <c r="A217">
        <v>6310000000000</v>
      </c>
      <c r="B217">
        <v>630957.34448019532</v>
      </c>
      <c r="C217">
        <v>6600</v>
      </c>
      <c r="D217">
        <v>32.408163265306122</v>
      </c>
      <c r="E217">
        <v>0</v>
      </c>
    </row>
    <row r="218" spans="1:5" x14ac:dyDescent="0.2">
      <c r="A218">
        <v>9430000000000</v>
      </c>
      <c r="B218">
        <v>416869.38347033673</v>
      </c>
      <c r="C218">
        <v>9600</v>
      </c>
      <c r="D218">
        <v>37.551020408163261</v>
      </c>
      <c r="E218">
        <v>0</v>
      </c>
    </row>
    <row r="219" spans="1:5" x14ac:dyDescent="0.2">
      <c r="A219">
        <v>5540000000000</v>
      </c>
      <c r="B219">
        <v>354813.38923357555</v>
      </c>
      <c r="C219">
        <v>32200</v>
      </c>
      <c r="D219">
        <v>1.8448979591836732</v>
      </c>
      <c r="E219">
        <v>0</v>
      </c>
    </row>
    <row r="220" spans="1:5" x14ac:dyDescent="0.2">
      <c r="A220">
        <v>7320000000000</v>
      </c>
      <c r="B220">
        <v>301995.1720402019</v>
      </c>
      <c r="C220">
        <v>1850</v>
      </c>
      <c r="D220">
        <v>1.3551020408163266</v>
      </c>
      <c r="E220">
        <v>0</v>
      </c>
    </row>
    <row r="221" spans="1:5" x14ac:dyDescent="0.2">
      <c r="A221">
        <v>5270000000000</v>
      </c>
      <c r="B221">
        <v>13803.84264602889</v>
      </c>
      <c r="C221">
        <v>25600</v>
      </c>
      <c r="D221">
        <v>1.8857142857142855</v>
      </c>
      <c r="E221">
        <v>0.81399999999999995</v>
      </c>
    </row>
    <row r="222" spans="1:5" x14ac:dyDescent="0.2">
      <c r="A222">
        <v>7850000000000</v>
      </c>
      <c r="B222">
        <v>4168.6938347033583</v>
      </c>
      <c r="C222">
        <v>1840</v>
      </c>
      <c r="D222">
        <v>1.510204081632653</v>
      </c>
      <c r="E222">
        <v>0</v>
      </c>
    </row>
    <row r="223" spans="1:5" x14ac:dyDescent="0.2">
      <c r="A223">
        <v>8440000000000</v>
      </c>
      <c r="B223">
        <v>1288249.5516931389</v>
      </c>
      <c r="C223">
        <v>1040</v>
      </c>
      <c r="D223">
        <v>1.8775510204081631</v>
      </c>
      <c r="E223">
        <v>0</v>
      </c>
    </row>
    <row r="224" spans="1:5" x14ac:dyDescent="0.2">
      <c r="A224">
        <v>7810000000000</v>
      </c>
      <c r="B224">
        <v>151356.12484362084</v>
      </c>
      <c r="C224">
        <v>3600</v>
      </c>
      <c r="D224">
        <v>0.15265306122448979</v>
      </c>
      <c r="E224">
        <v>0</v>
      </c>
    </row>
    <row r="225" spans="1:5" x14ac:dyDescent="0.2">
      <c r="A225">
        <v>6060000000000</v>
      </c>
      <c r="B225">
        <v>1698243.6524617488</v>
      </c>
      <c r="C225">
        <v>14400</v>
      </c>
      <c r="D225">
        <v>1.5999999999999999</v>
      </c>
      <c r="E225">
        <v>0</v>
      </c>
    </row>
    <row r="226" spans="1:5" x14ac:dyDescent="0.2">
      <c r="A226">
        <v>6250000000000</v>
      </c>
      <c r="B226">
        <v>15848.931924611146</v>
      </c>
      <c r="C226">
        <v>7610</v>
      </c>
      <c r="D226">
        <v>3.1918367346938772</v>
      </c>
      <c r="E226">
        <v>1.84</v>
      </c>
    </row>
    <row r="227" spans="1:5" x14ac:dyDescent="0.2">
      <c r="A227">
        <v>6690000000000</v>
      </c>
      <c r="B227">
        <v>28840.315031266164</v>
      </c>
      <c r="C227">
        <v>9350</v>
      </c>
      <c r="D227">
        <v>9.7959183673469383E-2</v>
      </c>
      <c r="E227">
        <v>1740</v>
      </c>
    </row>
    <row r="228" spans="1:5" x14ac:dyDescent="0.2">
      <c r="A228">
        <v>5220000000000</v>
      </c>
      <c r="B228">
        <v>204173.79446695308</v>
      </c>
      <c r="C228">
        <v>1440</v>
      </c>
      <c r="D228">
        <v>97.142857142857125</v>
      </c>
      <c r="E228">
        <v>2070</v>
      </c>
    </row>
    <row r="229" spans="1:5" x14ac:dyDescent="0.2">
      <c r="A229">
        <v>3130000000000</v>
      </c>
      <c r="B229">
        <v>87096.358995608127</v>
      </c>
      <c r="C229">
        <v>5950000</v>
      </c>
      <c r="D229">
        <v>0.27673469387755101</v>
      </c>
      <c r="E229">
        <v>1550</v>
      </c>
    </row>
    <row r="230" spans="1:5" x14ac:dyDescent="0.2">
      <c r="A230">
        <v>2690000000000</v>
      </c>
      <c r="B230">
        <v>933254.30079699424</v>
      </c>
      <c r="C230">
        <v>2820000</v>
      </c>
      <c r="D230">
        <v>1.3142857142857143</v>
      </c>
      <c r="E230">
        <v>1030</v>
      </c>
    </row>
    <row r="231" spans="1:5" x14ac:dyDescent="0.2">
      <c r="A231">
        <v>3030000000000</v>
      </c>
      <c r="B231">
        <v>309029.54325135931</v>
      </c>
      <c r="C231">
        <v>21000000</v>
      </c>
      <c r="D231">
        <v>2.6530612244897958</v>
      </c>
      <c r="E231">
        <v>1060</v>
      </c>
    </row>
    <row r="232" spans="1:5" x14ac:dyDescent="0.2">
      <c r="A232">
        <v>3380000000000</v>
      </c>
      <c r="B232">
        <v>5370317.9637025446</v>
      </c>
      <c r="C232">
        <v>8480000</v>
      </c>
      <c r="D232">
        <v>0.41387755102040813</v>
      </c>
      <c r="E232">
        <v>539</v>
      </c>
    </row>
    <row r="233" spans="1:5" x14ac:dyDescent="0.2">
      <c r="A233">
        <v>3280000000000</v>
      </c>
      <c r="B233">
        <v>8511.3803820237626</v>
      </c>
      <c r="C233">
        <v>9510000</v>
      </c>
      <c r="D233">
        <v>0.26693877551020406</v>
      </c>
      <c r="E233">
        <v>431</v>
      </c>
    </row>
    <row r="234" spans="1:5" x14ac:dyDescent="0.2">
      <c r="A234">
        <v>27500000000000</v>
      </c>
      <c r="B234">
        <v>13489.628825916507</v>
      </c>
      <c r="C234">
        <v>41300000</v>
      </c>
      <c r="D234">
        <v>0.25469387755102041</v>
      </c>
      <c r="E234">
        <v>308</v>
      </c>
    </row>
    <row r="235" spans="1:5" x14ac:dyDescent="0.2">
      <c r="A235">
        <v>12600000000000</v>
      </c>
      <c r="B235">
        <v>22908.676527677751</v>
      </c>
      <c r="C235">
        <v>670000</v>
      </c>
      <c r="D235">
        <v>0.37061224489795913</v>
      </c>
      <c r="E235">
        <v>267</v>
      </c>
    </row>
    <row r="236" spans="1:5" x14ac:dyDescent="0.2">
      <c r="A236">
        <v>23500000000000</v>
      </c>
      <c r="B236">
        <v>6760.8297539198229</v>
      </c>
      <c r="C236">
        <v>12400000</v>
      </c>
      <c r="D236">
        <v>0.32571428571428568</v>
      </c>
      <c r="E236">
        <v>932</v>
      </c>
    </row>
    <row r="237" spans="1:5" x14ac:dyDescent="0.2">
      <c r="A237">
        <v>24800000000000</v>
      </c>
      <c r="B237">
        <v>5623.4132519034993</v>
      </c>
      <c r="C237">
        <v>52200000</v>
      </c>
      <c r="D237">
        <v>0.47428571428571425</v>
      </c>
      <c r="E237">
        <v>755</v>
      </c>
    </row>
    <row r="238" spans="1:5" x14ac:dyDescent="0.2">
      <c r="A238">
        <v>19500000000000</v>
      </c>
      <c r="B238">
        <v>12882.49551693136</v>
      </c>
      <c r="C238">
        <v>3650000</v>
      </c>
      <c r="D238">
        <v>5.1183673469387747</v>
      </c>
      <c r="E238">
        <v>874</v>
      </c>
    </row>
    <row r="239" spans="1:5" x14ac:dyDescent="0.2">
      <c r="A239">
        <v>24400000000000</v>
      </c>
      <c r="B239">
        <v>58884.365535558936</v>
      </c>
      <c r="C239">
        <v>31400000</v>
      </c>
      <c r="D239">
        <v>0.86530612244897953</v>
      </c>
      <c r="E239">
        <v>3520</v>
      </c>
    </row>
    <row r="240" spans="1:5" x14ac:dyDescent="0.2">
      <c r="A240">
        <v>18700000000000</v>
      </c>
      <c r="B240">
        <v>102329.2992280756</v>
      </c>
      <c r="C240">
        <v>1480000000</v>
      </c>
      <c r="D240">
        <v>0.36081632653061224</v>
      </c>
      <c r="E240">
        <v>2670</v>
      </c>
    </row>
    <row r="241" spans="1:5" x14ac:dyDescent="0.2">
      <c r="A241">
        <v>1340000000000</v>
      </c>
      <c r="B241">
        <v>316227.7660168382</v>
      </c>
      <c r="C241">
        <v>14300</v>
      </c>
      <c r="D241">
        <v>0.66612244897959183</v>
      </c>
      <c r="E241">
        <v>2300</v>
      </c>
    </row>
    <row r="242" spans="1:5" x14ac:dyDescent="0.2">
      <c r="A242">
        <v>1930000000000</v>
      </c>
      <c r="B242">
        <v>87096.358995608287</v>
      </c>
      <c r="C242">
        <v>154000000</v>
      </c>
      <c r="D242">
        <v>0.4620408163265306</v>
      </c>
      <c r="E242">
        <v>790</v>
      </c>
    </row>
    <row r="243" spans="1:5" x14ac:dyDescent="0.2">
      <c r="A243">
        <v>1890000000000</v>
      </c>
      <c r="B243">
        <v>154881.66189124816</v>
      </c>
      <c r="C243">
        <v>424000</v>
      </c>
      <c r="D243">
        <v>0.23510204081632652</v>
      </c>
      <c r="E243">
        <v>556</v>
      </c>
    </row>
    <row r="244" spans="1:5" x14ac:dyDescent="0.2">
      <c r="A244">
        <v>2450000000000</v>
      </c>
      <c r="B244">
        <v>229086.76527677738</v>
      </c>
      <c r="C244">
        <v>513000</v>
      </c>
      <c r="D244">
        <v>0.18938775510204081</v>
      </c>
      <c r="E244">
        <v>667</v>
      </c>
    </row>
    <row r="245" spans="1:5" x14ac:dyDescent="0.2">
      <c r="A245">
        <v>28100000000000</v>
      </c>
      <c r="B245">
        <v>177827.94100389251</v>
      </c>
      <c r="C245">
        <v>1120000</v>
      </c>
      <c r="D245">
        <v>0.71918367346938772</v>
      </c>
      <c r="E245">
        <v>106</v>
      </c>
    </row>
    <row r="246" spans="1:5" x14ac:dyDescent="0.2">
      <c r="A246">
        <v>22500000000000</v>
      </c>
      <c r="B246">
        <v>107151.93052376063</v>
      </c>
      <c r="C246">
        <v>81000000</v>
      </c>
      <c r="D246">
        <v>0.35428571428571426</v>
      </c>
      <c r="E246">
        <v>96.9</v>
      </c>
    </row>
    <row r="247" spans="1:5" x14ac:dyDescent="0.2">
      <c r="A247">
        <v>26100000000000</v>
      </c>
      <c r="B247">
        <v>107151.93052376063</v>
      </c>
      <c r="C247">
        <v>69400</v>
      </c>
      <c r="D247">
        <v>0.61795918367346936</v>
      </c>
      <c r="E247">
        <v>91.7</v>
      </c>
    </row>
    <row r="248" spans="1:5" x14ac:dyDescent="0.2">
      <c r="A248">
        <v>18500000000000</v>
      </c>
      <c r="B248">
        <v>245470.89156850349</v>
      </c>
      <c r="C248">
        <v>7640000</v>
      </c>
      <c r="D248">
        <v>1.6979591836734691</v>
      </c>
      <c r="E248">
        <v>108000</v>
      </c>
    </row>
    <row r="249" spans="1:5" x14ac:dyDescent="0.2">
      <c r="A249">
        <v>4760000000000</v>
      </c>
      <c r="B249">
        <v>109647.81961431887</v>
      </c>
      <c r="C249">
        <v>1200000</v>
      </c>
      <c r="D249">
        <v>0.3730612244897959</v>
      </c>
      <c r="E249">
        <v>111000</v>
      </c>
    </row>
    <row r="250" spans="1:5" x14ac:dyDescent="0.2">
      <c r="A250">
        <v>18500000000000</v>
      </c>
      <c r="B250">
        <v>954992.58602143743</v>
      </c>
      <c r="C250">
        <v>233000</v>
      </c>
      <c r="D250">
        <v>0.35673469387755097</v>
      </c>
      <c r="E250">
        <v>104000</v>
      </c>
    </row>
    <row r="251" spans="1:5" x14ac:dyDescent="0.2">
      <c r="A251">
        <v>19600000000000</v>
      </c>
      <c r="B251">
        <v>1412537.5446227542</v>
      </c>
      <c r="C251">
        <v>1310000</v>
      </c>
      <c r="D251">
        <v>5.8204081632653057</v>
      </c>
      <c r="E251">
        <v>15.5</v>
      </c>
    </row>
    <row r="252" spans="1:5" x14ac:dyDescent="0.2">
      <c r="A252">
        <v>23500000000000</v>
      </c>
      <c r="B252">
        <v>3715352.2909717364</v>
      </c>
      <c r="C252">
        <v>3850000</v>
      </c>
      <c r="D252">
        <v>336.32653061224488</v>
      </c>
      <c r="E252">
        <v>22.2</v>
      </c>
    </row>
    <row r="253" spans="1:5" x14ac:dyDescent="0.2">
      <c r="A253">
        <v>10700000000000</v>
      </c>
      <c r="B253">
        <v>295120.92266663938</v>
      </c>
      <c r="C253">
        <v>655000</v>
      </c>
      <c r="D253">
        <v>558.36734693877554</v>
      </c>
      <c r="E253">
        <v>12.4</v>
      </c>
    </row>
    <row r="254" spans="1:5" x14ac:dyDescent="0.2">
      <c r="A254">
        <v>6380000000000</v>
      </c>
      <c r="B254">
        <v>4466835.9215096412</v>
      </c>
      <c r="C254">
        <v>1410000</v>
      </c>
      <c r="D254">
        <v>6.33469387755102</v>
      </c>
      <c r="E254">
        <v>29.9</v>
      </c>
    </row>
    <row r="255" spans="1:5" x14ac:dyDescent="0.2">
      <c r="A255">
        <v>10800000000000</v>
      </c>
      <c r="B255">
        <v>537031.79637025192</v>
      </c>
      <c r="C255">
        <v>389000</v>
      </c>
      <c r="D255">
        <v>6.130612244897959</v>
      </c>
      <c r="E255">
        <v>31.6</v>
      </c>
    </row>
    <row r="256" spans="1:5" x14ac:dyDescent="0.2">
      <c r="A256">
        <v>14200000000000</v>
      </c>
      <c r="B256">
        <v>3019951.7204020224</v>
      </c>
      <c r="C256">
        <v>4020</v>
      </c>
      <c r="D256">
        <v>8.8979591836734695</v>
      </c>
      <c r="E256">
        <v>35.4</v>
      </c>
    </row>
    <row r="257" spans="1:5" x14ac:dyDescent="0.2">
      <c r="A257">
        <v>11400000000000</v>
      </c>
      <c r="B257">
        <v>6025595.8607436046</v>
      </c>
      <c r="C257">
        <v>455000</v>
      </c>
      <c r="D257">
        <v>5.8693877551020401</v>
      </c>
      <c r="E257">
        <v>7.93</v>
      </c>
    </row>
    <row r="258" spans="1:5" x14ac:dyDescent="0.2">
      <c r="A258">
        <v>27300000000000</v>
      </c>
      <c r="B258">
        <v>812830.51616409956</v>
      </c>
      <c r="C258">
        <v>1140000</v>
      </c>
      <c r="D258">
        <v>22.04081632653061</v>
      </c>
      <c r="E258">
        <v>14.5</v>
      </c>
    </row>
    <row r="259" spans="1:5" x14ac:dyDescent="0.2">
      <c r="A259">
        <v>25900000000000</v>
      </c>
      <c r="B259">
        <v>831763.77110267128</v>
      </c>
      <c r="C259">
        <v>5210000</v>
      </c>
      <c r="D259">
        <v>5.3306122448979583</v>
      </c>
      <c r="E259">
        <v>13.5</v>
      </c>
    </row>
    <row r="260" spans="1:5" x14ac:dyDescent="0.2">
      <c r="A260">
        <v>35100000000000</v>
      </c>
      <c r="B260">
        <v>4786300.9232263844</v>
      </c>
      <c r="C260">
        <v>1900000</v>
      </c>
      <c r="D260">
        <v>12.489795918367346</v>
      </c>
      <c r="E260">
        <v>18.100000000000001</v>
      </c>
    </row>
    <row r="261" spans="1:5" x14ac:dyDescent="0.2">
      <c r="A261">
        <v>4580000000000</v>
      </c>
      <c r="B261">
        <v>8317637.7110267216</v>
      </c>
      <c r="C261">
        <v>13800000</v>
      </c>
      <c r="D261">
        <v>6.4326530612244897</v>
      </c>
      <c r="E261">
        <v>15.1</v>
      </c>
    </row>
    <row r="262" spans="1:5" x14ac:dyDescent="0.2">
      <c r="A262">
        <v>3450000000000</v>
      </c>
      <c r="B262">
        <v>5370317.9637025446</v>
      </c>
      <c r="C262">
        <v>15500</v>
      </c>
      <c r="D262">
        <v>8.408163265306122</v>
      </c>
      <c r="E262">
        <v>31</v>
      </c>
    </row>
    <row r="263" spans="1:5" x14ac:dyDescent="0.2">
      <c r="A263">
        <v>4400000000000</v>
      </c>
      <c r="B263">
        <v>301995.1720402019</v>
      </c>
      <c r="C263">
        <v>38600</v>
      </c>
      <c r="D263">
        <v>7.779591836734693</v>
      </c>
      <c r="E263">
        <v>141</v>
      </c>
    </row>
    <row r="264" spans="1:5" x14ac:dyDescent="0.2">
      <c r="A264">
        <v>3260000000000</v>
      </c>
      <c r="B264">
        <v>87096.358995608127</v>
      </c>
      <c r="C264">
        <v>61400</v>
      </c>
      <c r="D264">
        <v>17.224489795918366</v>
      </c>
      <c r="E264">
        <v>106</v>
      </c>
    </row>
    <row r="265" spans="1:5" x14ac:dyDescent="0.2">
      <c r="A265">
        <v>10600000000000</v>
      </c>
      <c r="B265">
        <v>58884.365535559038</v>
      </c>
      <c r="C265">
        <v>1350000</v>
      </c>
      <c r="D265">
        <v>38.612244897959179</v>
      </c>
      <c r="E265">
        <v>153</v>
      </c>
    </row>
    <row r="266" spans="1:5" x14ac:dyDescent="0.2">
      <c r="A266">
        <v>22500000000000</v>
      </c>
      <c r="B266">
        <v>190546.07179632559</v>
      </c>
      <c r="C266">
        <v>266000</v>
      </c>
      <c r="D266">
        <v>11.918367346938775</v>
      </c>
      <c r="E266">
        <v>32.700000000000003</v>
      </c>
    </row>
    <row r="267" spans="1:5" x14ac:dyDescent="0.2">
      <c r="A267">
        <v>11900000000000</v>
      </c>
      <c r="B267">
        <v>85113.803820237721</v>
      </c>
      <c r="C267">
        <v>27200000</v>
      </c>
      <c r="D267">
        <v>7.3632653061224485</v>
      </c>
      <c r="E267">
        <v>11.3</v>
      </c>
    </row>
    <row r="268" spans="1:5" x14ac:dyDescent="0.2">
      <c r="A268">
        <v>17600000000000</v>
      </c>
      <c r="B268">
        <v>138038.42646028881</v>
      </c>
      <c r="C268">
        <v>1490000</v>
      </c>
      <c r="D268">
        <v>14.857142857142858</v>
      </c>
      <c r="E268">
        <v>29.5</v>
      </c>
    </row>
    <row r="269" spans="1:5" x14ac:dyDescent="0.2">
      <c r="A269">
        <v>6920000000000</v>
      </c>
      <c r="B269">
        <v>37153.522909717212</v>
      </c>
      <c r="C269">
        <v>803000</v>
      </c>
      <c r="D269">
        <v>10.857142857142858</v>
      </c>
      <c r="E269">
        <v>263000</v>
      </c>
    </row>
    <row r="270" spans="1:5" x14ac:dyDescent="0.2">
      <c r="A270">
        <v>7290000000000</v>
      </c>
      <c r="B270">
        <v>407380.27780411404</v>
      </c>
      <c r="C270">
        <v>8710000</v>
      </c>
      <c r="D270">
        <v>8.2448979591836729</v>
      </c>
      <c r="E270">
        <v>305000</v>
      </c>
    </row>
    <row r="271" spans="1:5" x14ac:dyDescent="0.2">
      <c r="A271">
        <v>9170000000000</v>
      </c>
      <c r="B271">
        <v>1023292.9922807553</v>
      </c>
      <c r="C271">
        <v>2710000</v>
      </c>
      <c r="D271">
        <v>7.1265306122448973</v>
      </c>
      <c r="E271">
        <v>245000</v>
      </c>
    </row>
    <row r="272" spans="1:5" x14ac:dyDescent="0.2">
      <c r="A272">
        <v>9140000000000</v>
      </c>
      <c r="B272">
        <v>162181.00973589328</v>
      </c>
      <c r="C272">
        <v>4560000</v>
      </c>
      <c r="D272">
        <v>11.510204081632653</v>
      </c>
      <c r="E272">
        <v>22.7</v>
      </c>
    </row>
    <row r="273" spans="1:5" x14ac:dyDescent="0.2">
      <c r="A273">
        <v>4070000000000</v>
      </c>
      <c r="B273">
        <v>5888436.5535558956</v>
      </c>
      <c r="C273">
        <v>24900000</v>
      </c>
      <c r="D273">
        <v>7.6734693877551017</v>
      </c>
      <c r="E273">
        <v>29.5</v>
      </c>
    </row>
    <row r="274" spans="1:5" x14ac:dyDescent="0.2">
      <c r="A274">
        <v>7850000000000</v>
      </c>
      <c r="B274">
        <v>14791083.881682059</v>
      </c>
      <c r="C274">
        <v>365000</v>
      </c>
      <c r="D274">
        <v>34.775510204081627</v>
      </c>
      <c r="E274">
        <v>11.6</v>
      </c>
    </row>
    <row r="275" spans="1:5" x14ac:dyDescent="0.2">
      <c r="A275">
        <v>7380000000000</v>
      </c>
      <c r="B275">
        <v>1819700.8586099846</v>
      </c>
      <c r="C275">
        <v>16300000</v>
      </c>
      <c r="D275">
        <v>9.7959183673469372</v>
      </c>
      <c r="E275">
        <v>18.899999999999999</v>
      </c>
    </row>
    <row r="276" spans="1:5" x14ac:dyDescent="0.2">
      <c r="A276">
        <v>4340000000000</v>
      </c>
      <c r="B276">
        <v>4168693.8347033495</v>
      </c>
      <c r="C276">
        <v>410000000</v>
      </c>
      <c r="D276">
        <v>11.346938775510203</v>
      </c>
      <c r="E276">
        <v>58.3</v>
      </c>
    </row>
    <row r="277" spans="1:5" x14ac:dyDescent="0.2">
      <c r="A277">
        <v>2720000000000</v>
      </c>
      <c r="B277">
        <v>8317637.7110267216</v>
      </c>
      <c r="C277">
        <v>7400</v>
      </c>
      <c r="D277">
        <v>17.469387755102037</v>
      </c>
      <c r="E277">
        <v>19.100000000000001</v>
      </c>
    </row>
    <row r="278" spans="1:5" x14ac:dyDescent="0.2">
      <c r="A278">
        <v>1850000000000</v>
      </c>
      <c r="B278">
        <v>2511886.4315095739</v>
      </c>
      <c r="C278">
        <v>135000000</v>
      </c>
      <c r="D278">
        <v>4.5877551020408164E-2</v>
      </c>
      <c r="E278">
        <v>375</v>
      </c>
    </row>
    <row r="279" spans="1:5" x14ac:dyDescent="0.2">
      <c r="A279">
        <v>3320000000000</v>
      </c>
      <c r="B279">
        <v>11748975.549395336</v>
      </c>
      <c r="C279">
        <v>48700</v>
      </c>
      <c r="D279">
        <v>52.244897959183668</v>
      </c>
      <c r="E279">
        <v>520</v>
      </c>
    </row>
    <row r="280" spans="1:5" x14ac:dyDescent="0.2">
      <c r="A280">
        <v>2470000000000</v>
      </c>
      <c r="B280">
        <v>13489628.825916575</v>
      </c>
      <c r="C280">
        <v>253000</v>
      </c>
      <c r="D280">
        <v>182.0408163265306</v>
      </c>
      <c r="E280">
        <v>279</v>
      </c>
    </row>
    <row r="281" spans="1:5" x14ac:dyDescent="0.2">
      <c r="A281">
        <v>64400000000000</v>
      </c>
      <c r="B281">
        <v>3388441.5613920367</v>
      </c>
      <c r="C281">
        <v>708000</v>
      </c>
      <c r="D281">
        <v>6.1959183673469392E-2</v>
      </c>
      <c r="E281">
        <v>1270</v>
      </c>
    </row>
    <row r="282" spans="1:5" x14ac:dyDescent="0.2">
      <c r="A282">
        <v>85100000000000</v>
      </c>
      <c r="B282">
        <v>7762471.1662869165</v>
      </c>
      <c r="C282">
        <v>26200000</v>
      </c>
      <c r="D282">
        <v>7.3387755102040819E-2</v>
      </c>
      <c r="E282">
        <v>561</v>
      </c>
    </row>
    <row r="283" spans="1:5" x14ac:dyDescent="0.2">
      <c r="A283">
        <v>67400000000000</v>
      </c>
      <c r="B283">
        <v>1047128.5480509007</v>
      </c>
      <c r="C283">
        <v>114000</v>
      </c>
      <c r="D283">
        <v>6.2612244897959177E-2</v>
      </c>
      <c r="E283">
        <v>423</v>
      </c>
    </row>
    <row r="284" spans="1:5" x14ac:dyDescent="0.2">
      <c r="A284">
        <v>92200000000000</v>
      </c>
      <c r="B284">
        <v>22908676.52767783</v>
      </c>
      <c r="C284">
        <v>3550000</v>
      </c>
      <c r="D284">
        <v>7.7551020408163251E-2</v>
      </c>
      <c r="E284">
        <v>429</v>
      </c>
    </row>
    <row r="285" spans="1:5" x14ac:dyDescent="0.2">
      <c r="A285">
        <v>5250000000000</v>
      </c>
      <c r="B285">
        <v>1995262.314968887</v>
      </c>
      <c r="C285">
        <v>841000</v>
      </c>
      <c r="D285">
        <v>0.17551020408163265</v>
      </c>
      <c r="E285">
        <v>117</v>
      </c>
    </row>
    <row r="286" spans="1:5" x14ac:dyDescent="0.2">
      <c r="A286">
        <v>5690000000000</v>
      </c>
      <c r="B286">
        <v>8709635.8995608483</v>
      </c>
      <c r="C286">
        <v>927000</v>
      </c>
      <c r="D286">
        <v>6.7591836734693878E-2</v>
      </c>
      <c r="E286">
        <v>131</v>
      </c>
    </row>
    <row r="287" spans="1:5" x14ac:dyDescent="0.2">
      <c r="A287">
        <v>5720000000000</v>
      </c>
      <c r="B287">
        <v>2511886.4315095828</v>
      </c>
      <c r="C287">
        <v>1570000</v>
      </c>
      <c r="D287">
        <v>0.1257142857142857</v>
      </c>
      <c r="E287">
        <v>6.05</v>
      </c>
    </row>
    <row r="288" spans="1:5" x14ac:dyDescent="0.2">
      <c r="A288">
        <v>5510000000000</v>
      </c>
      <c r="B288">
        <v>6025595.8607435944</v>
      </c>
      <c r="C288">
        <v>50200000</v>
      </c>
      <c r="D288">
        <v>6.2857142857142848E-2</v>
      </c>
      <c r="E288">
        <v>6.36</v>
      </c>
    </row>
    <row r="289" spans="1:5" x14ac:dyDescent="0.2">
      <c r="A289">
        <v>431000000000</v>
      </c>
      <c r="B289">
        <v>5623413.2519035079</v>
      </c>
      <c r="C289">
        <v>603000</v>
      </c>
      <c r="D289">
        <v>0.34857142857142853</v>
      </c>
      <c r="E289">
        <v>7.79</v>
      </c>
    </row>
    <row r="290" spans="1:5" x14ac:dyDescent="0.2">
      <c r="A290">
        <v>820000000000</v>
      </c>
      <c r="B290">
        <v>8128305.1616410045</v>
      </c>
      <c r="C290">
        <v>478000</v>
      </c>
      <c r="D290">
        <v>0.10530612244897958</v>
      </c>
      <c r="E290">
        <v>18100</v>
      </c>
    </row>
    <row r="291" spans="1:5" x14ac:dyDescent="0.2">
      <c r="A291">
        <v>808000000000</v>
      </c>
      <c r="B291">
        <v>2630267.9918953842</v>
      </c>
      <c r="C291">
        <v>130000</v>
      </c>
      <c r="D291">
        <v>0.11999999999999998</v>
      </c>
      <c r="E291">
        <v>12700</v>
      </c>
    </row>
    <row r="292" spans="1:5" x14ac:dyDescent="0.2">
      <c r="A292">
        <v>753000000000</v>
      </c>
      <c r="B292">
        <v>102329.29922807543</v>
      </c>
      <c r="C292">
        <v>5360</v>
      </c>
      <c r="D292">
        <v>0.39020408163265302</v>
      </c>
      <c r="E292">
        <v>14800</v>
      </c>
    </row>
    <row r="293" spans="1:5" x14ac:dyDescent="0.2">
      <c r="A293">
        <v>7780000000000</v>
      </c>
      <c r="B293">
        <v>128824.95516931328</v>
      </c>
      <c r="C293">
        <v>238000</v>
      </c>
      <c r="D293">
        <v>0.31265306122448977</v>
      </c>
      <c r="E293">
        <v>0</v>
      </c>
    </row>
    <row r="294" spans="1:5" x14ac:dyDescent="0.2">
      <c r="A294">
        <v>7660000000000</v>
      </c>
      <c r="B294">
        <v>117489.75549395311</v>
      </c>
      <c r="C294">
        <v>1100000</v>
      </c>
      <c r="D294">
        <v>0.23755102040816325</v>
      </c>
      <c r="E294">
        <v>0</v>
      </c>
    </row>
    <row r="295" spans="1:5" x14ac:dyDescent="0.2">
      <c r="A295">
        <v>7630000000000</v>
      </c>
      <c r="B295">
        <v>91201.083935591188</v>
      </c>
      <c r="C295">
        <v>198000</v>
      </c>
      <c r="D295">
        <v>0.21061224489795916</v>
      </c>
      <c r="E295">
        <v>0</v>
      </c>
    </row>
    <row r="296" spans="1:5" x14ac:dyDescent="0.2">
      <c r="A296">
        <v>7260000000000</v>
      </c>
      <c r="B296">
        <v>70794.578438413781</v>
      </c>
      <c r="C296">
        <v>525000</v>
      </c>
      <c r="D296">
        <v>0.15265306122448979</v>
      </c>
      <c r="E296">
        <v>5.63</v>
      </c>
    </row>
    <row r="297" spans="1:5" x14ac:dyDescent="0.2">
      <c r="A297">
        <v>1600000000000</v>
      </c>
      <c r="B297">
        <v>154881.66189124816</v>
      </c>
      <c r="C297">
        <v>2500000</v>
      </c>
      <c r="D297">
        <v>1.4693877551020407</v>
      </c>
      <c r="E297">
        <v>3.3</v>
      </c>
    </row>
    <row r="298" spans="1:5" x14ac:dyDescent="0.2">
      <c r="A298">
        <v>4430000000000</v>
      </c>
      <c r="B298">
        <v>169824.36524617439</v>
      </c>
      <c r="C298">
        <v>1490</v>
      </c>
      <c r="D298">
        <v>0.31265306122448977</v>
      </c>
      <c r="E298">
        <v>2.7</v>
      </c>
    </row>
    <row r="299" spans="1:5" x14ac:dyDescent="0.2">
      <c r="A299">
        <v>5020000000000</v>
      </c>
      <c r="B299">
        <v>331131.12148259248</v>
      </c>
      <c r="C299">
        <v>29200</v>
      </c>
      <c r="D299">
        <v>0.21306122448979589</v>
      </c>
      <c r="E299">
        <v>1.78</v>
      </c>
    </row>
    <row r="300" spans="1:5" x14ac:dyDescent="0.2">
      <c r="A300">
        <v>5580000000000</v>
      </c>
      <c r="B300">
        <v>812830.51616410096</v>
      </c>
      <c r="C300">
        <v>33500</v>
      </c>
      <c r="D300">
        <v>0.1551020408163265</v>
      </c>
      <c r="E300">
        <v>2.89</v>
      </c>
    </row>
    <row r="301" spans="1:5" x14ac:dyDescent="0.2">
      <c r="A301">
        <v>7550000000000</v>
      </c>
      <c r="B301">
        <v>2238721.1385683389</v>
      </c>
      <c r="C301">
        <v>523000</v>
      </c>
      <c r="D301">
        <v>0.13795918367346938</v>
      </c>
      <c r="E301">
        <v>1.9</v>
      </c>
    </row>
    <row r="302" spans="1:5" x14ac:dyDescent="0.2">
      <c r="A302">
        <v>6380000000000</v>
      </c>
      <c r="B302">
        <v>2290867.6527677723</v>
      </c>
      <c r="C302">
        <v>1250000</v>
      </c>
      <c r="D302">
        <v>0.18775510204081633</v>
      </c>
      <c r="E302">
        <v>5.08</v>
      </c>
    </row>
    <row r="303" spans="1:5" x14ac:dyDescent="0.2">
      <c r="A303">
        <v>7640000000000</v>
      </c>
      <c r="B303">
        <v>4168693.8347033495</v>
      </c>
      <c r="C303">
        <v>930000</v>
      </c>
      <c r="D303">
        <v>0.12653061224489795</v>
      </c>
      <c r="E303">
        <v>5.53</v>
      </c>
    </row>
    <row r="304" spans="1:5" x14ac:dyDescent="0.2">
      <c r="A304">
        <v>9610000000000</v>
      </c>
      <c r="B304">
        <v>2344228.8153199293</v>
      </c>
      <c r="C304">
        <v>970000</v>
      </c>
      <c r="D304">
        <v>0.11591836734693876</v>
      </c>
      <c r="E304">
        <v>9.18</v>
      </c>
    </row>
    <row r="305" spans="1:5" x14ac:dyDescent="0.2">
      <c r="A305">
        <v>1970000000000</v>
      </c>
      <c r="B305">
        <v>812830.51616410096</v>
      </c>
      <c r="C305">
        <v>733000</v>
      </c>
      <c r="D305">
        <v>237.55102040816325</v>
      </c>
      <c r="E305">
        <v>6.68</v>
      </c>
    </row>
    <row r="306" spans="1:5" x14ac:dyDescent="0.2">
      <c r="A306">
        <v>4710000000000</v>
      </c>
      <c r="B306">
        <v>1698243.6524617458</v>
      </c>
      <c r="C306">
        <v>1280000</v>
      </c>
      <c r="D306">
        <v>522.44897959183663</v>
      </c>
      <c r="E306">
        <v>3.43</v>
      </c>
    </row>
    <row r="307" spans="1:5" x14ac:dyDescent="0.2">
      <c r="A307">
        <v>3910000000000</v>
      </c>
      <c r="B307">
        <v>741310.24130091805</v>
      </c>
      <c r="C307">
        <v>147000</v>
      </c>
      <c r="D307">
        <v>676.73469387755097</v>
      </c>
      <c r="E307">
        <v>7.89</v>
      </c>
    </row>
    <row r="308" spans="1:5" x14ac:dyDescent="0.2">
      <c r="A308">
        <v>3480000000000</v>
      </c>
      <c r="B308">
        <v>2951209.2266663918</v>
      </c>
      <c r="C308">
        <v>7620000</v>
      </c>
      <c r="D308">
        <v>204.08163265306121</v>
      </c>
      <c r="E308">
        <v>10.6</v>
      </c>
    </row>
    <row r="309" spans="1:5" x14ac:dyDescent="0.2">
      <c r="A309">
        <v>4180000000000</v>
      </c>
      <c r="B309">
        <v>741310.24130092072</v>
      </c>
      <c r="C309">
        <v>49300000</v>
      </c>
      <c r="D309">
        <v>104.48979591836734</v>
      </c>
      <c r="E309">
        <v>5.28</v>
      </c>
    </row>
    <row r="310" spans="1:5" x14ac:dyDescent="0.2">
      <c r="A310">
        <v>4560000000000</v>
      </c>
      <c r="B310">
        <v>3890451.44994281</v>
      </c>
      <c r="C310">
        <v>1080000</v>
      </c>
      <c r="D310">
        <v>259.59183673469386</v>
      </c>
      <c r="E310">
        <v>11.2</v>
      </c>
    </row>
    <row r="311" spans="1:5" x14ac:dyDescent="0.2">
      <c r="A311">
        <v>4110000000000</v>
      </c>
      <c r="B311">
        <v>7413102.413009176</v>
      </c>
      <c r="C311">
        <v>2980000</v>
      </c>
      <c r="D311">
        <v>102.85714285714286</v>
      </c>
      <c r="E311">
        <v>74700</v>
      </c>
    </row>
    <row r="312" spans="1:5" x14ac:dyDescent="0.2">
      <c r="A312">
        <v>4840000000000</v>
      </c>
      <c r="B312">
        <v>11481536.214968869</v>
      </c>
      <c r="C312">
        <v>891000000</v>
      </c>
      <c r="D312">
        <v>126.53061224489794</v>
      </c>
      <c r="E312">
        <v>79200</v>
      </c>
    </row>
    <row r="313" spans="1:5" x14ac:dyDescent="0.2">
      <c r="A313">
        <v>3230000000000</v>
      </c>
      <c r="B313">
        <v>3630780.5477010245</v>
      </c>
      <c r="C313">
        <v>61600</v>
      </c>
      <c r="D313">
        <v>236.734693877551</v>
      </c>
      <c r="E313">
        <v>61900</v>
      </c>
    </row>
    <row r="314" spans="1:5" x14ac:dyDescent="0.2">
      <c r="A314">
        <v>5980000000000</v>
      </c>
      <c r="B314">
        <v>630957.34448019532</v>
      </c>
      <c r="C314">
        <v>1110000</v>
      </c>
      <c r="D314">
        <v>233.46938775510202</v>
      </c>
      <c r="E314">
        <v>20.100000000000001</v>
      </c>
    </row>
    <row r="315" spans="1:5" x14ac:dyDescent="0.2">
      <c r="A315">
        <v>4420000000000</v>
      </c>
      <c r="B315">
        <v>5248074.6024977155</v>
      </c>
      <c r="C315">
        <v>241000</v>
      </c>
      <c r="D315">
        <v>257.14285714285711</v>
      </c>
      <c r="E315">
        <v>28.8</v>
      </c>
    </row>
    <row r="316" spans="1:5" x14ac:dyDescent="0.2">
      <c r="A316">
        <v>5650000000000</v>
      </c>
      <c r="B316">
        <v>14454397.707459314</v>
      </c>
      <c r="C316">
        <v>661000</v>
      </c>
      <c r="D316">
        <v>213.87755102040813</v>
      </c>
      <c r="E316">
        <v>12.9</v>
      </c>
    </row>
    <row r="317" spans="1:5" x14ac:dyDescent="0.2">
      <c r="A317">
        <v>8070000000000</v>
      </c>
      <c r="B317">
        <v>17378008.287493788</v>
      </c>
      <c r="C317">
        <v>373000</v>
      </c>
      <c r="D317">
        <v>276.73469387755102</v>
      </c>
      <c r="E317">
        <v>7.35</v>
      </c>
    </row>
    <row r="318" spans="1:5" x14ac:dyDescent="0.2">
      <c r="A318">
        <v>11400000000000</v>
      </c>
      <c r="B318">
        <v>3162277.6601683907</v>
      </c>
      <c r="C318">
        <v>483000</v>
      </c>
      <c r="D318">
        <v>180.40816326530609</v>
      </c>
      <c r="E318">
        <v>7.87</v>
      </c>
    </row>
    <row r="319" spans="1:5" x14ac:dyDescent="0.2">
      <c r="A319">
        <v>11600000000000</v>
      </c>
      <c r="B319">
        <v>2290867.6527677723</v>
      </c>
      <c r="C319">
        <v>18600</v>
      </c>
      <c r="D319">
        <v>85.714285714285708</v>
      </c>
      <c r="E319">
        <v>6.17</v>
      </c>
    </row>
    <row r="320" spans="1:5" x14ac:dyDescent="0.2">
      <c r="A320">
        <v>9180000000000</v>
      </c>
      <c r="B320">
        <v>12022644.346174169</v>
      </c>
      <c r="C320">
        <v>620000</v>
      </c>
      <c r="D320">
        <v>243.26530612244898</v>
      </c>
      <c r="E320">
        <v>230</v>
      </c>
    </row>
    <row r="321" spans="1:5" x14ac:dyDescent="0.2">
      <c r="A321">
        <v>909000000000</v>
      </c>
      <c r="B321">
        <v>28183829.312644634</v>
      </c>
      <c r="C321">
        <v>306000</v>
      </c>
      <c r="D321">
        <v>274.28571428571428</v>
      </c>
      <c r="E321">
        <v>173</v>
      </c>
    </row>
    <row r="322" spans="1:5" x14ac:dyDescent="0.2">
      <c r="A322">
        <v>2430000000000</v>
      </c>
      <c r="B322">
        <v>16595869.074375641</v>
      </c>
      <c r="C322">
        <v>77000</v>
      </c>
      <c r="D322">
        <v>280</v>
      </c>
      <c r="E322">
        <v>161</v>
      </c>
    </row>
    <row r="323" spans="1:5" x14ac:dyDescent="0.2">
      <c r="A323">
        <v>3490000000000</v>
      </c>
      <c r="B323">
        <v>4365158.3224016698</v>
      </c>
      <c r="C323">
        <v>242000</v>
      </c>
      <c r="D323">
        <v>262.85714285714283</v>
      </c>
      <c r="E323">
        <v>178</v>
      </c>
    </row>
    <row r="324" spans="1:5" x14ac:dyDescent="0.2">
      <c r="A324">
        <v>2300000000000</v>
      </c>
      <c r="B324">
        <v>1584893.1924611125</v>
      </c>
      <c r="C324">
        <v>261000</v>
      </c>
      <c r="D324">
        <v>172.24489795918367</v>
      </c>
      <c r="E324">
        <v>130</v>
      </c>
    </row>
    <row r="325" spans="1:5" x14ac:dyDescent="0.2">
      <c r="A325">
        <v>3640000000000</v>
      </c>
      <c r="B325">
        <v>1258925.4117941677</v>
      </c>
      <c r="C325">
        <v>369000</v>
      </c>
      <c r="D325">
        <v>237.55102040816325</v>
      </c>
      <c r="E325">
        <v>114</v>
      </c>
    </row>
    <row r="326" spans="1:5" x14ac:dyDescent="0.2">
      <c r="A326">
        <v>4190000000000</v>
      </c>
      <c r="B326">
        <v>954992.58602143743</v>
      </c>
      <c r="C326">
        <v>118000</v>
      </c>
      <c r="D326">
        <v>206.53061224489795</v>
      </c>
      <c r="E326">
        <v>136</v>
      </c>
    </row>
    <row r="327" spans="1:5" x14ac:dyDescent="0.2">
      <c r="A327">
        <v>4250000000000</v>
      </c>
      <c r="B327">
        <v>501187.2336272744</v>
      </c>
      <c r="C327">
        <v>243000</v>
      </c>
      <c r="D327">
        <v>277.55102040816325</v>
      </c>
      <c r="E327">
        <v>133</v>
      </c>
    </row>
    <row r="328" spans="1:5" x14ac:dyDescent="0.2">
      <c r="A328">
        <v>4200000000000</v>
      </c>
      <c r="B328">
        <v>549540.87385762564</v>
      </c>
      <c r="C328">
        <v>2110</v>
      </c>
      <c r="D328">
        <v>0</v>
      </c>
      <c r="E328">
        <v>149</v>
      </c>
    </row>
    <row r="329" spans="1:5" x14ac:dyDescent="0.2">
      <c r="A329">
        <v>165000000000</v>
      </c>
      <c r="B329">
        <v>1202264.4346174158</v>
      </c>
      <c r="C329">
        <v>409000</v>
      </c>
      <c r="D329">
        <v>128.9795918367347</v>
      </c>
      <c r="E329">
        <v>4.3899999999999997</v>
      </c>
    </row>
    <row r="330" spans="1:5" x14ac:dyDescent="0.2">
      <c r="A330">
        <v>550000000000</v>
      </c>
      <c r="B330">
        <v>1698243.6524617458</v>
      </c>
      <c r="C330">
        <v>147000</v>
      </c>
      <c r="D330">
        <v>283.26530612244892</v>
      </c>
      <c r="E330">
        <v>5.03</v>
      </c>
    </row>
    <row r="331" spans="1:5" x14ac:dyDescent="0.2">
      <c r="A331">
        <v>383000000000</v>
      </c>
      <c r="B331">
        <v>12022644.346174169</v>
      </c>
      <c r="C331">
        <v>339000</v>
      </c>
      <c r="D331">
        <v>269.38775510204079</v>
      </c>
      <c r="E331">
        <v>6.28</v>
      </c>
    </row>
    <row r="332" spans="1:5" x14ac:dyDescent="0.2">
      <c r="A332">
        <v>358000000000</v>
      </c>
      <c r="B332">
        <v>5754399.373371576</v>
      </c>
      <c r="C332">
        <v>247000</v>
      </c>
      <c r="D332">
        <v>4.5551020408163261</v>
      </c>
      <c r="E332">
        <v>9470</v>
      </c>
    </row>
    <row r="333" spans="1:5" x14ac:dyDescent="0.2">
      <c r="A333">
        <v>1010000000000</v>
      </c>
      <c r="B333">
        <v>10964781.961431853</v>
      </c>
      <c r="C333">
        <v>824000</v>
      </c>
      <c r="D333">
        <v>20.816326530612244</v>
      </c>
      <c r="E333">
        <v>7310</v>
      </c>
    </row>
    <row r="334" spans="1:5" x14ac:dyDescent="0.2">
      <c r="A334">
        <v>1120000000000</v>
      </c>
      <c r="B334">
        <v>7585775.7502918513</v>
      </c>
      <c r="C334">
        <v>32800</v>
      </c>
      <c r="D334">
        <v>12.897959183673469</v>
      </c>
      <c r="E334">
        <v>6260</v>
      </c>
    </row>
    <row r="335" spans="1:5" x14ac:dyDescent="0.2">
      <c r="A335">
        <v>1090000000000</v>
      </c>
      <c r="B335">
        <v>6165950.0186148165</v>
      </c>
      <c r="C335">
        <v>23500</v>
      </c>
      <c r="D335">
        <v>0.946938775510204</v>
      </c>
      <c r="E335">
        <v>0</v>
      </c>
    </row>
    <row r="336" spans="1:5" x14ac:dyDescent="0.2">
      <c r="A336">
        <v>662000000000</v>
      </c>
      <c r="B336">
        <v>8912509.3813374974</v>
      </c>
      <c r="C336">
        <v>55100</v>
      </c>
      <c r="D336">
        <v>2.5959183673469388</v>
      </c>
      <c r="E336">
        <v>0</v>
      </c>
    </row>
    <row r="337" spans="1:5" x14ac:dyDescent="0.2">
      <c r="A337">
        <v>8960187672</v>
      </c>
      <c r="B337">
        <v>3019951.7204020224</v>
      </c>
      <c r="C337">
        <v>314000</v>
      </c>
      <c r="D337">
        <v>5.4285714285714288</v>
      </c>
      <c r="E337">
        <v>0</v>
      </c>
    </row>
    <row r="338" spans="1:5" x14ac:dyDescent="0.2">
      <c r="A338">
        <v>34327706578</v>
      </c>
      <c r="B338">
        <v>4265795.188015922</v>
      </c>
      <c r="C338">
        <v>1090000</v>
      </c>
      <c r="D338">
        <v>0.24653061224489795</v>
      </c>
      <c r="E338">
        <v>3.44</v>
      </c>
    </row>
    <row r="339" spans="1:5" x14ac:dyDescent="0.2">
      <c r="A339">
        <v>31500000000000</v>
      </c>
      <c r="B339">
        <v>1737800.8287493738</v>
      </c>
      <c r="C339">
        <v>707000</v>
      </c>
      <c r="D339">
        <v>1.0612244897959182</v>
      </c>
      <c r="E339">
        <v>3.39</v>
      </c>
    </row>
    <row r="340" spans="1:5" x14ac:dyDescent="0.2">
      <c r="A340">
        <v>13900000000000</v>
      </c>
      <c r="B340">
        <v>5370317.9637025446</v>
      </c>
      <c r="C340">
        <v>292000</v>
      </c>
      <c r="D340">
        <v>108.57142857142857</v>
      </c>
      <c r="E340">
        <v>3.48</v>
      </c>
    </row>
    <row r="341" spans="1:5" x14ac:dyDescent="0.2">
      <c r="A341">
        <v>897000000000</v>
      </c>
      <c r="B341">
        <v>6456542.2903465712</v>
      </c>
      <c r="C341">
        <v>761000</v>
      </c>
      <c r="D341">
        <v>25.142857142857142</v>
      </c>
      <c r="E341">
        <v>4.93</v>
      </c>
    </row>
    <row r="342" spans="1:5" x14ac:dyDescent="0.2">
      <c r="A342">
        <v>756000000000</v>
      </c>
      <c r="B342">
        <v>50118723.362727284</v>
      </c>
      <c r="C342">
        <v>14400000</v>
      </c>
      <c r="D342">
        <v>2.9306122448979592</v>
      </c>
      <c r="E342">
        <v>6.92</v>
      </c>
    </row>
    <row r="343" spans="1:5" x14ac:dyDescent="0.2">
      <c r="A343">
        <v>1420000000000</v>
      </c>
      <c r="B343">
        <v>3162277.6601683851</v>
      </c>
      <c r="C343">
        <v>284000</v>
      </c>
      <c r="D343">
        <v>4.6938775510204076</v>
      </c>
      <c r="E343">
        <v>7.06</v>
      </c>
    </row>
    <row r="344" spans="1:5" x14ac:dyDescent="0.2">
      <c r="A344">
        <v>859000000000</v>
      </c>
      <c r="B344">
        <v>17378.008287493791</v>
      </c>
      <c r="C344">
        <v>1400000</v>
      </c>
      <c r="D344">
        <v>2.1714285714285713</v>
      </c>
      <c r="E344">
        <v>13</v>
      </c>
    </row>
    <row r="345" spans="1:5" x14ac:dyDescent="0.2">
      <c r="A345">
        <v>841000000000</v>
      </c>
      <c r="B345">
        <v>6456.5422903465724</v>
      </c>
      <c r="C345">
        <v>17000000</v>
      </c>
      <c r="D345">
        <v>0.52653061224489794</v>
      </c>
      <c r="E345">
        <v>11.6</v>
      </c>
    </row>
    <row r="346" spans="1:5" x14ac:dyDescent="0.2">
      <c r="A346">
        <v>681000000000</v>
      </c>
      <c r="B346">
        <v>758.57757502918241</v>
      </c>
      <c r="C346">
        <v>2880000</v>
      </c>
      <c r="D346">
        <v>2.824489795918367</v>
      </c>
      <c r="E346">
        <v>14.5</v>
      </c>
    </row>
    <row r="347" spans="1:5" x14ac:dyDescent="0.2">
      <c r="A347">
        <v>6130000000000</v>
      </c>
      <c r="B347">
        <v>16218.100973589339</v>
      </c>
      <c r="C347">
        <v>746000</v>
      </c>
      <c r="D347">
        <v>16.816326530612244</v>
      </c>
      <c r="E347">
        <v>23</v>
      </c>
    </row>
    <row r="348" spans="1:5" x14ac:dyDescent="0.2">
      <c r="A348">
        <v>1620000000000</v>
      </c>
      <c r="B348">
        <v>14125.375446227536</v>
      </c>
      <c r="C348">
        <v>603000000</v>
      </c>
      <c r="D348">
        <v>1.510204081632653</v>
      </c>
      <c r="E348">
        <v>13</v>
      </c>
    </row>
    <row r="349" spans="1:5" x14ac:dyDescent="0.2">
      <c r="A349">
        <v>191000000000</v>
      </c>
      <c r="B349">
        <v>28840.315031266062</v>
      </c>
      <c r="C349">
        <v>7060</v>
      </c>
      <c r="D349">
        <v>5.1183673469387747</v>
      </c>
      <c r="E349">
        <v>21.6</v>
      </c>
    </row>
    <row r="350" spans="1:5" x14ac:dyDescent="0.2">
      <c r="A350">
        <v>168000000000</v>
      </c>
      <c r="B350">
        <v>15848.931924611146</v>
      </c>
      <c r="C350">
        <v>56200</v>
      </c>
      <c r="D350">
        <v>3.50204081632653</v>
      </c>
      <c r="E350">
        <v>16.600000000000001</v>
      </c>
    </row>
    <row r="351" spans="1:5" x14ac:dyDescent="0.2">
      <c r="A351">
        <v>291000000000</v>
      </c>
      <c r="B351">
        <v>34673.685045253136</v>
      </c>
      <c r="C351">
        <v>10300</v>
      </c>
      <c r="D351">
        <v>46.448979591836732</v>
      </c>
      <c r="E351">
        <v>8.0500000000000007</v>
      </c>
    </row>
    <row r="352" spans="1:5" x14ac:dyDescent="0.2">
      <c r="A352">
        <v>437000000000</v>
      </c>
      <c r="B352">
        <v>13182.567385564067</v>
      </c>
      <c r="C352">
        <v>465000</v>
      </c>
      <c r="D352">
        <v>8.3265306122448965</v>
      </c>
      <c r="E352">
        <v>15.8</v>
      </c>
    </row>
    <row r="353" spans="1:5" x14ac:dyDescent="0.2">
      <c r="A353">
        <v>604000000000</v>
      </c>
      <c r="B353">
        <v>9332.5430079699381</v>
      </c>
      <c r="C353">
        <v>1740000</v>
      </c>
      <c r="D353">
        <v>2.0326530612244897</v>
      </c>
      <c r="E353">
        <v>16400</v>
      </c>
    </row>
    <row r="354" spans="1:5" x14ac:dyDescent="0.2">
      <c r="A354">
        <v>690000000000</v>
      </c>
      <c r="B354">
        <v>12589.254117941693</v>
      </c>
      <c r="C354">
        <v>486000</v>
      </c>
      <c r="D354">
        <v>1.7061224489795919</v>
      </c>
      <c r="E354">
        <v>18800</v>
      </c>
    </row>
    <row r="355" spans="1:5" x14ac:dyDescent="0.2">
      <c r="A355">
        <v>3420000000000</v>
      </c>
      <c r="B355">
        <v>3019.9517204020176</v>
      </c>
      <c r="C355">
        <v>126000</v>
      </c>
      <c r="D355">
        <v>0.82448979591836724</v>
      </c>
      <c r="E355">
        <v>16400</v>
      </c>
    </row>
    <row r="356" spans="1:5" x14ac:dyDescent="0.2">
      <c r="A356">
        <v>440000000000</v>
      </c>
      <c r="B356">
        <v>48977.881936844686</v>
      </c>
      <c r="C356">
        <v>400000</v>
      </c>
      <c r="D356">
        <v>2.5306122448979589</v>
      </c>
      <c r="E356">
        <v>35.1</v>
      </c>
    </row>
    <row r="357" spans="1:5" x14ac:dyDescent="0.2">
      <c r="A357">
        <v>0</v>
      </c>
      <c r="B357">
        <v>19952.623149688792</v>
      </c>
      <c r="C357">
        <v>818000</v>
      </c>
      <c r="D357">
        <v>0.88979591836734684</v>
      </c>
      <c r="E357">
        <v>38.6</v>
      </c>
    </row>
    <row r="358" spans="1:5" x14ac:dyDescent="0.2">
      <c r="A358">
        <v>0</v>
      </c>
      <c r="B358">
        <v>489778.81936844828</v>
      </c>
      <c r="C358">
        <v>151000</v>
      </c>
      <c r="D358">
        <v>4.6285714285714281</v>
      </c>
      <c r="E358">
        <v>18</v>
      </c>
    </row>
    <row r="359" spans="1:5" x14ac:dyDescent="0.2">
      <c r="A359">
        <v>0</v>
      </c>
      <c r="B359">
        <v>457088.18961487547</v>
      </c>
      <c r="C359">
        <v>143000</v>
      </c>
      <c r="D359">
        <v>323.26530612244892</v>
      </c>
      <c r="E359">
        <v>11.5</v>
      </c>
    </row>
    <row r="360" spans="1:5" x14ac:dyDescent="0.2">
      <c r="A360">
        <v>0</v>
      </c>
      <c r="B360">
        <v>27542.287033381719</v>
      </c>
      <c r="C360">
        <v>4500000</v>
      </c>
      <c r="D360">
        <v>120.81632653061223</v>
      </c>
      <c r="E360">
        <v>12.6</v>
      </c>
    </row>
    <row r="361" spans="1:5" x14ac:dyDescent="0.2">
      <c r="A361">
        <v>505000000000</v>
      </c>
      <c r="B361">
        <v>436515.83224016649</v>
      </c>
      <c r="C361">
        <v>1070000</v>
      </c>
      <c r="D361">
        <v>170.61224489795916</v>
      </c>
      <c r="E361">
        <v>10.7</v>
      </c>
    </row>
    <row r="362" spans="1:5" x14ac:dyDescent="0.2">
      <c r="A362">
        <v>654000000000</v>
      </c>
      <c r="B362">
        <v>478630.09232263872</v>
      </c>
      <c r="C362">
        <v>547000</v>
      </c>
      <c r="D362">
        <v>60.08163265306122</v>
      </c>
      <c r="E362">
        <v>349</v>
      </c>
    </row>
    <row r="363" spans="1:5" x14ac:dyDescent="0.2">
      <c r="A363">
        <v>1090000000000</v>
      </c>
      <c r="B363">
        <v>128824.95516931375</v>
      </c>
      <c r="C363">
        <v>199000</v>
      </c>
      <c r="D363">
        <v>26.857142857142854</v>
      </c>
      <c r="E363">
        <v>285</v>
      </c>
    </row>
    <row r="364" spans="1:5" x14ac:dyDescent="0.2">
      <c r="A364">
        <v>625000000000</v>
      </c>
      <c r="B364">
        <v>269153.48039269145</v>
      </c>
      <c r="C364">
        <v>2600</v>
      </c>
      <c r="D364">
        <v>39.346938775510196</v>
      </c>
      <c r="E364">
        <v>232</v>
      </c>
    </row>
    <row r="365" spans="1:5" x14ac:dyDescent="0.2">
      <c r="A365">
        <v>214000000000</v>
      </c>
      <c r="B365">
        <v>10964.781961431836</v>
      </c>
      <c r="C365">
        <v>332000</v>
      </c>
      <c r="D365">
        <v>178.77551020408163</v>
      </c>
      <c r="E365">
        <v>2420</v>
      </c>
    </row>
    <row r="366" spans="1:5" x14ac:dyDescent="0.2">
      <c r="A366">
        <v>235000000000</v>
      </c>
      <c r="B366">
        <v>181970.08586099857</v>
      </c>
      <c r="C366">
        <v>88500</v>
      </c>
      <c r="D366">
        <v>155.91836734693877</v>
      </c>
      <c r="E366">
        <v>1080</v>
      </c>
    </row>
    <row r="367" spans="1:5" x14ac:dyDescent="0.2">
      <c r="A367">
        <v>1040000000000</v>
      </c>
      <c r="B367">
        <v>14791.083881682089</v>
      </c>
      <c r="C367">
        <v>179000</v>
      </c>
      <c r="D367">
        <v>68.897959183673464</v>
      </c>
      <c r="E367">
        <v>944</v>
      </c>
    </row>
    <row r="368" spans="1:5" x14ac:dyDescent="0.2">
      <c r="A368">
        <v>386000000000</v>
      </c>
      <c r="B368">
        <v>537031.7963702539</v>
      </c>
      <c r="C368">
        <v>125000</v>
      </c>
      <c r="D368">
        <v>391.83673469387753</v>
      </c>
      <c r="E368">
        <v>168</v>
      </c>
    </row>
    <row r="369" spans="1:5" x14ac:dyDescent="0.2">
      <c r="A369">
        <v>295000000000</v>
      </c>
      <c r="B369">
        <v>851138.0382023782</v>
      </c>
      <c r="C369">
        <v>17800000</v>
      </c>
      <c r="D369">
        <v>360</v>
      </c>
      <c r="E369">
        <v>137</v>
      </c>
    </row>
    <row r="370" spans="1:5" x14ac:dyDescent="0.2">
      <c r="A370">
        <v>503000000000</v>
      </c>
      <c r="B370">
        <v>194984.45997580438</v>
      </c>
      <c r="C370">
        <v>7260</v>
      </c>
      <c r="D370">
        <v>215.51020408163262</v>
      </c>
      <c r="E370">
        <v>168</v>
      </c>
    </row>
    <row r="371" spans="1:5" x14ac:dyDescent="0.2">
      <c r="A371">
        <v>212000000000</v>
      </c>
      <c r="B371">
        <v>13489.628825916579</v>
      </c>
      <c r="C371">
        <v>7200</v>
      </c>
      <c r="D371">
        <v>296.32653061224488</v>
      </c>
      <c r="E371">
        <v>4.83</v>
      </c>
    </row>
    <row r="372" spans="1:5" x14ac:dyDescent="0.2">
      <c r="A372">
        <v>95661938275</v>
      </c>
      <c r="B372">
        <v>74131.024130091857</v>
      </c>
      <c r="C372">
        <v>47900</v>
      </c>
      <c r="D372">
        <v>295.51020408163259</v>
      </c>
      <c r="E372">
        <v>4.38</v>
      </c>
    </row>
    <row r="373" spans="1:5" x14ac:dyDescent="0.2">
      <c r="A373">
        <v>249000000000</v>
      </c>
      <c r="B373">
        <v>208929.61308540447</v>
      </c>
      <c r="C373">
        <v>2690000</v>
      </c>
      <c r="D373">
        <v>193.46938775510202</v>
      </c>
      <c r="E373">
        <v>3.9</v>
      </c>
    </row>
    <row r="374" spans="1:5" x14ac:dyDescent="0.2">
      <c r="A374">
        <v>89612514981</v>
      </c>
      <c r="B374">
        <v>3388.4415613920378</v>
      </c>
      <c r="C374">
        <v>1290000</v>
      </c>
      <c r="D374">
        <v>473.46938775510199</v>
      </c>
      <c r="E374">
        <v>24700</v>
      </c>
    </row>
    <row r="375" spans="1:5" x14ac:dyDescent="0.2">
      <c r="A375">
        <v>109000000000</v>
      </c>
      <c r="B375">
        <v>5011.8723362727151</v>
      </c>
      <c r="C375">
        <v>16500000</v>
      </c>
      <c r="D375">
        <v>623.67346938775506</v>
      </c>
      <c r="E375">
        <v>18600</v>
      </c>
    </row>
    <row r="376" spans="1:5" x14ac:dyDescent="0.2">
      <c r="A376">
        <v>210000000000</v>
      </c>
      <c r="B376">
        <v>4677.3514128719844</v>
      </c>
      <c r="C376">
        <v>4220000</v>
      </c>
      <c r="D376">
        <v>848.9795918367347</v>
      </c>
      <c r="E376">
        <v>18700</v>
      </c>
    </row>
    <row r="377" spans="1:5" x14ac:dyDescent="0.2">
      <c r="A377">
        <v>1750000000000</v>
      </c>
      <c r="B377">
        <v>6456.5422903465724</v>
      </c>
      <c r="C377">
        <v>927000</v>
      </c>
      <c r="D377">
        <v>447.34693877551018</v>
      </c>
      <c r="E377">
        <v>0</v>
      </c>
    </row>
    <row r="378" spans="1:5" x14ac:dyDescent="0.2">
      <c r="A378">
        <v>1060000000000</v>
      </c>
      <c r="B378">
        <v>2691.5348039269161</v>
      </c>
      <c r="C378">
        <v>2810000</v>
      </c>
      <c r="D378">
        <v>407.34693877551018</v>
      </c>
      <c r="E378">
        <v>0</v>
      </c>
    </row>
    <row r="379" spans="1:5" x14ac:dyDescent="0.2">
      <c r="A379">
        <v>411000000000</v>
      </c>
      <c r="B379">
        <v>30199.517204020212</v>
      </c>
      <c r="C379">
        <v>1890000</v>
      </c>
      <c r="D379">
        <v>438.36734693877548</v>
      </c>
      <c r="E379">
        <v>0</v>
      </c>
    </row>
    <row r="380" spans="1:5" x14ac:dyDescent="0.2">
      <c r="A380">
        <v>724000000000</v>
      </c>
      <c r="B380">
        <v>26302.679918953781</v>
      </c>
      <c r="C380">
        <v>14900000</v>
      </c>
      <c r="D380">
        <v>373.0612244897959</v>
      </c>
      <c r="E380">
        <v>4.34</v>
      </c>
    </row>
    <row r="381" spans="1:5" x14ac:dyDescent="0.2">
      <c r="A381">
        <v>5010000000000</v>
      </c>
      <c r="B381">
        <v>26302.679918953781</v>
      </c>
      <c r="C381">
        <v>29900000</v>
      </c>
      <c r="D381">
        <v>306.12244897959181</v>
      </c>
      <c r="E381">
        <v>3.89</v>
      </c>
    </row>
    <row r="382" spans="1:5" x14ac:dyDescent="0.2">
      <c r="A382">
        <v>5550000000000</v>
      </c>
      <c r="B382">
        <v>70794.578438413911</v>
      </c>
      <c r="C382">
        <v>831000</v>
      </c>
      <c r="D382">
        <v>189.38775510204079</v>
      </c>
      <c r="E382">
        <v>3.09</v>
      </c>
    </row>
    <row r="383" spans="1:5" x14ac:dyDescent="0.2">
      <c r="A383">
        <v>5300000000000</v>
      </c>
      <c r="B383">
        <v>45708.818961487581</v>
      </c>
      <c r="C383">
        <v>28200000</v>
      </c>
      <c r="D383">
        <v>106.93877551020407</v>
      </c>
      <c r="E383">
        <v>1.33</v>
      </c>
    </row>
    <row r="384" spans="1:5" x14ac:dyDescent="0.2">
      <c r="A384">
        <v>4970000000000</v>
      </c>
      <c r="B384">
        <v>218776.16239495538</v>
      </c>
      <c r="C384">
        <v>517000000</v>
      </c>
      <c r="D384">
        <v>512.65306122448976</v>
      </c>
      <c r="E384">
        <v>1.73</v>
      </c>
    </row>
    <row r="385" spans="1:5" x14ac:dyDescent="0.2">
      <c r="A385">
        <v>1570000000000</v>
      </c>
      <c r="B385">
        <v>21877.61623949555</v>
      </c>
      <c r="C385">
        <v>32400</v>
      </c>
      <c r="D385">
        <v>613.0612244897959</v>
      </c>
      <c r="E385">
        <v>1.59</v>
      </c>
    </row>
    <row r="386" spans="1:5" x14ac:dyDescent="0.2">
      <c r="A386">
        <v>1740000000000</v>
      </c>
      <c r="B386">
        <v>128824.95516931328</v>
      </c>
      <c r="C386">
        <v>29400000</v>
      </c>
      <c r="D386">
        <v>1.240816326530612</v>
      </c>
      <c r="E386">
        <v>3.85</v>
      </c>
    </row>
    <row r="387" spans="1:5" x14ac:dyDescent="0.2">
      <c r="A387">
        <v>2740000000000</v>
      </c>
      <c r="B387">
        <v>169824.36524617471</v>
      </c>
      <c r="C387">
        <v>45000</v>
      </c>
      <c r="D387">
        <v>248.97959183673467</v>
      </c>
      <c r="E387">
        <v>5.95</v>
      </c>
    </row>
    <row r="388" spans="1:5" x14ac:dyDescent="0.2">
      <c r="A388">
        <v>2030000000000</v>
      </c>
      <c r="B388">
        <v>162181.00973589328</v>
      </c>
      <c r="C388">
        <v>370000</v>
      </c>
      <c r="D388">
        <v>298.77551020408157</v>
      </c>
      <c r="E388">
        <v>7.25</v>
      </c>
    </row>
    <row r="389" spans="1:5" x14ac:dyDescent="0.2">
      <c r="A389">
        <v>10600000000000</v>
      </c>
      <c r="B389">
        <v>338844.15613920329</v>
      </c>
      <c r="C389">
        <v>271000</v>
      </c>
      <c r="D389">
        <v>0.53551020408163263</v>
      </c>
      <c r="E389">
        <v>6.49</v>
      </c>
    </row>
    <row r="390" spans="1:5" x14ac:dyDescent="0.2">
      <c r="A390">
        <v>10600000000000</v>
      </c>
      <c r="B390">
        <v>1862087.1366628683</v>
      </c>
      <c r="C390">
        <v>2340000</v>
      </c>
      <c r="D390">
        <v>1.2081632653061225</v>
      </c>
      <c r="E390">
        <v>3.8</v>
      </c>
    </row>
    <row r="391" spans="1:5" x14ac:dyDescent="0.2">
      <c r="A391">
        <v>6790000000000</v>
      </c>
      <c r="B391">
        <v>1318256.7385564074</v>
      </c>
      <c r="C391">
        <v>80400</v>
      </c>
      <c r="D391">
        <v>0.44979591836734695</v>
      </c>
      <c r="E391">
        <v>7.78</v>
      </c>
    </row>
    <row r="392" spans="1:5" x14ac:dyDescent="0.2">
      <c r="A392">
        <v>10900000000000</v>
      </c>
      <c r="B392">
        <v>1698243.6524617488</v>
      </c>
      <c r="C392">
        <v>6500000</v>
      </c>
      <c r="D392">
        <v>0.23591836734693877</v>
      </c>
      <c r="E392">
        <v>4.92</v>
      </c>
    </row>
    <row r="393" spans="1:5" x14ac:dyDescent="0.2">
      <c r="A393">
        <v>2540000000000</v>
      </c>
      <c r="B393">
        <v>954992.58602143743</v>
      </c>
      <c r="C393">
        <v>406000</v>
      </c>
      <c r="D393">
        <v>1.0040816326530613</v>
      </c>
      <c r="E393">
        <v>2.36</v>
      </c>
    </row>
    <row r="394" spans="1:5" x14ac:dyDescent="0.2">
      <c r="A394">
        <v>3570000000000</v>
      </c>
      <c r="B394">
        <v>138038.42646028858</v>
      </c>
      <c r="C394">
        <v>343000</v>
      </c>
      <c r="D394">
        <v>0.43755102040816324</v>
      </c>
      <c r="E394">
        <v>5.93</v>
      </c>
    </row>
    <row r="395" spans="1:5" x14ac:dyDescent="0.2">
      <c r="A395">
        <v>2850000000000</v>
      </c>
      <c r="B395">
        <v>204173.79446695346</v>
      </c>
      <c r="C395">
        <v>396000</v>
      </c>
      <c r="D395">
        <v>3.3959183673469382</v>
      </c>
      <c r="E395">
        <v>50900</v>
      </c>
    </row>
    <row r="396" spans="1:5" x14ac:dyDescent="0.2">
      <c r="A396">
        <v>3170000000000</v>
      </c>
      <c r="B396">
        <v>2041737.9446695333</v>
      </c>
      <c r="C396">
        <v>45400000</v>
      </c>
      <c r="D396">
        <v>2.1387755102040815</v>
      </c>
      <c r="E396">
        <v>61400</v>
      </c>
    </row>
    <row r="397" spans="1:5" x14ac:dyDescent="0.2">
      <c r="A397">
        <v>1190000000000</v>
      </c>
      <c r="B397">
        <v>616595.00186148426</v>
      </c>
      <c r="C397">
        <v>219000</v>
      </c>
      <c r="D397">
        <v>2.7020408163265306</v>
      </c>
      <c r="E397">
        <v>44200</v>
      </c>
    </row>
    <row r="398" spans="1:5" x14ac:dyDescent="0.2">
      <c r="A398">
        <v>839000000000</v>
      </c>
      <c r="B398">
        <v>114815.36214968823</v>
      </c>
      <c r="C398">
        <v>387000</v>
      </c>
      <c r="D398">
        <v>0.12408163265306121</v>
      </c>
      <c r="E398">
        <v>7.66</v>
      </c>
    </row>
    <row r="399" spans="1:5" x14ac:dyDescent="0.2">
      <c r="A399">
        <v>842000000000</v>
      </c>
      <c r="B399">
        <v>588843.65535558888</v>
      </c>
      <c r="C399">
        <v>774000</v>
      </c>
      <c r="D399">
        <v>2.9877551020408157</v>
      </c>
      <c r="E399">
        <v>5.93</v>
      </c>
    </row>
    <row r="400" spans="1:5" x14ac:dyDescent="0.2">
      <c r="A400">
        <v>1370000000000</v>
      </c>
      <c r="B400">
        <v>13100</v>
      </c>
      <c r="C400">
        <v>2520</v>
      </c>
      <c r="D400">
        <v>3.1510204081632649</v>
      </c>
      <c r="E400">
        <v>4.5199999999999996</v>
      </c>
    </row>
    <row r="401" spans="1:5" x14ac:dyDescent="0.2">
      <c r="A401">
        <v>2230000000000</v>
      </c>
      <c r="B401">
        <v>73500</v>
      </c>
      <c r="C401">
        <v>164000</v>
      </c>
      <c r="D401">
        <v>6.4408163265306122</v>
      </c>
      <c r="E401">
        <v>3.38</v>
      </c>
    </row>
    <row r="402" spans="1:5" x14ac:dyDescent="0.2">
      <c r="A402">
        <v>2300000000000</v>
      </c>
      <c r="B402">
        <v>29700</v>
      </c>
      <c r="C402">
        <v>657000</v>
      </c>
      <c r="D402">
        <v>27.346938775510203</v>
      </c>
      <c r="E402">
        <v>2.7</v>
      </c>
    </row>
    <row r="403" spans="1:5" x14ac:dyDescent="0.2">
      <c r="A403">
        <v>2010000000000</v>
      </c>
      <c r="B403">
        <v>43600</v>
      </c>
      <c r="C403">
        <v>672000</v>
      </c>
      <c r="D403">
        <v>12.408163265306122</v>
      </c>
      <c r="E403">
        <v>1.25</v>
      </c>
    </row>
    <row r="404" spans="1:5" x14ac:dyDescent="0.2">
      <c r="A404">
        <v>1710000000000</v>
      </c>
      <c r="B404">
        <v>63900</v>
      </c>
      <c r="C404">
        <v>239000</v>
      </c>
      <c r="D404">
        <v>9.7959183673469372</v>
      </c>
      <c r="E404">
        <v>6.39</v>
      </c>
    </row>
    <row r="405" spans="1:5" x14ac:dyDescent="0.2">
      <c r="A405">
        <v>586000000000</v>
      </c>
      <c r="B405">
        <v>63700</v>
      </c>
      <c r="C405">
        <v>7620000</v>
      </c>
      <c r="D405">
        <v>6.6775510204081625</v>
      </c>
      <c r="E405">
        <v>5.78</v>
      </c>
    </row>
    <row r="406" spans="1:5" x14ac:dyDescent="0.2">
      <c r="A406">
        <v>566000000000</v>
      </c>
      <c r="B406">
        <v>58900</v>
      </c>
      <c r="C406">
        <v>15100</v>
      </c>
      <c r="D406">
        <v>6.6204081632653065</v>
      </c>
      <c r="E406">
        <v>3.24</v>
      </c>
    </row>
    <row r="407" spans="1:5" x14ac:dyDescent="0.2">
      <c r="A407">
        <v>781000000000</v>
      </c>
      <c r="B407">
        <v>50400</v>
      </c>
      <c r="C407">
        <v>37300</v>
      </c>
      <c r="D407">
        <v>4.6204081632653065</v>
      </c>
      <c r="E407">
        <v>9.02</v>
      </c>
    </row>
    <row r="408" spans="1:5" x14ac:dyDescent="0.2">
      <c r="A408">
        <v>551000000000</v>
      </c>
      <c r="B408">
        <v>57600</v>
      </c>
      <c r="C408">
        <v>39700</v>
      </c>
      <c r="D408">
        <v>3.7387755102040816</v>
      </c>
      <c r="E408">
        <v>7.38</v>
      </c>
    </row>
    <row r="409" spans="1:5" x14ac:dyDescent="0.2">
      <c r="A409">
        <v>560000000000</v>
      </c>
      <c r="B409">
        <v>184000</v>
      </c>
      <c r="C409">
        <v>1730000</v>
      </c>
      <c r="D409">
        <v>2.7591836734693875</v>
      </c>
      <c r="E409">
        <v>4.71</v>
      </c>
    </row>
    <row r="410" spans="1:5" x14ac:dyDescent="0.2">
      <c r="A410">
        <v>981000000000</v>
      </c>
      <c r="B410">
        <v>34900</v>
      </c>
      <c r="C410">
        <v>417000</v>
      </c>
      <c r="D410">
        <v>0.93877551020408156</v>
      </c>
      <c r="E410">
        <v>4.03</v>
      </c>
    </row>
    <row r="411" spans="1:5" x14ac:dyDescent="0.2">
      <c r="A411">
        <v>646000000000</v>
      </c>
      <c r="B411">
        <v>31700</v>
      </c>
      <c r="C411">
        <v>5850000</v>
      </c>
      <c r="D411">
        <v>5.5346938775510202</v>
      </c>
      <c r="E411">
        <v>3.17</v>
      </c>
    </row>
    <row r="412" spans="1:5" x14ac:dyDescent="0.2">
      <c r="A412">
        <v>691000000000</v>
      </c>
      <c r="B412">
        <v>2980</v>
      </c>
      <c r="C412">
        <v>1680000</v>
      </c>
      <c r="D412">
        <v>131.42857142857142</v>
      </c>
      <c r="E412">
        <v>3.6</v>
      </c>
    </row>
    <row r="413" spans="1:5" x14ac:dyDescent="0.2">
      <c r="A413">
        <v>2850000000000</v>
      </c>
      <c r="B413">
        <v>12400</v>
      </c>
      <c r="C413">
        <v>1250000</v>
      </c>
      <c r="D413">
        <v>3.4693877551020407</v>
      </c>
      <c r="E413">
        <v>1.9</v>
      </c>
    </row>
    <row r="414" spans="1:5" x14ac:dyDescent="0.2">
      <c r="A414">
        <v>4270000000000</v>
      </c>
      <c r="B414">
        <v>4490</v>
      </c>
      <c r="C414">
        <v>2430000</v>
      </c>
      <c r="D414">
        <v>1.9102040816326531</v>
      </c>
      <c r="E414">
        <v>1.42</v>
      </c>
    </row>
    <row r="415" spans="1:5" x14ac:dyDescent="0.2">
      <c r="A415">
        <v>2960000000000</v>
      </c>
      <c r="B415">
        <v>148000</v>
      </c>
      <c r="C415">
        <v>107000</v>
      </c>
      <c r="D415">
        <v>40</v>
      </c>
      <c r="E415">
        <v>0</v>
      </c>
    </row>
    <row r="416" spans="1:5" x14ac:dyDescent="0.2">
      <c r="A416">
        <v>4200000000000</v>
      </c>
      <c r="B416">
        <v>9360</v>
      </c>
      <c r="C416">
        <v>41000000</v>
      </c>
      <c r="D416">
        <v>4.4244897959183671</v>
      </c>
      <c r="E416">
        <v>81.7</v>
      </c>
    </row>
    <row r="417" spans="1:5" x14ac:dyDescent="0.2">
      <c r="A417">
        <v>1030000000000</v>
      </c>
      <c r="B417">
        <v>1550</v>
      </c>
      <c r="C417">
        <v>172000000</v>
      </c>
      <c r="D417">
        <v>3.4530612244897956</v>
      </c>
      <c r="E417">
        <v>76.599999999999994</v>
      </c>
    </row>
    <row r="418" spans="1:5" x14ac:dyDescent="0.2">
      <c r="A418">
        <v>1640000000000</v>
      </c>
      <c r="B418">
        <v>4750</v>
      </c>
      <c r="C418">
        <v>3020000</v>
      </c>
      <c r="D418">
        <v>4.0979591836734688</v>
      </c>
      <c r="E418">
        <v>60.8</v>
      </c>
    </row>
    <row r="419" spans="1:5" x14ac:dyDescent="0.2">
      <c r="A419">
        <v>1740000000000</v>
      </c>
      <c r="B419">
        <v>4430</v>
      </c>
      <c r="C419">
        <v>17900000</v>
      </c>
      <c r="D419">
        <v>3.1020408163265305</v>
      </c>
      <c r="E419">
        <v>0</v>
      </c>
    </row>
    <row r="420" spans="1:5" x14ac:dyDescent="0.2">
      <c r="A420">
        <v>1320000000000</v>
      </c>
      <c r="B420">
        <v>7070</v>
      </c>
      <c r="C420">
        <v>3460000000</v>
      </c>
      <c r="D420">
        <v>4.1469387755102032</v>
      </c>
      <c r="E420">
        <v>0</v>
      </c>
    </row>
    <row r="421" spans="1:5" x14ac:dyDescent="0.2">
      <c r="A421">
        <v>990000000000</v>
      </c>
      <c r="B421">
        <v>4600</v>
      </c>
      <c r="C421">
        <v>11200</v>
      </c>
      <c r="D421">
        <v>16.326530612244895</v>
      </c>
      <c r="E421">
        <v>0</v>
      </c>
    </row>
    <row r="422" spans="1:5" x14ac:dyDescent="0.2">
      <c r="A422">
        <v>1030000000000</v>
      </c>
      <c r="B422">
        <v>2240</v>
      </c>
      <c r="C422">
        <v>738000</v>
      </c>
      <c r="D422">
        <v>7.093877551020408</v>
      </c>
      <c r="E422">
        <v>0</v>
      </c>
    </row>
    <row r="423" spans="1:5" x14ac:dyDescent="0.2">
      <c r="A423">
        <v>1080000000000</v>
      </c>
      <c r="B423">
        <v>2790</v>
      </c>
      <c r="C423">
        <v>262000</v>
      </c>
      <c r="D423">
        <v>3.9428571428571426</v>
      </c>
      <c r="E423">
        <v>0</v>
      </c>
    </row>
    <row r="424" spans="1:5" x14ac:dyDescent="0.2">
      <c r="A424">
        <v>1370000000000</v>
      </c>
      <c r="B424">
        <v>1200</v>
      </c>
      <c r="C424">
        <v>3610000</v>
      </c>
      <c r="D424">
        <v>9.4693877551020389</v>
      </c>
      <c r="E424">
        <v>0</v>
      </c>
    </row>
    <row r="425" spans="1:5" x14ac:dyDescent="0.2">
      <c r="A425">
        <v>357000000000</v>
      </c>
      <c r="B425">
        <v>17500</v>
      </c>
      <c r="C425">
        <v>371000</v>
      </c>
      <c r="D425">
        <v>6.7346938775510194</v>
      </c>
      <c r="E425">
        <v>0</v>
      </c>
    </row>
    <row r="426" spans="1:5" x14ac:dyDescent="0.2">
      <c r="A426">
        <v>46435088381</v>
      </c>
      <c r="B426">
        <v>5370</v>
      </c>
      <c r="C426">
        <v>10900000</v>
      </c>
      <c r="D426">
        <v>6.9306122448979588</v>
      </c>
      <c r="E426">
        <v>0</v>
      </c>
    </row>
    <row r="427" spans="1:5" x14ac:dyDescent="0.2">
      <c r="A427">
        <v>55219750993</v>
      </c>
      <c r="B427">
        <v>7070</v>
      </c>
      <c r="C427">
        <v>197000</v>
      </c>
      <c r="D427">
        <v>6.7999999999999989</v>
      </c>
      <c r="E427">
        <v>0</v>
      </c>
    </row>
    <row r="428" spans="1:5" x14ac:dyDescent="0.2">
      <c r="A428">
        <v>28394984089</v>
      </c>
      <c r="B428">
        <v>14600</v>
      </c>
      <c r="C428">
        <v>1550000</v>
      </c>
      <c r="D428">
        <v>16.489795918367346</v>
      </c>
      <c r="E428">
        <v>0</v>
      </c>
    </row>
    <row r="429" spans="1:5" x14ac:dyDescent="0.2">
      <c r="A429">
        <v>188000000000</v>
      </c>
      <c r="B429">
        <v>18400</v>
      </c>
      <c r="C429">
        <v>1580000</v>
      </c>
      <c r="D429">
        <v>4.4734693877551015</v>
      </c>
      <c r="E429">
        <v>0</v>
      </c>
    </row>
    <row r="430" spans="1:5" x14ac:dyDescent="0.2">
      <c r="A430">
        <v>221000000000</v>
      </c>
      <c r="B430">
        <v>11700</v>
      </c>
      <c r="C430">
        <v>60900</v>
      </c>
      <c r="D430">
        <v>20.163265306122447</v>
      </c>
      <c r="E430">
        <v>0</v>
      </c>
    </row>
    <row r="431" spans="1:5" x14ac:dyDescent="0.2">
      <c r="A431">
        <v>193000000000</v>
      </c>
      <c r="B431">
        <v>7980</v>
      </c>
      <c r="C431">
        <v>476000</v>
      </c>
      <c r="D431">
        <v>10.448979591836734</v>
      </c>
      <c r="E431">
        <v>0</v>
      </c>
    </row>
    <row r="432" spans="1:5" x14ac:dyDescent="0.2">
      <c r="A432">
        <v>218000000000</v>
      </c>
      <c r="B432">
        <v>11200</v>
      </c>
      <c r="C432">
        <v>354000</v>
      </c>
      <c r="D432">
        <v>23.428571428571427</v>
      </c>
      <c r="E432">
        <v>0</v>
      </c>
    </row>
    <row r="433" spans="1:5" x14ac:dyDescent="0.2">
      <c r="A433">
        <v>52073391412</v>
      </c>
      <c r="B433">
        <v>9160</v>
      </c>
      <c r="C433">
        <v>347000</v>
      </c>
      <c r="D433">
        <v>6.7755102040816322</v>
      </c>
      <c r="E433">
        <v>0</v>
      </c>
    </row>
    <row r="434" spans="1:5" x14ac:dyDescent="0.2">
      <c r="A434">
        <v>52756027578</v>
      </c>
      <c r="B434">
        <v>16300</v>
      </c>
      <c r="C434">
        <v>307000</v>
      </c>
      <c r="D434">
        <v>6.4571428571428573</v>
      </c>
      <c r="E434">
        <v>0</v>
      </c>
    </row>
    <row r="435" spans="1:5" x14ac:dyDescent="0.2">
      <c r="A435">
        <v>46661947675</v>
      </c>
      <c r="B435">
        <v>18900</v>
      </c>
      <c r="C435">
        <v>221000</v>
      </c>
      <c r="D435">
        <v>3.7224489795918365</v>
      </c>
      <c r="E435">
        <v>0</v>
      </c>
    </row>
    <row r="436" spans="1:5" x14ac:dyDescent="0.2">
      <c r="A436">
        <v>90141833592</v>
      </c>
      <c r="B436">
        <v>0</v>
      </c>
      <c r="C436">
        <v>2340</v>
      </c>
      <c r="D436">
        <v>9.6326530612244898</v>
      </c>
      <c r="E436">
        <v>0</v>
      </c>
    </row>
    <row r="437" spans="1:5" x14ac:dyDescent="0.2">
      <c r="A437">
        <v>678000000000</v>
      </c>
      <c r="B437">
        <v>0</v>
      </c>
      <c r="C437">
        <v>178000</v>
      </c>
      <c r="D437">
        <v>10.530612244897959</v>
      </c>
      <c r="E437">
        <v>4110</v>
      </c>
    </row>
    <row r="438" spans="1:5" x14ac:dyDescent="0.2">
      <c r="A438">
        <v>719000000000</v>
      </c>
      <c r="B438">
        <v>0</v>
      </c>
      <c r="C438">
        <v>246000</v>
      </c>
      <c r="D438">
        <v>23.755102040816325</v>
      </c>
      <c r="E438">
        <v>4800</v>
      </c>
    </row>
    <row r="439" spans="1:5" x14ac:dyDescent="0.2">
      <c r="A439">
        <v>635000000000</v>
      </c>
      <c r="B439">
        <v>0</v>
      </c>
      <c r="C439">
        <v>69000</v>
      </c>
      <c r="D439">
        <v>43.428571428571431</v>
      </c>
      <c r="E439">
        <v>3680</v>
      </c>
    </row>
    <row r="440" spans="1:5" x14ac:dyDescent="0.2">
      <c r="A440">
        <v>814000000000</v>
      </c>
      <c r="B440">
        <v>0</v>
      </c>
      <c r="C440">
        <v>9450000</v>
      </c>
      <c r="D440">
        <v>1.9510204081632652</v>
      </c>
      <c r="E440">
        <v>45.6</v>
      </c>
    </row>
    <row r="441" spans="1:5" x14ac:dyDescent="0.2">
      <c r="A441">
        <v>493000000000</v>
      </c>
      <c r="B441">
        <v>265</v>
      </c>
      <c r="C441">
        <v>4140000</v>
      </c>
      <c r="D441">
        <v>1.2081632653061225</v>
      </c>
      <c r="E441">
        <v>955</v>
      </c>
    </row>
    <row r="442" spans="1:5" x14ac:dyDescent="0.2">
      <c r="A442">
        <v>647000000000</v>
      </c>
      <c r="B442">
        <v>0</v>
      </c>
      <c r="C442">
        <v>937000</v>
      </c>
      <c r="D442">
        <v>6.7102040816326522E-2</v>
      </c>
      <c r="E442">
        <v>54</v>
      </c>
    </row>
    <row r="443" spans="1:5" x14ac:dyDescent="0.2">
      <c r="A443">
        <v>684000000000</v>
      </c>
      <c r="B443">
        <v>0</v>
      </c>
      <c r="C443">
        <v>26500</v>
      </c>
      <c r="D443">
        <v>1.2244897959183672</v>
      </c>
      <c r="E443">
        <v>6040</v>
      </c>
    </row>
    <row r="444" spans="1:5" x14ac:dyDescent="0.2">
      <c r="A444">
        <v>727000000000</v>
      </c>
      <c r="B444">
        <v>0</v>
      </c>
      <c r="C444">
        <v>46400</v>
      </c>
      <c r="D444">
        <v>2.6612244897959183</v>
      </c>
      <c r="E444">
        <v>53.4</v>
      </c>
    </row>
    <row r="445" spans="1:5" x14ac:dyDescent="0.2">
      <c r="A445">
        <v>29568673894</v>
      </c>
      <c r="B445">
        <v>0</v>
      </c>
      <c r="C445">
        <v>4550000</v>
      </c>
      <c r="D445">
        <v>1.763265306122449</v>
      </c>
      <c r="E445">
        <v>342.3</v>
      </c>
    </row>
    <row r="446" spans="1:5" x14ac:dyDescent="0.2">
      <c r="A446">
        <v>26242088800</v>
      </c>
      <c r="B446">
        <v>0</v>
      </c>
      <c r="C446">
        <v>20800000</v>
      </c>
      <c r="D446">
        <v>17.959183673469386</v>
      </c>
      <c r="E446">
        <v>137.6</v>
      </c>
    </row>
    <row r="447" spans="1:5" x14ac:dyDescent="0.2">
      <c r="A447">
        <v>36449095192</v>
      </c>
      <c r="B447">
        <v>0</v>
      </c>
      <c r="C447">
        <v>49100000</v>
      </c>
      <c r="D447">
        <v>4.1224489795918364</v>
      </c>
      <c r="E447">
        <v>2130</v>
      </c>
    </row>
    <row r="448" spans="1:5" x14ac:dyDescent="0.2">
      <c r="A448">
        <v>43706599067</v>
      </c>
      <c r="B448">
        <v>62.9</v>
      </c>
      <c r="C448">
        <v>1400000</v>
      </c>
      <c r="D448">
        <v>16.73469387755102</v>
      </c>
      <c r="E448">
        <v>6230</v>
      </c>
    </row>
    <row r="449" spans="1:5" x14ac:dyDescent="0.2">
      <c r="A449">
        <v>245000000000</v>
      </c>
      <c r="B449">
        <v>4470</v>
      </c>
      <c r="C449">
        <v>1320000</v>
      </c>
      <c r="D449">
        <v>3.787755102040816</v>
      </c>
      <c r="E449">
        <v>1350</v>
      </c>
    </row>
    <row r="450" spans="1:5" x14ac:dyDescent="0.2">
      <c r="A450">
        <v>427000000000</v>
      </c>
      <c r="B450">
        <v>1100</v>
      </c>
      <c r="C450">
        <v>9910000</v>
      </c>
      <c r="D450">
        <v>2.9224489795918367</v>
      </c>
      <c r="E450">
        <v>7560</v>
      </c>
    </row>
    <row r="451" spans="1:5" x14ac:dyDescent="0.2">
      <c r="A451">
        <v>293000000000</v>
      </c>
      <c r="B451">
        <v>38500</v>
      </c>
      <c r="C451">
        <v>1490000</v>
      </c>
      <c r="D451">
        <v>1.4204081632653061</v>
      </c>
      <c r="E451">
        <v>366000</v>
      </c>
    </row>
    <row r="452" spans="1:5" x14ac:dyDescent="0.2">
      <c r="A452">
        <v>238000000000</v>
      </c>
      <c r="B452">
        <v>3310</v>
      </c>
      <c r="C452">
        <v>71900000</v>
      </c>
      <c r="D452">
        <v>0.7265306122448979</v>
      </c>
      <c r="E452">
        <v>281.3</v>
      </c>
    </row>
    <row r="453" spans="1:5" x14ac:dyDescent="0.2">
      <c r="A453">
        <v>92431142296</v>
      </c>
      <c r="B453">
        <v>3960</v>
      </c>
      <c r="C453">
        <v>242000000</v>
      </c>
      <c r="D453">
        <v>3.1346938775510202</v>
      </c>
      <c r="E453">
        <v>13400</v>
      </c>
    </row>
    <row r="454" spans="1:5" x14ac:dyDescent="0.2">
      <c r="A454">
        <v>67707006576</v>
      </c>
      <c r="B454">
        <v>3890</v>
      </c>
      <c r="C454">
        <v>3840000</v>
      </c>
      <c r="D454">
        <v>1.6897959183673468</v>
      </c>
      <c r="E454">
        <v>50500</v>
      </c>
    </row>
    <row r="455" spans="1:5" x14ac:dyDescent="0.2">
      <c r="A455">
        <v>121000000000</v>
      </c>
      <c r="B455">
        <v>1750</v>
      </c>
      <c r="C455">
        <v>144000000</v>
      </c>
      <c r="D455">
        <v>27.918367346938773</v>
      </c>
      <c r="E455">
        <v>80.900000000000006</v>
      </c>
    </row>
    <row r="456" spans="1:5" x14ac:dyDescent="0.2">
      <c r="A456">
        <v>109000000000</v>
      </c>
      <c r="B456">
        <v>1970</v>
      </c>
      <c r="C456">
        <v>3860000000</v>
      </c>
      <c r="D456">
        <v>7.5836734693877546</v>
      </c>
      <c r="E456">
        <v>1460</v>
      </c>
    </row>
    <row r="457" spans="1:5" x14ac:dyDescent="0.2">
      <c r="A457">
        <v>168000000000</v>
      </c>
      <c r="B457">
        <v>880</v>
      </c>
      <c r="C457">
        <v>80700</v>
      </c>
      <c r="D457">
        <v>19.428571428571427</v>
      </c>
      <c r="E457">
        <v>25.9</v>
      </c>
    </row>
    <row r="458" spans="1:5" x14ac:dyDescent="0.2">
      <c r="A458">
        <v>205000000000</v>
      </c>
      <c r="B458">
        <v>2470</v>
      </c>
      <c r="C458">
        <v>34700000</v>
      </c>
      <c r="D458">
        <v>12.408163265306122</v>
      </c>
      <c r="E458">
        <v>3430</v>
      </c>
    </row>
    <row r="459" spans="1:5" x14ac:dyDescent="0.2">
      <c r="A459">
        <v>132000000000</v>
      </c>
      <c r="B459">
        <v>1270</v>
      </c>
      <c r="C459">
        <v>696000</v>
      </c>
      <c r="D459">
        <v>10.122448979591836</v>
      </c>
      <c r="E459">
        <v>4.76</v>
      </c>
    </row>
    <row r="460" spans="1:5" x14ac:dyDescent="0.2">
      <c r="A460">
        <v>137000000000</v>
      </c>
      <c r="B460">
        <v>32300</v>
      </c>
      <c r="C460">
        <v>1920000</v>
      </c>
      <c r="D460">
        <v>9.3061224489795915</v>
      </c>
      <c r="E460">
        <v>1420</v>
      </c>
    </row>
    <row r="461" spans="1:5" x14ac:dyDescent="0.2">
      <c r="A461">
        <v>550000000000</v>
      </c>
      <c r="B461">
        <v>77700</v>
      </c>
      <c r="C461">
        <v>757000</v>
      </c>
      <c r="D461">
        <v>3.1591836734693874</v>
      </c>
      <c r="E461">
        <v>80.5</v>
      </c>
    </row>
    <row r="462" spans="1:5" x14ac:dyDescent="0.2">
      <c r="A462">
        <v>608000000000</v>
      </c>
      <c r="B462">
        <v>70300</v>
      </c>
      <c r="C462">
        <v>11200000</v>
      </c>
      <c r="D462">
        <v>6.7346938775510194</v>
      </c>
      <c r="E462">
        <v>1680</v>
      </c>
    </row>
    <row r="463" spans="1:5" x14ac:dyDescent="0.2">
      <c r="A463">
        <v>747000000000</v>
      </c>
      <c r="B463">
        <v>972000</v>
      </c>
      <c r="C463">
        <v>414000</v>
      </c>
      <c r="D463">
        <v>1.4122448979591835</v>
      </c>
    </row>
    <row r="464" spans="1:5" x14ac:dyDescent="0.2">
      <c r="A464">
        <v>784000000000</v>
      </c>
      <c r="B464">
        <v>72500</v>
      </c>
      <c r="C464">
        <v>9080000</v>
      </c>
      <c r="D464">
        <v>7.3142857142857141</v>
      </c>
    </row>
    <row r="465" spans="1:4" x14ac:dyDescent="0.2">
      <c r="A465">
        <v>147000000000</v>
      </c>
      <c r="B465">
        <v>256000</v>
      </c>
      <c r="C465">
        <v>5670000</v>
      </c>
      <c r="D465">
        <v>3.8285714285714283</v>
      </c>
    </row>
    <row r="466" spans="1:4" x14ac:dyDescent="0.2">
      <c r="A466">
        <v>156000000000</v>
      </c>
      <c r="B466">
        <v>309000</v>
      </c>
      <c r="C466">
        <v>430000</v>
      </c>
      <c r="D466">
        <v>18.204081632653057</v>
      </c>
    </row>
    <row r="467" spans="1:4" x14ac:dyDescent="0.2">
      <c r="A467">
        <v>196000000000</v>
      </c>
      <c r="B467">
        <v>212000</v>
      </c>
      <c r="C467">
        <v>1780000</v>
      </c>
      <c r="D467">
        <v>7.9428571428571422</v>
      </c>
    </row>
    <row r="468" spans="1:4" x14ac:dyDescent="0.2">
      <c r="A468">
        <v>94696496954</v>
      </c>
      <c r="B468">
        <v>253000</v>
      </c>
      <c r="C468">
        <v>48500000</v>
      </c>
      <c r="D468">
        <v>15.102040816326529</v>
      </c>
    </row>
    <row r="469" spans="1:4" x14ac:dyDescent="0.2">
      <c r="A469">
        <v>110000000000</v>
      </c>
      <c r="B469">
        <v>247000</v>
      </c>
      <c r="C469">
        <v>2290000</v>
      </c>
      <c r="D469">
        <v>20</v>
      </c>
    </row>
    <row r="470" spans="1:4" x14ac:dyDescent="0.2">
      <c r="A470">
        <v>45666105861</v>
      </c>
      <c r="B470">
        <v>96100</v>
      </c>
      <c r="C470">
        <v>1200000</v>
      </c>
      <c r="D470">
        <v>8.3265306122448965</v>
      </c>
    </row>
    <row r="471" spans="1:4" x14ac:dyDescent="0.2">
      <c r="A471">
        <v>95441549987</v>
      </c>
      <c r="B471">
        <v>98300</v>
      </c>
      <c r="C471">
        <v>1720000</v>
      </c>
      <c r="D471">
        <v>7.0448979591836736</v>
      </c>
    </row>
    <row r="472" spans="1:4" x14ac:dyDescent="0.2">
      <c r="A472">
        <v>78522286768</v>
      </c>
      <c r="B472">
        <v>445</v>
      </c>
      <c r="C472">
        <v>2410</v>
      </c>
      <c r="D472">
        <v>8.408163265306122</v>
      </c>
    </row>
    <row r="473" spans="1:4" x14ac:dyDescent="0.2">
      <c r="A473">
        <v>661000000000</v>
      </c>
      <c r="B473">
        <v>4710</v>
      </c>
      <c r="C473">
        <v>4080000</v>
      </c>
      <c r="D473">
        <v>12.979591836734693</v>
      </c>
    </row>
    <row r="474" spans="1:4" x14ac:dyDescent="0.2">
      <c r="A474">
        <v>645000000000</v>
      </c>
      <c r="B474">
        <v>3070</v>
      </c>
      <c r="C474">
        <v>3130000</v>
      </c>
      <c r="D474">
        <v>7.2326530612244895</v>
      </c>
    </row>
    <row r="475" spans="1:4" x14ac:dyDescent="0.2">
      <c r="A475">
        <v>384000000000</v>
      </c>
      <c r="B475">
        <v>5150</v>
      </c>
      <c r="C475">
        <v>6430000</v>
      </c>
      <c r="D475">
        <v>24.897959183673468</v>
      </c>
    </row>
    <row r="476" spans="1:4" x14ac:dyDescent="0.2">
      <c r="A476">
        <v>542000000000</v>
      </c>
      <c r="B476">
        <v>476</v>
      </c>
      <c r="C476">
        <v>3490000</v>
      </c>
      <c r="D476">
        <v>14.204081632653061</v>
      </c>
    </row>
    <row r="477" spans="1:4" x14ac:dyDescent="0.2">
      <c r="A477">
        <v>1500000000000</v>
      </c>
      <c r="B477">
        <v>40.1</v>
      </c>
      <c r="C477">
        <v>93300000</v>
      </c>
      <c r="D477">
        <v>22.285714285714281</v>
      </c>
    </row>
    <row r="478" spans="1:4" x14ac:dyDescent="0.2">
      <c r="A478">
        <v>1510000000000</v>
      </c>
      <c r="B478">
        <v>164</v>
      </c>
      <c r="C478">
        <v>259000</v>
      </c>
      <c r="D478">
        <v>7.5265306122448976</v>
      </c>
    </row>
    <row r="479" spans="1:4" x14ac:dyDescent="0.2">
      <c r="A479">
        <v>1530000000000</v>
      </c>
      <c r="B479">
        <v>420</v>
      </c>
      <c r="C479">
        <v>77400</v>
      </c>
      <c r="D479">
        <v>7.6979591836734693</v>
      </c>
    </row>
    <row r="480" spans="1:4" x14ac:dyDescent="0.2">
      <c r="A480">
        <v>1730000000000</v>
      </c>
      <c r="B480">
        <v>450</v>
      </c>
      <c r="C480">
        <v>193000</v>
      </c>
      <c r="D480">
        <v>8.3265306122448965</v>
      </c>
    </row>
    <row r="481" spans="1:4" x14ac:dyDescent="0.2">
      <c r="A481">
        <v>227000000000</v>
      </c>
      <c r="B481">
        <v>330</v>
      </c>
      <c r="C481">
        <v>3270000</v>
      </c>
      <c r="D481">
        <v>7.5183673469387751</v>
      </c>
    </row>
    <row r="482" spans="1:4" x14ac:dyDescent="0.2">
      <c r="A482">
        <v>292000000000</v>
      </c>
      <c r="B482">
        <v>224</v>
      </c>
      <c r="C482">
        <v>997000</v>
      </c>
      <c r="D482">
        <v>11.510204081632653</v>
      </c>
    </row>
    <row r="483" spans="1:4" x14ac:dyDescent="0.2">
      <c r="A483">
        <v>247000000000</v>
      </c>
      <c r="B483">
        <v>118</v>
      </c>
      <c r="C483">
        <v>527000</v>
      </c>
      <c r="D483">
        <v>9.4693877551020389</v>
      </c>
    </row>
    <row r="484" spans="1:4" x14ac:dyDescent="0.2">
      <c r="A484">
        <v>305000000000</v>
      </c>
      <c r="B484">
        <v>539000</v>
      </c>
      <c r="C484">
        <v>832000</v>
      </c>
      <c r="D484">
        <v>12</v>
      </c>
    </row>
    <row r="485" spans="1:4" x14ac:dyDescent="0.2">
      <c r="A485">
        <v>1720000000000</v>
      </c>
      <c r="B485">
        <v>8830000</v>
      </c>
      <c r="C485">
        <v>3050000</v>
      </c>
      <c r="D485">
        <v>17.632653061224488</v>
      </c>
    </row>
    <row r="486" spans="1:4" x14ac:dyDescent="0.2">
      <c r="A486">
        <v>1510000000000</v>
      </c>
      <c r="B486">
        <v>2900000</v>
      </c>
      <c r="C486">
        <v>6910000</v>
      </c>
      <c r="D486">
        <v>10.040816326530612</v>
      </c>
    </row>
    <row r="487" spans="1:4" x14ac:dyDescent="0.2">
      <c r="A487">
        <v>1420000000000</v>
      </c>
      <c r="B487">
        <v>1200000</v>
      </c>
      <c r="C487">
        <v>599000</v>
      </c>
      <c r="D487">
        <v>9.0612244897959169</v>
      </c>
    </row>
    <row r="488" spans="1:4" x14ac:dyDescent="0.2">
      <c r="A488">
        <v>1370000000000</v>
      </c>
      <c r="B488">
        <v>717000</v>
      </c>
      <c r="C488">
        <v>6200000</v>
      </c>
      <c r="D488">
        <v>10.612244897959183</v>
      </c>
    </row>
    <row r="489" spans="1:4" x14ac:dyDescent="0.2">
      <c r="A489">
        <v>997000000000</v>
      </c>
      <c r="B489">
        <v>771000</v>
      </c>
      <c r="C489">
        <v>5950000</v>
      </c>
      <c r="D489">
        <v>10.285714285714285</v>
      </c>
    </row>
    <row r="490" spans="1:4" x14ac:dyDescent="0.2">
      <c r="A490">
        <v>1300000000000</v>
      </c>
      <c r="B490">
        <v>533000</v>
      </c>
      <c r="C490">
        <v>816000</v>
      </c>
      <c r="D490">
        <v>7.6897959183673468</v>
      </c>
    </row>
    <row r="491" spans="1:4" x14ac:dyDescent="0.2">
      <c r="A491">
        <v>1410000000000</v>
      </c>
      <c r="B491">
        <v>488000</v>
      </c>
      <c r="C491">
        <v>887000</v>
      </c>
      <c r="D491">
        <v>8.4897959183673457</v>
      </c>
    </row>
    <row r="492" spans="1:4" x14ac:dyDescent="0.2">
      <c r="A492">
        <v>1480000000000</v>
      </c>
      <c r="B492">
        <v>3050000</v>
      </c>
      <c r="C492">
        <v>262000000</v>
      </c>
      <c r="D492">
        <v>18.448979591836736</v>
      </c>
    </row>
    <row r="493" spans="1:4" x14ac:dyDescent="0.2">
      <c r="A493">
        <v>1490000000000</v>
      </c>
      <c r="B493">
        <v>1080000</v>
      </c>
      <c r="C493">
        <v>10500</v>
      </c>
      <c r="D493">
        <v>9.0612244897959169</v>
      </c>
    </row>
    <row r="494" spans="1:4" x14ac:dyDescent="0.2">
      <c r="A494">
        <v>1110000000000</v>
      </c>
      <c r="B494">
        <v>585000</v>
      </c>
      <c r="C494">
        <v>182000</v>
      </c>
      <c r="D494">
        <v>0.64843121201982201</v>
      </c>
    </row>
    <row r="495" spans="1:4" x14ac:dyDescent="0.2">
      <c r="A495">
        <v>1360000000000</v>
      </c>
      <c r="B495">
        <v>437000</v>
      </c>
      <c r="C495">
        <v>73600</v>
      </c>
      <c r="D495">
        <v>8.1632653061224474</v>
      </c>
    </row>
    <row r="496" spans="1:4" x14ac:dyDescent="0.2">
      <c r="A496">
        <v>1430000000000</v>
      </c>
      <c r="B496">
        <v>46800</v>
      </c>
      <c r="C496">
        <v>332000</v>
      </c>
      <c r="D496">
        <v>0.32498544534979396</v>
      </c>
    </row>
    <row r="497" spans="1:4" x14ac:dyDescent="0.2">
      <c r="A497">
        <v>643000000000</v>
      </c>
      <c r="B497">
        <v>5290000</v>
      </c>
      <c r="C497">
        <v>161000</v>
      </c>
      <c r="D497">
        <v>0.32498544534979396</v>
      </c>
    </row>
    <row r="498" spans="1:4" x14ac:dyDescent="0.2">
      <c r="A498">
        <v>933000000000</v>
      </c>
      <c r="B498">
        <v>820000</v>
      </c>
      <c r="C498">
        <v>1340000</v>
      </c>
      <c r="D498">
        <v>2.0505195359261883</v>
      </c>
    </row>
    <row r="499" spans="1:4" x14ac:dyDescent="0.2">
      <c r="A499">
        <v>712000000000</v>
      </c>
      <c r="B499">
        <v>93400</v>
      </c>
      <c r="C499">
        <v>21000</v>
      </c>
      <c r="D499">
        <v>0.1293790361192747</v>
      </c>
    </row>
    <row r="500" spans="1:4" x14ac:dyDescent="0.2">
      <c r="A500">
        <v>731000000000</v>
      </c>
      <c r="B500">
        <v>69400</v>
      </c>
      <c r="C500">
        <v>623000</v>
      </c>
      <c r="D500">
        <v>4.0913243561409983E-2</v>
      </c>
    </row>
    <row r="501" spans="1:4" x14ac:dyDescent="0.2">
      <c r="A501">
        <v>461000000000</v>
      </c>
      <c r="B501">
        <v>120000</v>
      </c>
      <c r="C501">
        <v>170000</v>
      </c>
      <c r="D501">
        <v>0.40913243561410012</v>
      </c>
    </row>
    <row r="502" spans="1:4" x14ac:dyDescent="0.2">
      <c r="A502">
        <v>342000000000</v>
      </c>
      <c r="B502">
        <v>62100</v>
      </c>
      <c r="C502">
        <v>204000</v>
      </c>
      <c r="D502">
        <v>1.2937903611927457E-2</v>
      </c>
    </row>
    <row r="503" spans="1:4" x14ac:dyDescent="0.2">
      <c r="A503">
        <v>420000000000</v>
      </c>
      <c r="B503">
        <v>39100</v>
      </c>
      <c r="C503">
        <v>228000</v>
      </c>
      <c r="D503">
        <v>6.4843121201982198E-2</v>
      </c>
    </row>
    <row r="504" spans="1:4" x14ac:dyDescent="0.2">
      <c r="A504">
        <v>441000000000</v>
      </c>
      <c r="B504">
        <v>635000</v>
      </c>
      <c r="C504">
        <v>141000</v>
      </c>
      <c r="D504">
        <v>0.25814511511578631</v>
      </c>
    </row>
    <row r="505" spans="1:4" x14ac:dyDescent="0.2">
      <c r="A505">
        <v>878000000000</v>
      </c>
      <c r="B505">
        <v>450000</v>
      </c>
      <c r="C505">
        <v>198000</v>
      </c>
      <c r="D505">
        <v>5.1506721998383152E-2</v>
      </c>
    </row>
    <row r="506" spans="1:4" x14ac:dyDescent="0.2">
      <c r="A506">
        <v>1240000000000</v>
      </c>
      <c r="B506">
        <v>57400</v>
      </c>
      <c r="C506">
        <v>9480</v>
      </c>
      <c r="D506">
        <v>4.0913243561410058</v>
      </c>
    </row>
    <row r="507" spans="1:4" x14ac:dyDescent="0.2">
      <c r="A507">
        <v>763000000000</v>
      </c>
      <c r="B507">
        <v>39500</v>
      </c>
      <c r="C507">
        <v>72900</v>
      </c>
      <c r="D507">
        <v>4.0913243561410058</v>
      </c>
    </row>
    <row r="508" spans="1:4" x14ac:dyDescent="0.2">
      <c r="A508">
        <v>950000000000</v>
      </c>
      <c r="B508">
        <v>21500</v>
      </c>
      <c r="C508">
        <v>2120</v>
      </c>
      <c r="D508">
        <v>1.2937903611927475</v>
      </c>
    </row>
    <row r="509" spans="1:4" x14ac:dyDescent="0.2">
      <c r="A509">
        <v>1460000000000</v>
      </c>
      <c r="B509">
        <v>27200</v>
      </c>
      <c r="C509">
        <v>279000</v>
      </c>
      <c r="D509">
        <v>1.0276942137095249E-2</v>
      </c>
    </row>
    <row r="510" spans="1:4" x14ac:dyDescent="0.2">
      <c r="A510">
        <v>1470000000000</v>
      </c>
      <c r="B510">
        <v>11400</v>
      </c>
      <c r="C510">
        <v>106000</v>
      </c>
      <c r="D510">
        <v>5.1506721998383128E-3</v>
      </c>
    </row>
    <row r="511" spans="1:4" x14ac:dyDescent="0.2">
      <c r="A511">
        <v>1540000000000</v>
      </c>
      <c r="B511">
        <v>15400</v>
      </c>
      <c r="C511">
        <v>74700</v>
      </c>
      <c r="D511">
        <v>5.1506721998383128E-3</v>
      </c>
    </row>
    <row r="512" spans="1:4" x14ac:dyDescent="0.2">
      <c r="A512">
        <v>1750000000000</v>
      </c>
      <c r="B512">
        <v>36200</v>
      </c>
      <c r="C512">
        <v>198000</v>
      </c>
      <c r="D512">
        <v>8.163265306122449E+132</v>
      </c>
    </row>
    <row r="513" spans="1:4" x14ac:dyDescent="0.2">
      <c r="A513">
        <v>511000000000</v>
      </c>
      <c r="B513">
        <v>36800</v>
      </c>
      <c r="C513">
        <v>969000</v>
      </c>
      <c r="D513">
        <v>0.64843121201982201</v>
      </c>
    </row>
    <row r="514" spans="1:4" x14ac:dyDescent="0.2">
      <c r="A514">
        <v>471000000000</v>
      </c>
      <c r="B514">
        <v>24700</v>
      </c>
      <c r="C514">
        <v>12200</v>
      </c>
      <c r="D514">
        <v>1.6287855632399022E-2</v>
      </c>
    </row>
    <row r="515" spans="1:4" x14ac:dyDescent="0.2">
      <c r="A515">
        <v>582000000000</v>
      </c>
      <c r="B515">
        <v>13600</v>
      </c>
      <c r="C515">
        <v>224000</v>
      </c>
      <c r="D515">
        <v>1.2937903611927457E-2</v>
      </c>
    </row>
    <row r="516" spans="1:4" x14ac:dyDescent="0.2">
      <c r="A516">
        <v>359000000000</v>
      </c>
      <c r="B516">
        <v>23000</v>
      </c>
      <c r="C516">
        <v>37900</v>
      </c>
      <c r="D516">
        <v>5.1506721998383152E-2</v>
      </c>
    </row>
    <row r="517" spans="1:4" x14ac:dyDescent="0.2">
      <c r="A517">
        <v>320000000000</v>
      </c>
      <c r="B517">
        <v>14600</v>
      </c>
      <c r="C517">
        <v>11700000</v>
      </c>
      <c r="D517">
        <v>6.4843121201982176E-3</v>
      </c>
    </row>
    <row r="518" spans="1:4" x14ac:dyDescent="0.2">
      <c r="A518">
        <v>279000000000</v>
      </c>
      <c r="B518">
        <v>35300</v>
      </c>
      <c r="C518">
        <v>216000000</v>
      </c>
      <c r="D518">
        <v>8.1632653061224482E-4</v>
      </c>
    </row>
    <row r="519" spans="1:4" x14ac:dyDescent="0.2">
      <c r="A519">
        <v>331000000000</v>
      </c>
      <c r="B519">
        <v>25600</v>
      </c>
      <c r="C519">
        <v>22000000</v>
      </c>
      <c r="D519">
        <v>1.2937903611927458E-3</v>
      </c>
    </row>
    <row r="520" spans="1:4" x14ac:dyDescent="0.2">
      <c r="A520">
        <v>365000000000</v>
      </c>
      <c r="B520">
        <v>0</v>
      </c>
      <c r="C520">
        <v>3330000</v>
      </c>
      <c r="D520">
        <v>8.1632653061224482E-4</v>
      </c>
    </row>
    <row r="521" spans="1:4" x14ac:dyDescent="0.2">
      <c r="A521">
        <v>97641016893</v>
      </c>
      <c r="B521">
        <v>0</v>
      </c>
      <c r="C521">
        <v>11800000</v>
      </c>
      <c r="D521">
        <v>8.1632653061224482E-4</v>
      </c>
    </row>
    <row r="522" spans="1:4" x14ac:dyDescent="0.2">
      <c r="A522">
        <v>70060191236</v>
      </c>
      <c r="B522">
        <v>13.9</v>
      </c>
      <c r="C522">
        <v>5400000</v>
      </c>
      <c r="D522">
        <v>8.1632653061224482E-4</v>
      </c>
    </row>
    <row r="523" spans="1:4" x14ac:dyDescent="0.2">
      <c r="A523">
        <v>65991800300</v>
      </c>
      <c r="B523">
        <v>0</v>
      </c>
      <c r="C523">
        <v>21400000</v>
      </c>
      <c r="D523">
        <v>8.1632653061224482E-4</v>
      </c>
    </row>
    <row r="524" spans="1:4" x14ac:dyDescent="0.2">
      <c r="A524">
        <v>78223945973</v>
      </c>
      <c r="B524">
        <v>0</v>
      </c>
      <c r="C524">
        <v>38300000</v>
      </c>
      <c r="D524">
        <v>8.1632653061224482E-4</v>
      </c>
    </row>
    <row r="525" spans="1:4" x14ac:dyDescent="0.2">
      <c r="A525">
        <v>309000000000</v>
      </c>
      <c r="B525">
        <v>3.76</v>
      </c>
      <c r="C525">
        <v>202000000</v>
      </c>
      <c r="D525">
        <v>0.32498544534979396</v>
      </c>
    </row>
    <row r="526" spans="1:4" x14ac:dyDescent="0.2">
      <c r="A526">
        <v>286000000000</v>
      </c>
      <c r="B526">
        <v>226</v>
      </c>
      <c r="C526">
        <v>44900000</v>
      </c>
      <c r="D526">
        <v>8.1632653061224482E-4</v>
      </c>
    </row>
    <row r="527" spans="1:4" x14ac:dyDescent="0.2">
      <c r="A527">
        <v>383000000000</v>
      </c>
      <c r="B527">
        <v>222</v>
      </c>
      <c r="C527">
        <v>140000000</v>
      </c>
      <c r="D527">
        <v>8.1632653061224482E-4</v>
      </c>
    </row>
    <row r="528" spans="1:4" x14ac:dyDescent="0.2">
      <c r="A528">
        <v>274000000000</v>
      </c>
      <c r="B528">
        <v>0</v>
      </c>
      <c r="C528">
        <v>14900000000</v>
      </c>
      <c r="D528">
        <v>1.0276942137095249E-2</v>
      </c>
    </row>
    <row r="529" spans="1:4" x14ac:dyDescent="0.2">
      <c r="A529">
        <v>6429813461</v>
      </c>
      <c r="B529">
        <v>0</v>
      </c>
      <c r="C529">
        <v>69800</v>
      </c>
      <c r="D529">
        <v>8.1632653061224482E-4</v>
      </c>
    </row>
    <row r="530" spans="1:4" x14ac:dyDescent="0.2">
      <c r="A530">
        <v>7930991702</v>
      </c>
      <c r="B530">
        <v>0</v>
      </c>
      <c r="C530">
        <v>7500000</v>
      </c>
      <c r="D530">
        <v>8.1632653061224482E-4</v>
      </c>
    </row>
    <row r="531" spans="1:4" x14ac:dyDescent="0.2">
      <c r="A531">
        <v>6726955909</v>
      </c>
      <c r="B531">
        <v>0</v>
      </c>
      <c r="C531">
        <v>1290000</v>
      </c>
      <c r="D531">
        <v>0.1293790361192747</v>
      </c>
    </row>
    <row r="532" spans="1:4" x14ac:dyDescent="0.2">
      <c r="A532">
        <v>9561096153</v>
      </c>
      <c r="B532">
        <v>42300</v>
      </c>
      <c r="C532">
        <v>12600000</v>
      </c>
      <c r="D532">
        <v>8.1632653061224482E-4</v>
      </c>
    </row>
    <row r="533" spans="1:4" x14ac:dyDescent="0.2">
      <c r="A533">
        <v>47103320533</v>
      </c>
      <c r="B533">
        <v>514000</v>
      </c>
      <c r="C533">
        <v>1060000</v>
      </c>
      <c r="D533">
        <v>0.51506721998383109</v>
      </c>
    </row>
    <row r="534" spans="1:4" x14ac:dyDescent="0.2">
      <c r="A534">
        <v>46111313933</v>
      </c>
      <c r="B534">
        <v>131000</v>
      </c>
      <c r="C534">
        <v>3470000</v>
      </c>
      <c r="D534">
        <v>3.2498544534979401</v>
      </c>
    </row>
    <row r="535" spans="1:4" x14ac:dyDescent="0.2">
      <c r="A535">
        <v>25012933532</v>
      </c>
      <c r="B535">
        <v>51500</v>
      </c>
      <c r="C535">
        <v>137000</v>
      </c>
      <c r="D535">
        <v>0.40913243561410012</v>
      </c>
    </row>
    <row r="536" spans="1:4" x14ac:dyDescent="0.2">
      <c r="A536">
        <v>23560565376</v>
      </c>
      <c r="B536">
        <v>60300</v>
      </c>
      <c r="C536">
        <v>3700000</v>
      </c>
      <c r="D536">
        <v>8.1632653061224497E-3</v>
      </c>
    </row>
    <row r="537" spans="1:4" x14ac:dyDescent="0.2">
      <c r="A537">
        <v>27189355082</v>
      </c>
      <c r="B537">
        <v>59400</v>
      </c>
      <c r="C537">
        <v>7880000</v>
      </c>
      <c r="D537">
        <v>2.5814511511578608E-3</v>
      </c>
    </row>
    <row r="538" spans="1:4" x14ac:dyDescent="0.2">
      <c r="A538">
        <v>32553554207</v>
      </c>
      <c r="B538">
        <v>63300</v>
      </c>
      <c r="C538">
        <v>952000</v>
      </c>
      <c r="D538">
        <v>1.6287855632399018E-3</v>
      </c>
    </row>
    <row r="539" spans="1:4" x14ac:dyDescent="0.2">
      <c r="A539">
        <v>23295649195</v>
      </c>
      <c r="B539">
        <v>47700</v>
      </c>
      <c r="C539">
        <v>2270000</v>
      </c>
      <c r="D539">
        <v>10.27694213709524</v>
      </c>
    </row>
    <row r="540" spans="1:4" x14ac:dyDescent="0.2">
      <c r="A540">
        <v>41161321548</v>
      </c>
      <c r="B540">
        <v>122000</v>
      </c>
      <c r="C540">
        <v>3390000</v>
      </c>
      <c r="D540">
        <v>8.1632653061224482E-4</v>
      </c>
    </row>
    <row r="541" spans="1:4" x14ac:dyDescent="0.2">
      <c r="A541">
        <v>110000000000</v>
      </c>
      <c r="B541">
        <v>76500</v>
      </c>
      <c r="C541">
        <v>2360000</v>
      </c>
      <c r="D541">
        <v>8.1632653061224482E-4</v>
      </c>
    </row>
    <row r="542" spans="1:4" x14ac:dyDescent="0.2">
      <c r="A542">
        <v>72626599572</v>
      </c>
      <c r="B542">
        <v>95400</v>
      </c>
      <c r="C542">
        <v>175000</v>
      </c>
      <c r="D542">
        <v>3.2498544534979384E-2</v>
      </c>
    </row>
    <row r="543" spans="1:4" x14ac:dyDescent="0.2">
      <c r="A543">
        <v>116000000000</v>
      </c>
      <c r="B543">
        <v>64900</v>
      </c>
      <c r="C543">
        <v>767000</v>
      </c>
      <c r="D543">
        <v>5.1506721998383152E-2</v>
      </c>
    </row>
    <row r="544" spans="1:4" x14ac:dyDescent="0.2">
      <c r="A544">
        <v>107000000000</v>
      </c>
      <c r="B544">
        <v>273000</v>
      </c>
      <c r="C544">
        <v>1720</v>
      </c>
      <c r="D544">
        <v>1.2937903611927457E-2</v>
      </c>
    </row>
    <row r="545" spans="1:4" x14ac:dyDescent="0.2">
      <c r="A545">
        <v>0</v>
      </c>
      <c r="B545">
        <v>11900000</v>
      </c>
      <c r="C545">
        <v>12400000</v>
      </c>
      <c r="D545">
        <v>0.82448979591836724</v>
      </c>
    </row>
    <row r="546" spans="1:4" x14ac:dyDescent="0.2">
      <c r="A546">
        <v>40866507869</v>
      </c>
      <c r="B546">
        <v>1800000</v>
      </c>
      <c r="C546">
        <v>1120000</v>
      </c>
      <c r="D546">
        <v>13.142857142857141</v>
      </c>
    </row>
    <row r="547" spans="1:4" x14ac:dyDescent="0.2">
      <c r="A547">
        <v>39578275763</v>
      </c>
      <c r="B547">
        <v>380000</v>
      </c>
      <c r="C547">
        <v>1710000</v>
      </c>
      <c r="D547">
        <v>4.4244897959183671</v>
      </c>
    </row>
    <row r="548" spans="1:4" x14ac:dyDescent="0.2">
      <c r="A548">
        <v>27474408664</v>
      </c>
      <c r="B548">
        <v>200000</v>
      </c>
      <c r="C548">
        <v>3550000</v>
      </c>
      <c r="D548">
        <v>9.3877551020408165E-2</v>
      </c>
    </row>
    <row r="549" spans="1:4" x14ac:dyDescent="0.2">
      <c r="A549">
        <v>40003520095</v>
      </c>
      <c r="B549">
        <v>232000</v>
      </c>
      <c r="C549">
        <v>5520000</v>
      </c>
      <c r="D549">
        <v>10.122448979591836</v>
      </c>
    </row>
    <row r="550" spans="1:4" x14ac:dyDescent="0.2">
      <c r="A550">
        <v>24241381534</v>
      </c>
      <c r="B550">
        <v>559000</v>
      </c>
      <c r="C550">
        <v>463000</v>
      </c>
      <c r="D550">
        <v>2.5959183673469388</v>
      </c>
    </row>
    <row r="551" spans="1:4" x14ac:dyDescent="0.2">
      <c r="A551">
        <v>30667988991</v>
      </c>
      <c r="B551">
        <v>528000</v>
      </c>
      <c r="C551">
        <v>190000</v>
      </c>
      <c r="D551">
        <v>2.1224489795918368E-4</v>
      </c>
    </row>
    <row r="552" spans="1:4" x14ac:dyDescent="0.2">
      <c r="A552">
        <v>23717697271</v>
      </c>
      <c r="B552">
        <v>5850000</v>
      </c>
      <c r="C552">
        <v>57800</v>
      </c>
      <c r="D552">
        <v>9.3061224489795905E-4</v>
      </c>
    </row>
    <row r="553" spans="1:4" x14ac:dyDescent="0.2">
      <c r="A553">
        <v>29162741743</v>
      </c>
      <c r="B553">
        <v>3690000</v>
      </c>
      <c r="C553">
        <v>10100000</v>
      </c>
      <c r="D553">
        <v>81.632653061224488</v>
      </c>
    </row>
    <row r="554" spans="1:4" x14ac:dyDescent="0.2">
      <c r="A554">
        <v>75932810287</v>
      </c>
      <c r="B554">
        <v>434000</v>
      </c>
      <c r="C554">
        <v>5450000</v>
      </c>
      <c r="D554">
        <v>613.0612244897959</v>
      </c>
    </row>
    <row r="555" spans="1:4" x14ac:dyDescent="0.2">
      <c r="A555">
        <v>13448662117</v>
      </c>
      <c r="B555">
        <v>246000</v>
      </c>
      <c r="C555">
        <v>949000</v>
      </c>
      <c r="D555">
        <v>137.95918367346937</v>
      </c>
    </row>
    <row r="556" spans="1:4" x14ac:dyDescent="0.2">
      <c r="A556">
        <v>23599890889</v>
      </c>
      <c r="B556">
        <v>12600</v>
      </c>
      <c r="C556">
        <v>3290000</v>
      </c>
      <c r="D556">
        <v>106.12244897959184</v>
      </c>
    </row>
    <row r="557" spans="1:4" x14ac:dyDescent="0.2">
      <c r="A557">
        <v>44670256215</v>
      </c>
      <c r="B557">
        <v>32200</v>
      </c>
      <c r="C557">
        <v>2550000</v>
      </c>
      <c r="D557">
        <v>135.51020408163262</v>
      </c>
    </row>
    <row r="558" spans="1:4" x14ac:dyDescent="0.2">
      <c r="A558">
        <v>69159890349</v>
      </c>
      <c r="B558">
        <v>21000</v>
      </c>
      <c r="C558">
        <v>8480000</v>
      </c>
      <c r="D558">
        <v>142.0408163265306</v>
      </c>
    </row>
    <row r="559" spans="1:4" x14ac:dyDescent="0.2">
      <c r="A559">
        <v>24342337064</v>
      </c>
      <c r="B559">
        <v>4200</v>
      </c>
      <c r="C559">
        <v>1680000</v>
      </c>
      <c r="D559">
        <v>43.836734693877546</v>
      </c>
    </row>
    <row r="560" spans="1:4" x14ac:dyDescent="0.2">
      <c r="A560">
        <v>24072162194</v>
      </c>
      <c r="B560">
        <v>802</v>
      </c>
      <c r="C560">
        <v>16300000</v>
      </c>
      <c r="D560">
        <v>98.775510204081627</v>
      </c>
    </row>
    <row r="561" spans="1:4" x14ac:dyDescent="0.2">
      <c r="A561">
        <v>35269504380</v>
      </c>
      <c r="B561">
        <v>389</v>
      </c>
      <c r="C561">
        <v>38900000</v>
      </c>
      <c r="D561">
        <v>92.244897959183675</v>
      </c>
    </row>
    <row r="562" spans="1:4" x14ac:dyDescent="0.2">
      <c r="A562">
        <v>16254102569</v>
      </c>
      <c r="B562">
        <v>124</v>
      </c>
      <c r="C562">
        <v>1510000</v>
      </c>
      <c r="D562">
        <v>8.1632653061224483E-2</v>
      </c>
    </row>
    <row r="563" spans="1:4" x14ac:dyDescent="0.2">
      <c r="A563">
        <v>18637683475</v>
      </c>
      <c r="B563">
        <v>285</v>
      </c>
      <c r="C563">
        <v>24700000</v>
      </c>
    </row>
    <row r="564" spans="1:4" x14ac:dyDescent="0.2">
      <c r="A564">
        <v>13338353847</v>
      </c>
      <c r="B564">
        <v>59300</v>
      </c>
      <c r="C564">
        <v>1140000000</v>
      </c>
    </row>
    <row r="565" spans="1:4" x14ac:dyDescent="0.2">
      <c r="A565">
        <v>15974493866</v>
      </c>
      <c r="B565">
        <v>25300</v>
      </c>
      <c r="C565">
        <v>2800000</v>
      </c>
    </row>
    <row r="566" spans="1:4" x14ac:dyDescent="0.2">
      <c r="A566">
        <v>18177849467</v>
      </c>
      <c r="B566">
        <v>671</v>
      </c>
      <c r="C566">
        <v>23900</v>
      </c>
    </row>
    <row r="567" spans="1:4" x14ac:dyDescent="0.2">
      <c r="A567">
        <v>16183926526</v>
      </c>
      <c r="B567">
        <v>45.9</v>
      </c>
      <c r="C567">
        <v>57600</v>
      </c>
    </row>
    <row r="568" spans="1:4" x14ac:dyDescent="0.2">
      <c r="A568">
        <v>18572532151</v>
      </c>
      <c r="B568">
        <v>8980</v>
      </c>
      <c r="C568">
        <v>1360000</v>
      </c>
    </row>
    <row r="569" spans="1:4" x14ac:dyDescent="0.2">
      <c r="A569">
        <v>8317637711.02672</v>
      </c>
      <c r="B569">
        <v>19000</v>
      </c>
      <c r="C569">
        <v>82700</v>
      </c>
    </row>
    <row r="570" spans="1:4" x14ac:dyDescent="0.2">
      <c r="A570">
        <v>281838293.12644565</v>
      </c>
      <c r="B570">
        <v>13000</v>
      </c>
      <c r="C570">
        <v>16500000</v>
      </c>
    </row>
    <row r="571" spans="1:4" x14ac:dyDescent="0.2">
      <c r="A571">
        <v>22908676.527677748</v>
      </c>
      <c r="B571">
        <v>6870</v>
      </c>
      <c r="C571">
        <v>371000</v>
      </c>
    </row>
    <row r="572" spans="1:4" x14ac:dyDescent="0.2">
      <c r="A572">
        <v>165958.69074375604</v>
      </c>
      <c r="B572">
        <v>1680</v>
      </c>
      <c r="C572">
        <v>3640000</v>
      </c>
    </row>
    <row r="573" spans="1:4" x14ac:dyDescent="0.2">
      <c r="A573">
        <v>53703179.637025505</v>
      </c>
      <c r="B573">
        <v>9350</v>
      </c>
      <c r="C573">
        <v>613000</v>
      </c>
    </row>
    <row r="574" spans="1:4" x14ac:dyDescent="0.2">
      <c r="A574">
        <v>831763771.10267103</v>
      </c>
      <c r="B574">
        <v>7070</v>
      </c>
      <c r="C574">
        <v>66200</v>
      </c>
    </row>
    <row r="575" spans="1:4" x14ac:dyDescent="0.2">
      <c r="A575">
        <v>32359365.692962918</v>
      </c>
      <c r="B575">
        <v>21500</v>
      </c>
      <c r="C575">
        <v>1110000</v>
      </c>
    </row>
    <row r="576" spans="1:4" x14ac:dyDescent="0.2">
      <c r="A576">
        <v>6025595.8607435944</v>
      </c>
      <c r="B576">
        <v>34300</v>
      </c>
      <c r="C576">
        <v>8550000</v>
      </c>
    </row>
    <row r="577" spans="1:3" x14ac:dyDescent="0.2">
      <c r="A577">
        <v>23442288.153199237</v>
      </c>
      <c r="B577">
        <v>44900</v>
      </c>
      <c r="C577">
        <v>13900000</v>
      </c>
    </row>
    <row r="578" spans="1:3" x14ac:dyDescent="0.2">
      <c r="A578">
        <v>5011872.3362727314</v>
      </c>
      <c r="B578">
        <v>134</v>
      </c>
      <c r="C578">
        <v>331000</v>
      </c>
    </row>
    <row r="579" spans="1:3" x14ac:dyDescent="0.2">
      <c r="A579">
        <v>407380.27780411334</v>
      </c>
      <c r="B579">
        <v>202</v>
      </c>
      <c r="C579">
        <v>971000</v>
      </c>
    </row>
    <row r="580" spans="1:3" x14ac:dyDescent="0.2">
      <c r="A580">
        <v>26302.679918953829</v>
      </c>
      <c r="B580">
        <v>875</v>
      </c>
      <c r="C580">
        <v>8960</v>
      </c>
    </row>
    <row r="581" spans="1:3" x14ac:dyDescent="0.2">
      <c r="A581">
        <v>3090295.4325135965</v>
      </c>
      <c r="B581">
        <v>1070</v>
      </c>
      <c r="C581">
        <v>966000</v>
      </c>
    </row>
    <row r="582" spans="1:3" x14ac:dyDescent="0.2">
      <c r="A582">
        <v>218776162.39495569</v>
      </c>
      <c r="B582">
        <v>14200</v>
      </c>
      <c r="C582">
        <v>344000</v>
      </c>
    </row>
    <row r="583" spans="1:3" x14ac:dyDescent="0.2">
      <c r="A583">
        <v>154881.66189124843</v>
      </c>
      <c r="B583">
        <v>25600</v>
      </c>
      <c r="C583">
        <v>455000</v>
      </c>
    </row>
    <row r="584" spans="1:3" x14ac:dyDescent="0.2">
      <c r="A584">
        <v>47863.009232263823</v>
      </c>
      <c r="B584">
        <v>18900</v>
      </c>
      <c r="C584">
        <v>16900</v>
      </c>
    </row>
    <row r="585" spans="1:3" x14ac:dyDescent="0.2">
      <c r="A585">
        <v>38018939632.05619</v>
      </c>
      <c r="B585">
        <v>10800</v>
      </c>
      <c r="C585">
        <v>3160000</v>
      </c>
    </row>
    <row r="586" spans="1:3" x14ac:dyDescent="0.2">
      <c r="A586">
        <v>776247116.62869477</v>
      </c>
      <c r="B586">
        <v>11900</v>
      </c>
      <c r="C586">
        <v>2070</v>
      </c>
    </row>
    <row r="587" spans="1:3" x14ac:dyDescent="0.2">
      <c r="A587">
        <v>66069344.80075983</v>
      </c>
      <c r="B587">
        <v>14100</v>
      </c>
      <c r="C587">
        <v>20100</v>
      </c>
    </row>
    <row r="588" spans="1:3" x14ac:dyDescent="0.2">
      <c r="A588">
        <v>501187.23362727347</v>
      </c>
      <c r="B588">
        <v>14100</v>
      </c>
      <c r="C588">
        <v>3720</v>
      </c>
    </row>
    <row r="589" spans="1:3" x14ac:dyDescent="0.2">
      <c r="A589">
        <v>181970085.86099887</v>
      </c>
      <c r="B589">
        <v>0</v>
      </c>
      <c r="C589">
        <v>43200000</v>
      </c>
    </row>
    <row r="590" spans="1:3" x14ac:dyDescent="0.2">
      <c r="A590">
        <v>4466835921.5096483</v>
      </c>
      <c r="B590">
        <v>0</v>
      </c>
      <c r="C590">
        <v>21600000</v>
      </c>
    </row>
    <row r="591" spans="1:3" x14ac:dyDescent="0.2">
      <c r="A591">
        <v>20892961.308540419</v>
      </c>
      <c r="B591">
        <v>0</v>
      </c>
      <c r="C591">
        <v>2730000</v>
      </c>
    </row>
    <row r="592" spans="1:3" x14ac:dyDescent="0.2">
      <c r="A592">
        <v>26302679.918953825</v>
      </c>
      <c r="B592">
        <v>0</v>
      </c>
      <c r="C592">
        <v>5280000</v>
      </c>
    </row>
    <row r="593" spans="1:3" x14ac:dyDescent="0.2">
      <c r="A593">
        <v>2089296130.8540463</v>
      </c>
      <c r="B593">
        <v>0</v>
      </c>
      <c r="C593">
        <v>78400000</v>
      </c>
    </row>
    <row r="594" spans="1:3" x14ac:dyDescent="0.2">
      <c r="A594">
        <v>75857757.502918601</v>
      </c>
      <c r="B594">
        <v>0</v>
      </c>
      <c r="C594">
        <v>13700000</v>
      </c>
    </row>
    <row r="595" spans="1:3" x14ac:dyDescent="0.2">
      <c r="A595">
        <v>5495408.7385762529</v>
      </c>
      <c r="B595">
        <v>0</v>
      </c>
      <c r="C595">
        <v>6370000</v>
      </c>
    </row>
    <row r="596" spans="1:3" x14ac:dyDescent="0.2">
      <c r="A596">
        <v>45708.818961487581</v>
      </c>
      <c r="B596">
        <v>18700</v>
      </c>
      <c r="C596">
        <v>56200000</v>
      </c>
    </row>
    <row r="597" spans="1:3" x14ac:dyDescent="0.2">
      <c r="A597">
        <v>13803842.646028839</v>
      </c>
      <c r="B597">
        <v>2330</v>
      </c>
      <c r="C597">
        <v>103000000</v>
      </c>
    </row>
    <row r="598" spans="1:3" x14ac:dyDescent="0.2">
      <c r="A598">
        <v>66069344.80075983</v>
      </c>
      <c r="B598">
        <v>3020</v>
      </c>
      <c r="C598">
        <v>11700000</v>
      </c>
    </row>
    <row r="599" spans="1:3" x14ac:dyDescent="0.2">
      <c r="A599">
        <v>645654.22903465526</v>
      </c>
      <c r="B599">
        <v>1900</v>
      </c>
      <c r="C599">
        <v>115000000</v>
      </c>
    </row>
    <row r="600" spans="1:3" x14ac:dyDescent="0.2">
      <c r="A600">
        <v>1479108.3881682095</v>
      </c>
      <c r="B600">
        <v>589</v>
      </c>
      <c r="C600">
        <v>3020000000</v>
      </c>
    </row>
    <row r="601" spans="1:3" x14ac:dyDescent="0.2">
      <c r="A601">
        <v>263026799.18953854</v>
      </c>
      <c r="B601">
        <v>695</v>
      </c>
      <c r="C601">
        <v>335000</v>
      </c>
    </row>
    <row r="602" spans="1:3" x14ac:dyDescent="0.2">
      <c r="A602">
        <v>23442288.153199237</v>
      </c>
      <c r="B602">
        <v>245</v>
      </c>
      <c r="C602">
        <v>389000</v>
      </c>
    </row>
    <row r="603" spans="1:3" x14ac:dyDescent="0.2">
      <c r="A603">
        <v>2089296.1308540432</v>
      </c>
      <c r="B603">
        <v>173000</v>
      </c>
      <c r="C603">
        <v>11300</v>
      </c>
    </row>
    <row r="604" spans="1:3" x14ac:dyDescent="0.2">
      <c r="A604">
        <v>13182.567385564091</v>
      </c>
      <c r="B604">
        <v>60000</v>
      </c>
      <c r="C604">
        <v>2160000</v>
      </c>
    </row>
    <row r="605" spans="1:3" x14ac:dyDescent="0.2">
      <c r="A605">
        <v>1659586907.4375677</v>
      </c>
      <c r="B605">
        <v>145000</v>
      </c>
      <c r="C605">
        <v>17600</v>
      </c>
    </row>
    <row r="606" spans="1:3" x14ac:dyDescent="0.2">
      <c r="A606">
        <v>69183097.091893628</v>
      </c>
      <c r="B606">
        <v>171000</v>
      </c>
      <c r="C606">
        <v>30300000</v>
      </c>
    </row>
    <row r="607" spans="1:3" x14ac:dyDescent="0.2">
      <c r="A607">
        <v>1096478.196143186</v>
      </c>
      <c r="B607">
        <v>292000</v>
      </c>
      <c r="C607">
        <v>24200000</v>
      </c>
    </row>
    <row r="608" spans="1:3" x14ac:dyDescent="0.2">
      <c r="A608">
        <v>213796.20895022334</v>
      </c>
      <c r="B608">
        <v>71400</v>
      </c>
      <c r="C608">
        <v>7640000</v>
      </c>
    </row>
    <row r="609" spans="1:3" x14ac:dyDescent="0.2">
      <c r="A609">
        <v>19000000</v>
      </c>
      <c r="B609">
        <v>73000</v>
      </c>
      <c r="C609">
        <v>182000</v>
      </c>
    </row>
    <row r="610" spans="1:3" x14ac:dyDescent="0.2">
      <c r="A610">
        <v>130000000</v>
      </c>
      <c r="B610">
        <v>15000</v>
      </c>
      <c r="C610">
        <v>9930</v>
      </c>
    </row>
    <row r="611" spans="1:3" x14ac:dyDescent="0.2">
      <c r="A611">
        <v>12000</v>
      </c>
      <c r="B611">
        <v>756</v>
      </c>
      <c r="C611">
        <v>88800</v>
      </c>
    </row>
    <row r="612" spans="1:3" x14ac:dyDescent="0.2">
      <c r="A612">
        <v>120000000</v>
      </c>
      <c r="B612">
        <v>12000</v>
      </c>
      <c r="C612">
        <v>5120000</v>
      </c>
    </row>
    <row r="613" spans="1:3" x14ac:dyDescent="0.2">
      <c r="A613">
        <v>23000000</v>
      </c>
      <c r="B613">
        <v>90</v>
      </c>
      <c r="C613">
        <v>34400000</v>
      </c>
    </row>
    <row r="614" spans="1:3" x14ac:dyDescent="0.2">
      <c r="A614">
        <v>240000000</v>
      </c>
      <c r="B614">
        <v>2030</v>
      </c>
      <c r="C614">
        <v>531000</v>
      </c>
    </row>
    <row r="615" spans="1:3" x14ac:dyDescent="0.2">
      <c r="A615">
        <v>390000</v>
      </c>
      <c r="B615">
        <v>49.9</v>
      </c>
      <c r="C615">
        <v>4170000</v>
      </c>
    </row>
    <row r="616" spans="1:3" x14ac:dyDescent="0.2">
      <c r="A616">
        <v>1400000</v>
      </c>
      <c r="B616">
        <v>160</v>
      </c>
      <c r="C616">
        <v>13600</v>
      </c>
    </row>
    <row r="617" spans="1:3" x14ac:dyDescent="0.2">
      <c r="B617">
        <v>2580000</v>
      </c>
      <c r="C617">
        <v>1230000</v>
      </c>
    </row>
    <row r="618" spans="1:3" x14ac:dyDescent="0.2">
      <c r="B618">
        <v>479000000</v>
      </c>
      <c r="C618">
        <v>536000</v>
      </c>
    </row>
    <row r="619" spans="1:3" x14ac:dyDescent="0.2">
      <c r="B619">
        <v>236000000</v>
      </c>
      <c r="C619">
        <v>1860000</v>
      </c>
    </row>
    <row r="620" spans="1:3" x14ac:dyDescent="0.2">
      <c r="B620">
        <v>545000000</v>
      </c>
      <c r="C620">
        <v>631000</v>
      </c>
    </row>
    <row r="621" spans="1:3" x14ac:dyDescent="0.2">
      <c r="B621">
        <v>857000000</v>
      </c>
      <c r="C621">
        <v>7130000</v>
      </c>
    </row>
    <row r="622" spans="1:3" x14ac:dyDescent="0.2">
      <c r="B622">
        <v>355000000</v>
      </c>
      <c r="C622">
        <v>15100</v>
      </c>
    </row>
    <row r="623" spans="1:3" x14ac:dyDescent="0.2">
      <c r="B623">
        <v>16800000</v>
      </c>
      <c r="C623">
        <v>88000</v>
      </c>
    </row>
    <row r="624" spans="1:3" x14ac:dyDescent="0.2">
      <c r="B624">
        <v>3300000</v>
      </c>
      <c r="C624">
        <v>9680</v>
      </c>
    </row>
    <row r="625" spans="2:3" x14ac:dyDescent="0.2">
      <c r="B625">
        <v>417000</v>
      </c>
      <c r="C625">
        <v>7900000</v>
      </c>
    </row>
    <row r="626" spans="2:3" x14ac:dyDescent="0.2">
      <c r="B626">
        <v>15800000</v>
      </c>
      <c r="C626">
        <v>12400000</v>
      </c>
    </row>
    <row r="627" spans="2:3" x14ac:dyDescent="0.2">
      <c r="B627">
        <v>18200000</v>
      </c>
      <c r="C627">
        <v>2820000</v>
      </c>
    </row>
    <row r="628" spans="2:3" x14ac:dyDescent="0.2">
      <c r="B628">
        <v>9000000</v>
      </c>
      <c r="C628">
        <v>324000</v>
      </c>
    </row>
    <row r="629" spans="2:3" x14ac:dyDescent="0.2">
      <c r="B629">
        <v>1980000000</v>
      </c>
      <c r="C629">
        <v>1480000</v>
      </c>
    </row>
    <row r="630" spans="2:3" x14ac:dyDescent="0.2">
      <c r="B630">
        <v>7860000</v>
      </c>
      <c r="C630">
        <v>805000</v>
      </c>
    </row>
    <row r="631" spans="2:3" x14ac:dyDescent="0.2">
      <c r="B631">
        <v>378000</v>
      </c>
      <c r="C631">
        <v>837000</v>
      </c>
    </row>
    <row r="632" spans="2:3" x14ac:dyDescent="0.2">
      <c r="B632">
        <v>370000</v>
      </c>
      <c r="C632">
        <v>30500000</v>
      </c>
    </row>
    <row r="633" spans="2:3" x14ac:dyDescent="0.2">
      <c r="B633">
        <v>675000</v>
      </c>
      <c r="C633">
        <v>45900000</v>
      </c>
    </row>
    <row r="634" spans="2:3" x14ac:dyDescent="0.2">
      <c r="B634">
        <v>28500000</v>
      </c>
      <c r="C634">
        <v>3970000</v>
      </c>
    </row>
    <row r="635" spans="2:3" x14ac:dyDescent="0.2">
      <c r="B635">
        <v>34300000</v>
      </c>
      <c r="C635">
        <v>10300</v>
      </c>
    </row>
    <row r="636" spans="2:3" x14ac:dyDescent="0.2">
      <c r="B636">
        <v>132000000</v>
      </c>
      <c r="C636">
        <v>2330000000</v>
      </c>
    </row>
    <row r="637" spans="2:3" x14ac:dyDescent="0.2">
      <c r="B637">
        <v>9230000000</v>
      </c>
      <c r="C637">
        <v>8000000</v>
      </c>
    </row>
    <row r="638" spans="2:3" x14ac:dyDescent="0.2">
      <c r="B638">
        <v>29100000</v>
      </c>
      <c r="C638">
        <v>73000</v>
      </c>
    </row>
    <row r="639" spans="2:3" x14ac:dyDescent="0.2">
      <c r="B639">
        <v>1280000</v>
      </c>
      <c r="C639">
        <v>112000</v>
      </c>
    </row>
    <row r="640" spans="2:3" x14ac:dyDescent="0.2">
      <c r="B640">
        <v>2060000</v>
      </c>
      <c r="C640">
        <v>1070000</v>
      </c>
    </row>
    <row r="641" spans="2:3" x14ac:dyDescent="0.2">
      <c r="B641">
        <v>2360000</v>
      </c>
      <c r="C641">
        <v>21200</v>
      </c>
    </row>
    <row r="642" spans="2:3" x14ac:dyDescent="0.2">
      <c r="B642">
        <v>27400000</v>
      </c>
      <c r="C642">
        <v>642000</v>
      </c>
    </row>
    <row r="643" spans="2:3" x14ac:dyDescent="0.2">
      <c r="B643">
        <v>287000000</v>
      </c>
      <c r="C643">
        <v>75700</v>
      </c>
    </row>
    <row r="644" spans="2:3" x14ac:dyDescent="0.2">
      <c r="B644">
        <v>81300000</v>
      </c>
      <c r="C644">
        <v>765000</v>
      </c>
    </row>
    <row r="645" spans="2:3" x14ac:dyDescent="0.2">
      <c r="B645">
        <v>317000000</v>
      </c>
      <c r="C645">
        <v>5300</v>
      </c>
    </row>
    <row r="646" spans="2:3" x14ac:dyDescent="0.2">
      <c r="B646">
        <v>43400000</v>
      </c>
      <c r="C646">
        <v>83500</v>
      </c>
    </row>
    <row r="647" spans="2:3" x14ac:dyDescent="0.2">
      <c r="B647">
        <v>17300000</v>
      </c>
      <c r="C647">
        <v>2560</v>
      </c>
    </row>
    <row r="648" spans="2:3" x14ac:dyDescent="0.2">
      <c r="B648">
        <v>20200000</v>
      </c>
      <c r="C648">
        <v>105000</v>
      </c>
    </row>
    <row r="649" spans="2:3" x14ac:dyDescent="0.2">
      <c r="B649">
        <v>2980000</v>
      </c>
      <c r="C649">
        <v>2610000</v>
      </c>
    </row>
    <row r="650" spans="2:3" x14ac:dyDescent="0.2">
      <c r="B650">
        <v>37500000</v>
      </c>
      <c r="C650">
        <v>35500</v>
      </c>
    </row>
    <row r="651" spans="2:3" x14ac:dyDescent="0.2">
      <c r="B651">
        <v>21900000</v>
      </c>
      <c r="C651">
        <v>511000</v>
      </c>
    </row>
    <row r="652" spans="2:3" x14ac:dyDescent="0.2">
      <c r="B652">
        <v>2140000</v>
      </c>
      <c r="C652">
        <v>7650</v>
      </c>
    </row>
    <row r="653" spans="2:3" x14ac:dyDescent="0.2">
      <c r="B653">
        <v>30700000</v>
      </c>
      <c r="C653">
        <v>346000</v>
      </c>
    </row>
    <row r="654" spans="2:3" x14ac:dyDescent="0.2">
      <c r="B654">
        <v>9670000</v>
      </c>
      <c r="C654">
        <v>9740</v>
      </c>
    </row>
    <row r="655" spans="2:3" x14ac:dyDescent="0.2">
      <c r="B655">
        <v>1970000</v>
      </c>
      <c r="C655">
        <v>43300</v>
      </c>
    </row>
    <row r="656" spans="2:3" x14ac:dyDescent="0.2">
      <c r="B656">
        <v>4000000</v>
      </c>
      <c r="C656">
        <v>2000</v>
      </c>
    </row>
    <row r="657" spans="2:3" x14ac:dyDescent="0.2">
      <c r="B657">
        <v>2450000</v>
      </c>
      <c r="C657">
        <v>373000</v>
      </c>
    </row>
    <row r="658" spans="2:3" x14ac:dyDescent="0.2">
      <c r="B658">
        <v>95100000</v>
      </c>
      <c r="C658">
        <v>1110</v>
      </c>
    </row>
    <row r="659" spans="2:3" x14ac:dyDescent="0.2">
      <c r="B659">
        <v>5920000</v>
      </c>
      <c r="C659">
        <v>1130</v>
      </c>
    </row>
    <row r="660" spans="2:3" x14ac:dyDescent="0.2">
      <c r="B660">
        <v>620000000</v>
      </c>
      <c r="C660">
        <v>1260</v>
      </c>
    </row>
    <row r="661" spans="2:3" x14ac:dyDescent="0.2">
      <c r="B661">
        <v>798000000</v>
      </c>
      <c r="C661">
        <v>413000</v>
      </c>
    </row>
    <row r="662" spans="2:3" x14ac:dyDescent="0.2">
      <c r="B662">
        <v>214000000</v>
      </c>
      <c r="C662">
        <v>161000</v>
      </c>
    </row>
    <row r="663" spans="2:3" x14ac:dyDescent="0.2">
      <c r="B663">
        <v>2860000</v>
      </c>
      <c r="C663">
        <v>280000</v>
      </c>
    </row>
    <row r="664" spans="2:3" x14ac:dyDescent="0.2">
      <c r="B664">
        <v>3080000</v>
      </c>
      <c r="C664">
        <v>3620000</v>
      </c>
    </row>
    <row r="665" spans="2:3" x14ac:dyDescent="0.2">
      <c r="B665">
        <v>136000</v>
      </c>
      <c r="C665">
        <v>7470000</v>
      </c>
    </row>
    <row r="666" spans="2:3" x14ac:dyDescent="0.2">
      <c r="B666">
        <v>16300000</v>
      </c>
      <c r="C666">
        <v>10200000</v>
      </c>
    </row>
    <row r="667" spans="2:3" x14ac:dyDescent="0.2">
      <c r="B667">
        <v>29700000</v>
      </c>
      <c r="C667">
        <v>3510000</v>
      </c>
    </row>
    <row r="668" spans="2:3" x14ac:dyDescent="0.2">
      <c r="B668">
        <v>281000000</v>
      </c>
      <c r="C668">
        <v>7300000</v>
      </c>
    </row>
    <row r="669" spans="2:3" x14ac:dyDescent="0.2">
      <c r="B669">
        <v>3090000000</v>
      </c>
      <c r="C669">
        <v>7340000</v>
      </c>
    </row>
    <row r="670" spans="2:3" x14ac:dyDescent="0.2">
      <c r="B670">
        <v>13900000</v>
      </c>
      <c r="C670">
        <v>1280000</v>
      </c>
    </row>
    <row r="671" spans="2:3" x14ac:dyDescent="0.2">
      <c r="B671">
        <v>3020000</v>
      </c>
      <c r="C671">
        <v>127000</v>
      </c>
    </row>
    <row r="672" spans="2:3" x14ac:dyDescent="0.2">
      <c r="B672">
        <v>270000</v>
      </c>
      <c r="C672">
        <v>257000000</v>
      </c>
    </row>
    <row r="673" spans="2:3" x14ac:dyDescent="0.2">
      <c r="B673">
        <v>28100</v>
      </c>
      <c r="C673">
        <v>1470000</v>
      </c>
    </row>
    <row r="674" spans="2:3" x14ac:dyDescent="0.2">
      <c r="B674">
        <v>110000000</v>
      </c>
      <c r="C674">
        <v>514000</v>
      </c>
    </row>
    <row r="675" spans="2:3" x14ac:dyDescent="0.2">
      <c r="B675">
        <v>13800000</v>
      </c>
      <c r="C675">
        <v>33800</v>
      </c>
    </row>
    <row r="676" spans="2:3" x14ac:dyDescent="0.2">
      <c r="B676">
        <v>10900000</v>
      </c>
      <c r="C676">
        <v>301000</v>
      </c>
    </row>
    <row r="677" spans="2:3" x14ac:dyDescent="0.2">
      <c r="B677">
        <v>2190000</v>
      </c>
      <c r="C677">
        <v>282000</v>
      </c>
    </row>
    <row r="678" spans="2:3" x14ac:dyDescent="0.2">
      <c r="B678">
        <v>12100000</v>
      </c>
      <c r="C678">
        <v>728000</v>
      </c>
    </row>
    <row r="679" spans="2:3" x14ac:dyDescent="0.2">
      <c r="B679">
        <v>12000000</v>
      </c>
      <c r="C679">
        <v>1610000</v>
      </c>
    </row>
    <row r="680" spans="2:3" x14ac:dyDescent="0.2">
      <c r="B680">
        <v>5390000</v>
      </c>
      <c r="C680">
        <v>849000</v>
      </c>
    </row>
    <row r="681" spans="2:3" x14ac:dyDescent="0.2">
      <c r="C681">
        <v>645000</v>
      </c>
    </row>
    <row r="682" spans="2:3" x14ac:dyDescent="0.2">
      <c r="C682">
        <v>80900</v>
      </c>
    </row>
    <row r="683" spans="2:3" x14ac:dyDescent="0.2">
      <c r="C683">
        <v>792000</v>
      </c>
    </row>
    <row r="684" spans="2:3" x14ac:dyDescent="0.2">
      <c r="C684">
        <v>8110000</v>
      </c>
    </row>
    <row r="685" spans="2:3" x14ac:dyDescent="0.2">
      <c r="C685">
        <v>9040000</v>
      </c>
    </row>
    <row r="686" spans="2:3" x14ac:dyDescent="0.2">
      <c r="C686">
        <v>224000</v>
      </c>
    </row>
    <row r="687" spans="2:3" x14ac:dyDescent="0.2">
      <c r="C687">
        <v>715000</v>
      </c>
    </row>
    <row r="688" spans="2:3" x14ac:dyDescent="0.2">
      <c r="C688">
        <v>1030</v>
      </c>
    </row>
    <row r="689" spans="3:3" x14ac:dyDescent="0.2">
      <c r="C689">
        <v>442000</v>
      </c>
    </row>
    <row r="690" spans="3:3" x14ac:dyDescent="0.2">
      <c r="C690">
        <v>187000</v>
      </c>
    </row>
    <row r="691" spans="3:3" x14ac:dyDescent="0.2">
      <c r="C691">
        <v>54300</v>
      </c>
    </row>
    <row r="692" spans="3:3" x14ac:dyDescent="0.2">
      <c r="C692">
        <v>72600</v>
      </c>
    </row>
    <row r="693" spans="3:3" x14ac:dyDescent="0.2">
      <c r="C693">
        <v>8500000</v>
      </c>
    </row>
    <row r="694" spans="3:3" x14ac:dyDescent="0.2">
      <c r="C694">
        <v>107000</v>
      </c>
    </row>
    <row r="695" spans="3:3" x14ac:dyDescent="0.2">
      <c r="C695">
        <v>36200</v>
      </c>
    </row>
    <row r="696" spans="3:3" x14ac:dyDescent="0.2">
      <c r="C696">
        <v>29300</v>
      </c>
    </row>
    <row r="697" spans="3:3" x14ac:dyDescent="0.2">
      <c r="C697">
        <v>116000</v>
      </c>
    </row>
    <row r="698" spans="3:3" x14ac:dyDescent="0.2">
      <c r="C698">
        <v>38800</v>
      </c>
    </row>
    <row r="699" spans="3:3" x14ac:dyDescent="0.2">
      <c r="C699">
        <v>48800</v>
      </c>
    </row>
    <row r="700" spans="3:3" x14ac:dyDescent="0.2">
      <c r="C700">
        <v>55500</v>
      </c>
    </row>
    <row r="701" spans="3:3" x14ac:dyDescent="0.2">
      <c r="C701">
        <v>11800</v>
      </c>
    </row>
    <row r="702" spans="3:3" x14ac:dyDescent="0.2">
      <c r="C702">
        <v>774000</v>
      </c>
    </row>
    <row r="703" spans="3:3" x14ac:dyDescent="0.2">
      <c r="C703">
        <v>4090</v>
      </c>
    </row>
    <row r="704" spans="3:3" x14ac:dyDescent="0.2">
      <c r="C704">
        <v>108000</v>
      </c>
    </row>
    <row r="705" spans="3:3" x14ac:dyDescent="0.2">
      <c r="C705">
        <v>390000</v>
      </c>
    </row>
    <row r="706" spans="3:3" x14ac:dyDescent="0.2">
      <c r="C706">
        <v>14700</v>
      </c>
    </row>
    <row r="707" spans="3:3" x14ac:dyDescent="0.2">
      <c r="C707">
        <v>88500</v>
      </c>
    </row>
    <row r="708" spans="3:3" x14ac:dyDescent="0.2">
      <c r="C708">
        <v>56000000</v>
      </c>
    </row>
    <row r="709" spans="3:3" x14ac:dyDescent="0.2">
      <c r="C709">
        <v>17400</v>
      </c>
    </row>
    <row r="710" spans="3:3" x14ac:dyDescent="0.2">
      <c r="C710">
        <v>97300</v>
      </c>
    </row>
    <row r="711" spans="3:3" x14ac:dyDescent="0.2">
      <c r="C711">
        <v>6140</v>
      </c>
    </row>
    <row r="712" spans="3:3" x14ac:dyDescent="0.2">
      <c r="C712">
        <v>7510</v>
      </c>
    </row>
    <row r="713" spans="3:3" x14ac:dyDescent="0.2">
      <c r="C713">
        <v>92900</v>
      </c>
    </row>
    <row r="714" spans="3:3" x14ac:dyDescent="0.2">
      <c r="C714">
        <v>85000</v>
      </c>
    </row>
    <row r="715" spans="3:3" x14ac:dyDescent="0.2">
      <c r="C715">
        <v>1100000</v>
      </c>
    </row>
    <row r="716" spans="3:3" x14ac:dyDescent="0.2">
      <c r="C716">
        <v>12200</v>
      </c>
    </row>
    <row r="717" spans="3:3" x14ac:dyDescent="0.2">
      <c r="C717">
        <v>59400</v>
      </c>
    </row>
    <row r="718" spans="3:3" x14ac:dyDescent="0.2">
      <c r="C718">
        <v>69400</v>
      </c>
    </row>
    <row r="719" spans="3:3" x14ac:dyDescent="0.2">
      <c r="C719">
        <v>67500</v>
      </c>
    </row>
    <row r="720" spans="3:3" x14ac:dyDescent="0.2">
      <c r="C720">
        <v>14800</v>
      </c>
    </row>
    <row r="721" spans="3:3" x14ac:dyDescent="0.2">
      <c r="C721">
        <v>393000</v>
      </c>
    </row>
    <row r="722" spans="3:3" x14ac:dyDescent="0.2">
      <c r="C722">
        <v>3690</v>
      </c>
    </row>
    <row r="723" spans="3:3" x14ac:dyDescent="0.2">
      <c r="C723">
        <v>12400</v>
      </c>
    </row>
    <row r="724" spans="3:3" x14ac:dyDescent="0.2">
      <c r="C724">
        <v>1000</v>
      </c>
    </row>
    <row r="725" spans="3:3" x14ac:dyDescent="0.2">
      <c r="C725">
        <v>25400</v>
      </c>
    </row>
    <row r="726" spans="3:3" x14ac:dyDescent="0.2">
      <c r="C726">
        <v>7070</v>
      </c>
    </row>
    <row r="727" spans="3:3" x14ac:dyDescent="0.2">
      <c r="C727">
        <v>4030</v>
      </c>
    </row>
    <row r="728" spans="3:3" x14ac:dyDescent="0.2">
      <c r="C728">
        <v>13900</v>
      </c>
    </row>
    <row r="729" spans="3:3" x14ac:dyDescent="0.2">
      <c r="C729">
        <v>55500</v>
      </c>
    </row>
    <row r="730" spans="3:3" x14ac:dyDescent="0.2">
      <c r="C730">
        <v>2930</v>
      </c>
    </row>
    <row r="731" spans="3:3" x14ac:dyDescent="0.2">
      <c r="C731">
        <v>3610</v>
      </c>
    </row>
    <row r="732" spans="3:3" x14ac:dyDescent="0.2">
      <c r="C732">
        <v>2560</v>
      </c>
    </row>
    <row r="733" spans="3:3" x14ac:dyDescent="0.2">
      <c r="C733">
        <v>45400</v>
      </c>
    </row>
    <row r="734" spans="3:3" x14ac:dyDescent="0.2">
      <c r="C734">
        <v>21500</v>
      </c>
    </row>
    <row r="735" spans="3:3" x14ac:dyDescent="0.2">
      <c r="C735">
        <v>3480</v>
      </c>
    </row>
    <row r="736" spans="3:3" x14ac:dyDescent="0.2">
      <c r="C736">
        <v>64700</v>
      </c>
    </row>
    <row r="737" spans="3:3" x14ac:dyDescent="0.2">
      <c r="C737">
        <v>72600</v>
      </c>
    </row>
    <row r="738" spans="3:3" x14ac:dyDescent="0.2">
      <c r="C738">
        <v>315000</v>
      </c>
    </row>
    <row r="739" spans="3:3" x14ac:dyDescent="0.2">
      <c r="C739">
        <v>5110</v>
      </c>
    </row>
    <row r="740" spans="3:3" x14ac:dyDescent="0.2">
      <c r="C740">
        <v>944000</v>
      </c>
    </row>
    <row r="741" spans="3:3" x14ac:dyDescent="0.2">
      <c r="C741">
        <v>3990000</v>
      </c>
    </row>
    <row r="742" spans="3:3" x14ac:dyDescent="0.2">
      <c r="C742">
        <v>27900</v>
      </c>
    </row>
    <row r="743" spans="3:3" x14ac:dyDescent="0.2">
      <c r="C743">
        <v>160000</v>
      </c>
    </row>
    <row r="744" spans="3:3" x14ac:dyDescent="0.2">
      <c r="C744">
        <v>56300000</v>
      </c>
    </row>
    <row r="745" spans="3:3" x14ac:dyDescent="0.2">
      <c r="C745">
        <v>109000</v>
      </c>
    </row>
    <row r="746" spans="3:3" x14ac:dyDescent="0.2">
      <c r="C746">
        <v>1180000</v>
      </c>
    </row>
    <row r="747" spans="3:3" x14ac:dyDescent="0.2">
      <c r="C747">
        <v>3240</v>
      </c>
    </row>
    <row r="748" spans="3:3" x14ac:dyDescent="0.2">
      <c r="C748">
        <v>39200</v>
      </c>
    </row>
    <row r="749" spans="3:3" x14ac:dyDescent="0.2">
      <c r="C749">
        <v>8550</v>
      </c>
    </row>
    <row r="750" spans="3:3" x14ac:dyDescent="0.2">
      <c r="C750">
        <v>619000</v>
      </c>
    </row>
    <row r="751" spans="3:3" x14ac:dyDescent="0.2">
      <c r="C751">
        <v>1530</v>
      </c>
    </row>
    <row r="752" spans="3:3" x14ac:dyDescent="0.2">
      <c r="C752">
        <v>57400</v>
      </c>
    </row>
    <row r="753" spans="3:3" x14ac:dyDescent="0.2">
      <c r="C753">
        <v>9160</v>
      </c>
    </row>
    <row r="754" spans="3:3" x14ac:dyDescent="0.2">
      <c r="C754">
        <v>1780</v>
      </c>
    </row>
    <row r="755" spans="3:3" x14ac:dyDescent="0.2">
      <c r="C755">
        <v>10000</v>
      </c>
    </row>
    <row r="756" spans="3:3" x14ac:dyDescent="0.2">
      <c r="C756">
        <v>29400</v>
      </c>
    </row>
    <row r="757" spans="3:3" x14ac:dyDescent="0.2">
      <c r="C757">
        <v>240000</v>
      </c>
    </row>
    <row r="758" spans="3:3" x14ac:dyDescent="0.2">
      <c r="C758">
        <v>10700</v>
      </c>
    </row>
    <row r="759" spans="3:3" x14ac:dyDescent="0.2">
      <c r="C759">
        <v>2970</v>
      </c>
    </row>
    <row r="760" spans="3:3" x14ac:dyDescent="0.2">
      <c r="C760">
        <v>2370</v>
      </c>
    </row>
    <row r="761" spans="3:3" x14ac:dyDescent="0.2">
      <c r="C761">
        <v>5000</v>
      </c>
    </row>
    <row r="762" spans="3:3" x14ac:dyDescent="0.2">
      <c r="C762">
        <v>8740</v>
      </c>
    </row>
    <row r="763" spans="3:3" x14ac:dyDescent="0.2">
      <c r="C763">
        <v>39800</v>
      </c>
    </row>
    <row r="764" spans="3:3" x14ac:dyDescent="0.2">
      <c r="C764">
        <v>14500</v>
      </c>
    </row>
    <row r="765" spans="3:3" x14ac:dyDescent="0.2">
      <c r="C765">
        <v>106000</v>
      </c>
    </row>
    <row r="766" spans="3:3" x14ac:dyDescent="0.2">
      <c r="C766">
        <v>1120</v>
      </c>
    </row>
    <row r="767" spans="3:3" x14ac:dyDescent="0.2">
      <c r="C767">
        <v>1300</v>
      </c>
    </row>
    <row r="768" spans="3:3" x14ac:dyDescent="0.2">
      <c r="C768">
        <v>1470</v>
      </c>
    </row>
    <row r="769" spans="3:3" x14ac:dyDescent="0.2">
      <c r="C769">
        <v>178000</v>
      </c>
    </row>
    <row r="770" spans="3:3" x14ac:dyDescent="0.2">
      <c r="C770">
        <v>35000</v>
      </c>
    </row>
    <row r="771" spans="3:3" x14ac:dyDescent="0.2">
      <c r="C771">
        <v>31400</v>
      </c>
    </row>
    <row r="772" spans="3:3" x14ac:dyDescent="0.2">
      <c r="C772">
        <v>197000</v>
      </c>
    </row>
    <row r="773" spans="3:3" x14ac:dyDescent="0.2">
      <c r="C773">
        <v>106000</v>
      </c>
    </row>
    <row r="774" spans="3:3" x14ac:dyDescent="0.2">
      <c r="C774">
        <v>1150000</v>
      </c>
    </row>
    <row r="775" spans="3:3" x14ac:dyDescent="0.2">
      <c r="C775">
        <v>358000</v>
      </c>
    </row>
    <row r="776" spans="3:3" x14ac:dyDescent="0.2">
      <c r="C776">
        <v>602000</v>
      </c>
    </row>
    <row r="777" spans="3:3" x14ac:dyDescent="0.2">
      <c r="C777">
        <v>3280000</v>
      </c>
    </row>
    <row r="778" spans="3:3" x14ac:dyDescent="0.2">
      <c r="C778">
        <v>48100</v>
      </c>
    </row>
    <row r="779" spans="3:3" x14ac:dyDescent="0.2">
      <c r="C779">
        <v>3590000</v>
      </c>
    </row>
    <row r="780" spans="3:3" x14ac:dyDescent="0.2">
      <c r="C780">
        <v>94100000</v>
      </c>
    </row>
    <row r="781" spans="3:3" x14ac:dyDescent="0.2">
      <c r="C781">
        <v>97300</v>
      </c>
    </row>
    <row r="782" spans="3:3" x14ac:dyDescent="0.2">
      <c r="C782">
        <v>17900000</v>
      </c>
    </row>
    <row r="783" spans="3:3" x14ac:dyDescent="0.2">
      <c r="C783">
        <v>6420</v>
      </c>
    </row>
    <row r="784" spans="3:3" x14ac:dyDescent="0.2">
      <c r="C784">
        <v>33300</v>
      </c>
    </row>
    <row r="785" spans="3:3" x14ac:dyDescent="0.2">
      <c r="C785">
        <v>199000</v>
      </c>
    </row>
    <row r="786" spans="3:3" x14ac:dyDescent="0.2">
      <c r="C786">
        <v>3460000</v>
      </c>
    </row>
    <row r="787" spans="3:3" x14ac:dyDescent="0.2">
      <c r="C787">
        <v>15000</v>
      </c>
    </row>
    <row r="788" spans="3:3" x14ac:dyDescent="0.2">
      <c r="C788">
        <v>917000</v>
      </c>
    </row>
    <row r="789" spans="3:3" x14ac:dyDescent="0.2">
      <c r="C789">
        <v>111000</v>
      </c>
    </row>
    <row r="790" spans="3:3" x14ac:dyDescent="0.2">
      <c r="C790">
        <v>122000</v>
      </c>
    </row>
    <row r="791" spans="3:3" x14ac:dyDescent="0.2">
      <c r="C791">
        <v>208000</v>
      </c>
    </row>
    <row r="792" spans="3:3" x14ac:dyDescent="0.2">
      <c r="C792">
        <v>6620000</v>
      </c>
    </row>
    <row r="793" spans="3:3" x14ac:dyDescent="0.2">
      <c r="C793">
        <v>4130000</v>
      </c>
    </row>
    <row r="794" spans="3:3" x14ac:dyDescent="0.2">
      <c r="C794">
        <v>63000</v>
      </c>
    </row>
    <row r="795" spans="3:3" x14ac:dyDescent="0.2">
      <c r="C795">
        <v>171000</v>
      </c>
    </row>
    <row r="796" spans="3:3" x14ac:dyDescent="0.2">
      <c r="C796">
        <v>3250</v>
      </c>
    </row>
    <row r="797" spans="3:3" x14ac:dyDescent="0.2">
      <c r="C797">
        <v>79500</v>
      </c>
    </row>
    <row r="798" spans="3:3" x14ac:dyDescent="0.2">
      <c r="C798">
        <v>277000</v>
      </c>
    </row>
    <row r="799" spans="3:3" x14ac:dyDescent="0.2">
      <c r="C799">
        <v>26100</v>
      </c>
    </row>
    <row r="800" spans="3:3" x14ac:dyDescent="0.2">
      <c r="C800">
        <v>69200</v>
      </c>
    </row>
    <row r="801" spans="3:3" x14ac:dyDescent="0.2">
      <c r="C801">
        <v>330000</v>
      </c>
    </row>
    <row r="802" spans="3:3" x14ac:dyDescent="0.2">
      <c r="C802">
        <v>1100</v>
      </c>
    </row>
    <row r="803" spans="3:3" x14ac:dyDescent="0.2">
      <c r="C803">
        <v>3860</v>
      </c>
    </row>
    <row r="804" spans="3:3" x14ac:dyDescent="0.2">
      <c r="C804">
        <v>4420</v>
      </c>
    </row>
    <row r="805" spans="3:3" x14ac:dyDescent="0.2">
      <c r="C805">
        <v>35500</v>
      </c>
    </row>
    <row r="806" spans="3:3" x14ac:dyDescent="0.2">
      <c r="C806">
        <v>7010</v>
      </c>
    </row>
    <row r="807" spans="3:3" x14ac:dyDescent="0.2">
      <c r="C807">
        <v>6290</v>
      </c>
    </row>
    <row r="808" spans="3:3" x14ac:dyDescent="0.2">
      <c r="C808">
        <v>39400</v>
      </c>
    </row>
    <row r="809" spans="3:3" x14ac:dyDescent="0.2">
      <c r="C809">
        <v>21200</v>
      </c>
    </row>
    <row r="810" spans="3:3" x14ac:dyDescent="0.2">
      <c r="C810">
        <v>230000</v>
      </c>
    </row>
    <row r="811" spans="3:3" x14ac:dyDescent="0.2">
      <c r="C811">
        <v>71500</v>
      </c>
    </row>
    <row r="812" spans="3:3" x14ac:dyDescent="0.2">
      <c r="C812">
        <v>120000</v>
      </c>
    </row>
    <row r="813" spans="3:3" x14ac:dyDescent="0.2">
      <c r="C813">
        <v>656000</v>
      </c>
    </row>
    <row r="814" spans="3:3" x14ac:dyDescent="0.2">
      <c r="C814">
        <v>9630</v>
      </c>
    </row>
    <row r="815" spans="3:3" x14ac:dyDescent="0.2">
      <c r="C815">
        <v>719000</v>
      </c>
    </row>
    <row r="816" spans="3:3" x14ac:dyDescent="0.2">
      <c r="C816">
        <v>90800000</v>
      </c>
    </row>
    <row r="817" spans="3:3" x14ac:dyDescent="0.2">
      <c r="C817">
        <v>605000</v>
      </c>
    </row>
    <row r="818" spans="3:3" x14ac:dyDescent="0.2">
      <c r="C818">
        <v>3570000</v>
      </c>
    </row>
    <row r="819" spans="3:3" x14ac:dyDescent="0.2">
      <c r="C819">
        <v>1280</v>
      </c>
    </row>
    <row r="820" spans="3:3" x14ac:dyDescent="0.2">
      <c r="C820">
        <v>110000</v>
      </c>
    </row>
    <row r="821" spans="3:3" x14ac:dyDescent="0.2">
      <c r="C821">
        <v>208000</v>
      </c>
    </row>
    <row r="822" spans="3:3" x14ac:dyDescent="0.2">
      <c r="C822">
        <v>692000</v>
      </c>
    </row>
    <row r="823" spans="3:3" x14ac:dyDescent="0.2">
      <c r="C823">
        <v>3000</v>
      </c>
    </row>
    <row r="824" spans="3:3" x14ac:dyDescent="0.2">
      <c r="C824">
        <v>933000</v>
      </c>
    </row>
    <row r="825" spans="3:3" x14ac:dyDescent="0.2">
      <c r="C825">
        <v>22200</v>
      </c>
    </row>
    <row r="826" spans="3:3" x14ac:dyDescent="0.2">
      <c r="C826">
        <v>24500</v>
      </c>
    </row>
    <row r="827" spans="3:3" x14ac:dyDescent="0.2">
      <c r="C827">
        <v>41500</v>
      </c>
    </row>
    <row r="828" spans="3:3" x14ac:dyDescent="0.2">
      <c r="C828">
        <v>1320000</v>
      </c>
    </row>
    <row r="829" spans="3:3" x14ac:dyDescent="0.2">
      <c r="C829">
        <v>4260000</v>
      </c>
    </row>
    <row r="830" spans="3:3" x14ac:dyDescent="0.2">
      <c r="C830">
        <v>12600</v>
      </c>
    </row>
    <row r="831" spans="3:3" x14ac:dyDescent="0.2">
      <c r="C831">
        <v>172000</v>
      </c>
    </row>
    <row r="832" spans="3:3" x14ac:dyDescent="0.2">
      <c r="C832">
        <v>1270</v>
      </c>
    </row>
    <row r="833" spans="3:3" x14ac:dyDescent="0.2">
      <c r="C833">
        <v>15900</v>
      </c>
    </row>
    <row r="834" spans="3:3" x14ac:dyDescent="0.2">
      <c r="C834">
        <v>284000</v>
      </c>
    </row>
    <row r="835" spans="3:3" x14ac:dyDescent="0.2">
      <c r="C835">
        <v>5220</v>
      </c>
    </row>
    <row r="836" spans="3:3" x14ac:dyDescent="0.2">
      <c r="C836">
        <v>13800</v>
      </c>
    </row>
    <row r="837" spans="3:3" x14ac:dyDescent="0.2">
      <c r="C837">
        <v>65900</v>
      </c>
    </row>
    <row r="838" spans="3:3" x14ac:dyDescent="0.2">
      <c r="C838">
        <v>1040</v>
      </c>
    </row>
    <row r="839" spans="3:3" x14ac:dyDescent="0.2">
      <c r="C839">
        <v>1070</v>
      </c>
    </row>
    <row r="840" spans="3:3" x14ac:dyDescent="0.2">
      <c r="C840">
        <v>1080</v>
      </c>
    </row>
    <row r="841" spans="3:3" x14ac:dyDescent="0.2">
      <c r="C841">
        <v>45600</v>
      </c>
    </row>
    <row r="842" spans="3:3" x14ac:dyDescent="0.2">
      <c r="C842">
        <v>158000</v>
      </c>
    </row>
    <row r="843" spans="3:3" x14ac:dyDescent="0.2">
      <c r="C843">
        <v>48100</v>
      </c>
    </row>
    <row r="844" spans="3:3" x14ac:dyDescent="0.2">
      <c r="C844">
        <v>42300</v>
      </c>
    </row>
    <row r="845" spans="3:3" x14ac:dyDescent="0.2">
      <c r="C845">
        <v>110000</v>
      </c>
    </row>
    <row r="846" spans="3:3" x14ac:dyDescent="0.2">
      <c r="C846">
        <v>2080000</v>
      </c>
    </row>
    <row r="847" spans="3:3" x14ac:dyDescent="0.2">
      <c r="C847">
        <v>41200</v>
      </c>
    </row>
    <row r="848" spans="3:3" x14ac:dyDescent="0.2">
      <c r="C848">
        <v>203000</v>
      </c>
    </row>
    <row r="849" spans="3:3" x14ac:dyDescent="0.2">
      <c r="C849">
        <v>2460000</v>
      </c>
    </row>
    <row r="850" spans="3:3" x14ac:dyDescent="0.2">
      <c r="C850">
        <v>599000</v>
      </c>
    </row>
    <row r="851" spans="3:3" x14ac:dyDescent="0.2">
      <c r="C851">
        <v>103000</v>
      </c>
    </row>
    <row r="852" spans="3:3" x14ac:dyDescent="0.2">
      <c r="C852">
        <v>87400000</v>
      </c>
    </row>
    <row r="853" spans="3:3" x14ac:dyDescent="0.2">
      <c r="C853">
        <v>620000</v>
      </c>
    </row>
    <row r="854" spans="3:3" x14ac:dyDescent="0.2">
      <c r="C854">
        <v>8150</v>
      </c>
    </row>
    <row r="855" spans="3:3" x14ac:dyDescent="0.2">
      <c r="C855">
        <v>15000</v>
      </c>
    </row>
    <row r="856" spans="3:3" x14ac:dyDescent="0.2">
      <c r="C856">
        <v>84100</v>
      </c>
    </row>
    <row r="857" spans="3:3" x14ac:dyDescent="0.2">
      <c r="C857">
        <v>253000</v>
      </c>
    </row>
    <row r="858" spans="3:3" x14ac:dyDescent="0.2">
      <c r="C858">
        <v>70500</v>
      </c>
    </row>
    <row r="859" spans="3:3" x14ac:dyDescent="0.2">
      <c r="C859">
        <v>18200</v>
      </c>
    </row>
    <row r="860" spans="3:3" x14ac:dyDescent="0.2">
      <c r="C860">
        <v>58000</v>
      </c>
    </row>
    <row r="861" spans="3:3" x14ac:dyDescent="0.2">
      <c r="C861">
        <v>119000</v>
      </c>
    </row>
    <row r="862" spans="3:3" x14ac:dyDescent="0.2">
      <c r="C862">
        <v>21900</v>
      </c>
    </row>
    <row r="863" spans="3:3" x14ac:dyDescent="0.2">
      <c r="C863">
        <v>20700</v>
      </c>
    </row>
    <row r="864" spans="3:3" x14ac:dyDescent="0.2">
      <c r="C864">
        <v>653000</v>
      </c>
    </row>
    <row r="865" spans="3:3" x14ac:dyDescent="0.2">
      <c r="C865">
        <v>108000</v>
      </c>
    </row>
    <row r="866" spans="3:3" x14ac:dyDescent="0.2">
      <c r="C866">
        <v>122000</v>
      </c>
    </row>
    <row r="867" spans="3:3" x14ac:dyDescent="0.2">
      <c r="C867">
        <v>28800</v>
      </c>
    </row>
    <row r="868" spans="3:3" x14ac:dyDescent="0.2">
      <c r="C868">
        <v>1480</v>
      </c>
    </row>
    <row r="869" spans="3:3" x14ac:dyDescent="0.2">
      <c r="C869">
        <v>201000</v>
      </c>
    </row>
    <row r="870" spans="3:3" x14ac:dyDescent="0.2">
      <c r="C870">
        <v>12800</v>
      </c>
    </row>
    <row r="871" spans="3:3" x14ac:dyDescent="0.2">
      <c r="C871">
        <v>25900</v>
      </c>
    </row>
    <row r="872" spans="3:3" x14ac:dyDescent="0.2">
      <c r="C872">
        <v>18100</v>
      </c>
    </row>
    <row r="873" spans="3:3" x14ac:dyDescent="0.2">
      <c r="C873">
        <v>2580000</v>
      </c>
    </row>
    <row r="874" spans="3:3" x14ac:dyDescent="0.2">
      <c r="C874">
        <v>1050</v>
      </c>
    </row>
    <row r="875" spans="3:3" x14ac:dyDescent="0.2">
      <c r="C875">
        <v>1040</v>
      </c>
    </row>
    <row r="876" spans="3:3" x14ac:dyDescent="0.2">
      <c r="C876">
        <v>1080</v>
      </c>
    </row>
    <row r="877" spans="3:3" x14ac:dyDescent="0.2">
      <c r="C877">
        <v>374000</v>
      </c>
    </row>
    <row r="878" spans="3:3" x14ac:dyDescent="0.2">
      <c r="C878">
        <v>180000</v>
      </c>
    </row>
    <row r="879" spans="3:3" x14ac:dyDescent="0.2">
      <c r="C879">
        <v>22800</v>
      </c>
    </row>
    <row r="880" spans="3:3" x14ac:dyDescent="0.2">
      <c r="C880">
        <v>586000</v>
      </c>
    </row>
    <row r="881" spans="3:3" x14ac:dyDescent="0.2">
      <c r="C881">
        <v>129000</v>
      </c>
    </row>
    <row r="882" spans="3:3" x14ac:dyDescent="0.2">
      <c r="C882">
        <v>391000</v>
      </c>
    </row>
    <row r="883" spans="3:3" x14ac:dyDescent="0.2">
      <c r="C883">
        <v>263000</v>
      </c>
    </row>
    <row r="884" spans="3:3" x14ac:dyDescent="0.2">
      <c r="C884">
        <v>2060000</v>
      </c>
    </row>
    <row r="885" spans="3:3" x14ac:dyDescent="0.2">
      <c r="C885">
        <v>6050000</v>
      </c>
    </row>
    <row r="886" spans="3:3" x14ac:dyDescent="0.2">
      <c r="C886">
        <v>116000</v>
      </c>
    </row>
    <row r="887" spans="3:3" x14ac:dyDescent="0.2">
      <c r="C887">
        <v>2300000</v>
      </c>
    </row>
    <row r="888" spans="3:3" x14ac:dyDescent="0.2">
      <c r="C888">
        <v>88900000</v>
      </c>
    </row>
    <row r="889" spans="3:3" x14ac:dyDescent="0.2">
      <c r="C889">
        <v>450000</v>
      </c>
    </row>
    <row r="890" spans="3:3" x14ac:dyDescent="0.2">
      <c r="C890">
        <v>4080000</v>
      </c>
    </row>
    <row r="891" spans="3:3" x14ac:dyDescent="0.2">
      <c r="C891">
        <v>6250</v>
      </c>
    </row>
    <row r="892" spans="3:3" x14ac:dyDescent="0.2">
      <c r="C892">
        <v>51300</v>
      </c>
    </row>
    <row r="893" spans="3:3" x14ac:dyDescent="0.2">
      <c r="C893">
        <v>37600</v>
      </c>
    </row>
    <row r="894" spans="3:3" x14ac:dyDescent="0.2">
      <c r="C894">
        <v>325000</v>
      </c>
    </row>
    <row r="895" spans="3:3" x14ac:dyDescent="0.2">
      <c r="C895">
        <v>11200</v>
      </c>
    </row>
    <row r="896" spans="3:3" x14ac:dyDescent="0.2">
      <c r="C896">
        <v>903000</v>
      </c>
    </row>
    <row r="897" spans="3:3" x14ac:dyDescent="0.2">
      <c r="C897">
        <v>56400</v>
      </c>
    </row>
    <row r="898" spans="3:3" x14ac:dyDescent="0.2">
      <c r="C898">
        <v>47700</v>
      </c>
    </row>
    <row r="899" spans="3:3" x14ac:dyDescent="0.2">
      <c r="C899">
        <v>55100</v>
      </c>
    </row>
    <row r="900" spans="3:3" x14ac:dyDescent="0.2">
      <c r="C900">
        <v>6310000</v>
      </c>
    </row>
    <row r="901" spans="3:3" x14ac:dyDescent="0.2">
      <c r="C901">
        <v>3910000</v>
      </c>
    </row>
    <row r="902" spans="3:3" x14ac:dyDescent="0.2">
      <c r="C902">
        <v>53800</v>
      </c>
    </row>
    <row r="903" spans="3:3" x14ac:dyDescent="0.2">
      <c r="C903">
        <v>175000</v>
      </c>
    </row>
    <row r="904" spans="3:3" x14ac:dyDescent="0.2">
      <c r="C904">
        <v>1560</v>
      </c>
    </row>
    <row r="905" spans="3:3" x14ac:dyDescent="0.2">
      <c r="C905">
        <v>30400</v>
      </c>
    </row>
    <row r="906" spans="3:3" x14ac:dyDescent="0.2">
      <c r="C906">
        <v>91400</v>
      </c>
    </row>
    <row r="907" spans="3:3" x14ac:dyDescent="0.2">
      <c r="C907">
        <v>93400</v>
      </c>
    </row>
    <row r="908" spans="3:3" x14ac:dyDescent="0.2">
      <c r="C908">
        <v>33300</v>
      </c>
    </row>
    <row r="909" spans="3:3" x14ac:dyDescent="0.2">
      <c r="C909">
        <v>1060000</v>
      </c>
    </row>
    <row r="910" spans="3:3" x14ac:dyDescent="0.2">
      <c r="C910">
        <v>2100</v>
      </c>
    </row>
    <row r="911" spans="3:3" x14ac:dyDescent="0.2">
      <c r="C911">
        <v>5190</v>
      </c>
    </row>
    <row r="912" spans="3:3" x14ac:dyDescent="0.2">
      <c r="C912">
        <v>5510</v>
      </c>
    </row>
    <row r="913" spans="3:3" x14ac:dyDescent="0.2">
      <c r="C913">
        <v>6250000</v>
      </c>
    </row>
    <row r="914" spans="3:3" x14ac:dyDescent="0.2">
      <c r="C914">
        <v>2430000</v>
      </c>
    </row>
    <row r="915" spans="3:3" x14ac:dyDescent="0.2">
      <c r="C915">
        <v>424000</v>
      </c>
    </row>
    <row r="916" spans="3:3" x14ac:dyDescent="0.2">
      <c r="C916">
        <v>27800000</v>
      </c>
    </row>
    <row r="917" spans="3:3" x14ac:dyDescent="0.2">
      <c r="C917">
        <v>62900000</v>
      </c>
    </row>
    <row r="918" spans="3:3" x14ac:dyDescent="0.2">
      <c r="C918">
        <v>15400000</v>
      </c>
    </row>
    <row r="919" spans="3:3" x14ac:dyDescent="0.2">
      <c r="C919">
        <v>5300000</v>
      </c>
    </row>
    <row r="920" spans="3:3" x14ac:dyDescent="0.2">
      <c r="C920">
        <v>11000000</v>
      </c>
    </row>
    <row r="921" spans="3:3" x14ac:dyDescent="0.2">
      <c r="C921">
        <v>11100000</v>
      </c>
    </row>
    <row r="922" spans="3:3" x14ac:dyDescent="0.2">
      <c r="C922">
        <v>1930000</v>
      </c>
    </row>
    <row r="923" spans="3:3" x14ac:dyDescent="0.2">
      <c r="C923">
        <v>1920000</v>
      </c>
    </row>
    <row r="924" spans="3:3" x14ac:dyDescent="0.2">
      <c r="C924">
        <v>388000000</v>
      </c>
    </row>
    <row r="925" spans="3:3" x14ac:dyDescent="0.2">
      <c r="C925">
        <v>2730000</v>
      </c>
    </row>
    <row r="926" spans="3:3" x14ac:dyDescent="0.2">
      <c r="C926">
        <v>7770000</v>
      </c>
    </row>
    <row r="927" spans="3:3" x14ac:dyDescent="0.2">
      <c r="C927">
        <v>51200</v>
      </c>
    </row>
    <row r="928" spans="3:3" x14ac:dyDescent="0.2">
      <c r="C928">
        <v>106000</v>
      </c>
    </row>
    <row r="929" spans="3:3" x14ac:dyDescent="0.2">
      <c r="C929">
        <v>427000</v>
      </c>
    </row>
    <row r="930" spans="3:3" x14ac:dyDescent="0.2">
      <c r="C930">
        <v>11000000</v>
      </c>
    </row>
    <row r="931" spans="3:3" x14ac:dyDescent="0.2">
      <c r="C931">
        <v>17300000</v>
      </c>
    </row>
    <row r="932" spans="3:3" x14ac:dyDescent="0.2">
      <c r="C932">
        <v>1280000</v>
      </c>
    </row>
    <row r="933" spans="3:3" x14ac:dyDescent="0.2">
      <c r="C933">
        <v>975000</v>
      </c>
    </row>
    <row r="934" spans="3:3" x14ac:dyDescent="0.2">
      <c r="C934">
        <v>922000</v>
      </c>
    </row>
    <row r="935" spans="3:3" x14ac:dyDescent="0.2">
      <c r="C935">
        <v>1200000</v>
      </c>
    </row>
    <row r="936" spans="3:3" x14ac:dyDescent="0.2">
      <c r="C936">
        <v>12300000</v>
      </c>
    </row>
    <row r="937" spans="3:3" x14ac:dyDescent="0.2">
      <c r="C937">
        <v>13700000</v>
      </c>
    </row>
    <row r="938" spans="3:3" x14ac:dyDescent="0.2">
      <c r="C938">
        <v>339000</v>
      </c>
    </row>
    <row r="939" spans="3:3" x14ac:dyDescent="0.2">
      <c r="C939">
        <v>582000</v>
      </c>
    </row>
    <row r="940" spans="3:3" x14ac:dyDescent="0.2">
      <c r="C940">
        <v>1460</v>
      </c>
    </row>
    <row r="941" spans="3:3" x14ac:dyDescent="0.2">
      <c r="C941">
        <v>668000</v>
      </c>
    </row>
    <row r="942" spans="3:3" x14ac:dyDescent="0.2">
      <c r="C942">
        <v>1830000</v>
      </c>
    </row>
    <row r="943" spans="3:3" x14ac:dyDescent="0.2">
      <c r="C943">
        <v>821000</v>
      </c>
    </row>
    <row r="944" spans="3:3" x14ac:dyDescent="0.2">
      <c r="C944">
        <v>1100000</v>
      </c>
    </row>
    <row r="945" spans="3:3" x14ac:dyDescent="0.2">
      <c r="C945">
        <v>12900000</v>
      </c>
    </row>
    <row r="946" spans="3:3" x14ac:dyDescent="0.2">
      <c r="C946">
        <v>16200</v>
      </c>
    </row>
    <row r="947" spans="3:3" x14ac:dyDescent="0.2">
      <c r="C947">
        <v>546000</v>
      </c>
    </row>
    <row r="948" spans="3:3" x14ac:dyDescent="0.2">
      <c r="C948">
        <v>7350</v>
      </c>
    </row>
    <row r="949" spans="3:3" x14ac:dyDescent="0.2">
      <c r="C949">
        <v>1440000</v>
      </c>
    </row>
    <row r="950" spans="3:3" x14ac:dyDescent="0.2">
      <c r="C950">
        <v>6670000</v>
      </c>
    </row>
    <row r="951" spans="3:3" x14ac:dyDescent="0.2">
      <c r="C951">
        <v>1180000</v>
      </c>
    </row>
    <row r="952" spans="3:3" x14ac:dyDescent="0.2">
      <c r="C952">
        <v>8910000</v>
      </c>
    </row>
    <row r="953" spans="3:3" x14ac:dyDescent="0.2">
      <c r="C953">
        <v>8450000</v>
      </c>
    </row>
    <row r="954" spans="3:3" x14ac:dyDescent="0.2">
      <c r="C954">
        <v>13400000</v>
      </c>
    </row>
    <row r="955" spans="3:3" x14ac:dyDescent="0.2">
      <c r="C955">
        <v>1460000</v>
      </c>
    </row>
    <row r="956" spans="3:3" x14ac:dyDescent="0.2">
      <c r="C956">
        <v>16100000</v>
      </c>
    </row>
    <row r="957" spans="3:3" x14ac:dyDescent="0.2">
      <c r="C957">
        <v>35600000</v>
      </c>
    </row>
    <row r="958" spans="3:3" x14ac:dyDescent="0.2">
      <c r="C958">
        <v>2790000</v>
      </c>
    </row>
    <row r="959" spans="3:3" x14ac:dyDescent="0.2">
      <c r="C959">
        <v>355000</v>
      </c>
    </row>
    <row r="960" spans="3:3" x14ac:dyDescent="0.2">
      <c r="C960">
        <v>556000000</v>
      </c>
    </row>
    <row r="961" spans="3:3" x14ac:dyDescent="0.2">
      <c r="C961">
        <v>3670000</v>
      </c>
    </row>
    <row r="962" spans="3:3" x14ac:dyDescent="0.2">
      <c r="C962">
        <v>489000</v>
      </c>
    </row>
    <row r="963" spans="3:3" x14ac:dyDescent="0.2">
      <c r="C963">
        <v>161000</v>
      </c>
    </row>
    <row r="964" spans="3:3" x14ac:dyDescent="0.2">
      <c r="C964">
        <v>685000</v>
      </c>
    </row>
    <row r="965" spans="3:3" x14ac:dyDescent="0.2">
      <c r="C965">
        <v>369000</v>
      </c>
    </row>
    <row r="966" spans="3:3" x14ac:dyDescent="0.2">
      <c r="C966">
        <v>93000000</v>
      </c>
    </row>
    <row r="967" spans="3:3" x14ac:dyDescent="0.2">
      <c r="C967">
        <v>16700000</v>
      </c>
    </row>
    <row r="968" spans="3:3" x14ac:dyDescent="0.2">
      <c r="C968">
        <v>6000000</v>
      </c>
    </row>
    <row r="969" spans="3:3" x14ac:dyDescent="0.2">
      <c r="C969">
        <v>820000</v>
      </c>
    </row>
    <row r="970" spans="3:3" x14ac:dyDescent="0.2">
      <c r="C970">
        <v>378000</v>
      </c>
    </row>
    <row r="971" spans="3:3" x14ac:dyDescent="0.2">
      <c r="C971">
        <v>1110000</v>
      </c>
    </row>
    <row r="972" spans="3:3" x14ac:dyDescent="0.2">
      <c r="C972">
        <v>4530000</v>
      </c>
    </row>
    <row r="973" spans="3:3" x14ac:dyDescent="0.2">
      <c r="C973">
        <v>3210000</v>
      </c>
    </row>
    <row r="974" spans="3:3" x14ac:dyDescent="0.2">
      <c r="C974">
        <v>716000</v>
      </c>
    </row>
    <row r="975" spans="3:3" x14ac:dyDescent="0.2">
      <c r="C975">
        <v>1070000</v>
      </c>
    </row>
    <row r="976" spans="3:3" x14ac:dyDescent="0.2">
      <c r="C976">
        <v>1220</v>
      </c>
    </row>
    <row r="977" spans="3:3" x14ac:dyDescent="0.2">
      <c r="C977">
        <v>1090000</v>
      </c>
    </row>
    <row r="978" spans="3:3" x14ac:dyDescent="0.2">
      <c r="C978">
        <v>259000</v>
      </c>
    </row>
    <row r="979" spans="3:3" x14ac:dyDescent="0.2">
      <c r="C979">
        <v>211000</v>
      </c>
    </row>
    <row r="980" spans="3:3" x14ac:dyDescent="0.2">
      <c r="C980">
        <v>389000</v>
      </c>
    </row>
    <row r="981" spans="3:3" x14ac:dyDescent="0.2">
      <c r="C981">
        <v>7050000</v>
      </c>
    </row>
    <row r="982" spans="3:3" x14ac:dyDescent="0.2">
      <c r="C982">
        <v>49100</v>
      </c>
    </row>
    <row r="983" spans="3:3" x14ac:dyDescent="0.2">
      <c r="C983">
        <v>109000</v>
      </c>
    </row>
    <row r="984" spans="3:3" x14ac:dyDescent="0.2">
      <c r="C984">
        <v>5900</v>
      </c>
    </row>
    <row r="985" spans="3:3" x14ac:dyDescent="0.2">
      <c r="C985">
        <v>796000</v>
      </c>
    </row>
    <row r="986" spans="3:3" x14ac:dyDescent="0.2">
      <c r="C986">
        <v>1330000</v>
      </c>
    </row>
    <row r="987" spans="3:3" x14ac:dyDescent="0.2">
      <c r="C987">
        <v>107000</v>
      </c>
    </row>
    <row r="988" spans="3:3" x14ac:dyDescent="0.2">
      <c r="C988">
        <v>5440000</v>
      </c>
    </row>
    <row r="989" spans="3:3" x14ac:dyDescent="0.2">
      <c r="C989">
        <v>8800000</v>
      </c>
    </row>
    <row r="990" spans="3:3" x14ac:dyDescent="0.2">
      <c r="C990">
        <v>9710000</v>
      </c>
    </row>
    <row r="991" spans="3:3" x14ac:dyDescent="0.2">
      <c r="C991">
        <v>574000</v>
      </c>
    </row>
    <row r="992" spans="3:3" x14ac:dyDescent="0.2">
      <c r="C992">
        <v>1470000</v>
      </c>
    </row>
    <row r="993" spans="3:3" x14ac:dyDescent="0.2">
      <c r="C993">
        <v>3620000</v>
      </c>
    </row>
    <row r="994" spans="3:3" x14ac:dyDescent="0.2">
      <c r="C994">
        <v>232000</v>
      </c>
    </row>
    <row r="995" spans="3:3" x14ac:dyDescent="0.2">
      <c r="C995">
        <v>4910000</v>
      </c>
    </row>
    <row r="996" spans="3:3" x14ac:dyDescent="0.2">
      <c r="C996">
        <v>55400000</v>
      </c>
    </row>
    <row r="997" spans="3:3" x14ac:dyDescent="0.2">
      <c r="C997">
        <v>311000</v>
      </c>
    </row>
    <row r="998" spans="3:3" x14ac:dyDescent="0.2">
      <c r="C998">
        <v>12100000</v>
      </c>
    </row>
    <row r="999" spans="3:3" x14ac:dyDescent="0.2">
      <c r="C999">
        <v>10700</v>
      </c>
    </row>
    <row r="1000" spans="3:3" x14ac:dyDescent="0.2">
      <c r="C1000">
        <v>45000</v>
      </c>
    </row>
    <row r="1001" spans="3:3" x14ac:dyDescent="0.2">
      <c r="C1001">
        <v>126000</v>
      </c>
    </row>
    <row r="1002" spans="3:3" x14ac:dyDescent="0.2">
      <c r="C1002">
        <v>15000000</v>
      </c>
    </row>
    <row r="1003" spans="3:3" x14ac:dyDescent="0.2">
      <c r="C1003">
        <v>1070000</v>
      </c>
    </row>
    <row r="1004" spans="3:3" x14ac:dyDescent="0.2">
      <c r="C1004">
        <v>412000</v>
      </c>
    </row>
    <row r="1005" spans="3:3" x14ac:dyDescent="0.2">
      <c r="C1005">
        <v>378000</v>
      </c>
    </row>
    <row r="1006" spans="3:3" x14ac:dyDescent="0.2">
      <c r="C1006">
        <v>82100</v>
      </c>
    </row>
    <row r="1007" spans="3:3" x14ac:dyDescent="0.2">
      <c r="C1007">
        <v>480000</v>
      </c>
    </row>
    <row r="1008" spans="3:3" x14ac:dyDescent="0.2">
      <c r="C1008">
        <v>4240000</v>
      </c>
    </row>
    <row r="1009" spans="3:3" x14ac:dyDescent="0.2">
      <c r="C1009">
        <v>1700000</v>
      </c>
    </row>
    <row r="1010" spans="3:3" x14ac:dyDescent="0.2">
      <c r="C1010">
        <v>40600</v>
      </c>
    </row>
    <row r="1011" spans="3:3" x14ac:dyDescent="0.2">
      <c r="C1011">
        <v>55900</v>
      </c>
    </row>
    <row r="1012" spans="3:3" x14ac:dyDescent="0.2">
      <c r="C1012">
        <v>1160</v>
      </c>
    </row>
    <row r="1013" spans="3:3" x14ac:dyDescent="0.2">
      <c r="C1013">
        <v>108000</v>
      </c>
    </row>
    <row r="1014" spans="3:3" x14ac:dyDescent="0.2">
      <c r="C1014">
        <v>180000</v>
      </c>
    </row>
    <row r="1015" spans="3:3" x14ac:dyDescent="0.2">
      <c r="C1015">
        <v>147000</v>
      </c>
    </row>
    <row r="1016" spans="3:3" x14ac:dyDescent="0.2">
      <c r="C1016">
        <v>279000</v>
      </c>
    </row>
    <row r="1017" spans="3:3" x14ac:dyDescent="0.2">
      <c r="C1017">
        <v>1480000</v>
      </c>
    </row>
    <row r="1018" spans="3:3" x14ac:dyDescent="0.2">
      <c r="C1018">
        <v>12600</v>
      </c>
    </row>
    <row r="1019" spans="3:3" x14ac:dyDescent="0.2">
      <c r="C1019">
        <v>352000</v>
      </c>
    </row>
    <row r="1020" spans="3:3" x14ac:dyDescent="0.2">
      <c r="C1020">
        <v>3610</v>
      </c>
    </row>
    <row r="1021" spans="3:3" x14ac:dyDescent="0.2">
      <c r="C1021">
        <v>12700000</v>
      </c>
    </row>
    <row r="1022" spans="3:3" x14ac:dyDescent="0.2">
      <c r="C1022">
        <v>60400000</v>
      </c>
    </row>
    <row r="1023" spans="3:3" x14ac:dyDescent="0.2">
      <c r="C1023">
        <v>1570000</v>
      </c>
    </row>
    <row r="1024" spans="3:3" x14ac:dyDescent="0.2">
      <c r="C1024">
        <v>21200000</v>
      </c>
    </row>
    <row r="1025" spans="3:3" x14ac:dyDescent="0.2">
      <c r="C1025">
        <v>75600000</v>
      </c>
    </row>
    <row r="1026" spans="3:3" x14ac:dyDescent="0.2">
      <c r="C1026">
        <v>7320000</v>
      </c>
    </row>
    <row r="1027" spans="3:3" x14ac:dyDescent="0.2">
      <c r="C1027">
        <v>21000000</v>
      </c>
    </row>
    <row r="1028" spans="3:3" x14ac:dyDescent="0.2">
      <c r="C1028">
        <v>18200000</v>
      </c>
    </row>
    <row r="1029" spans="3:3" x14ac:dyDescent="0.2">
      <c r="C1029">
        <v>63100000</v>
      </c>
    </row>
    <row r="1030" spans="3:3" x14ac:dyDescent="0.2">
      <c r="C1030">
        <v>630000</v>
      </c>
    </row>
    <row r="1031" spans="3:3" x14ac:dyDescent="0.2">
      <c r="C1031">
        <v>5690000</v>
      </c>
    </row>
    <row r="1032" spans="3:3" x14ac:dyDescent="0.2">
      <c r="C1032">
        <v>1950000000</v>
      </c>
    </row>
    <row r="1033" spans="3:3" x14ac:dyDescent="0.2">
      <c r="C1033">
        <v>10800000</v>
      </c>
    </row>
    <row r="1034" spans="3:3" x14ac:dyDescent="0.2">
      <c r="C1034">
        <v>103000000</v>
      </c>
    </row>
    <row r="1035" spans="3:3" x14ac:dyDescent="0.2">
      <c r="C1035">
        <v>447000</v>
      </c>
    </row>
    <row r="1036" spans="3:3" x14ac:dyDescent="0.2">
      <c r="C1036">
        <v>452000</v>
      </c>
    </row>
    <row r="1037" spans="3:3" x14ac:dyDescent="0.2">
      <c r="C1037">
        <v>518000</v>
      </c>
    </row>
    <row r="1038" spans="3:3" x14ac:dyDescent="0.2">
      <c r="C1038">
        <v>28700000</v>
      </c>
    </row>
    <row r="1039" spans="3:3" x14ac:dyDescent="0.2">
      <c r="C1039">
        <v>5500000</v>
      </c>
    </row>
    <row r="1040" spans="3:3" x14ac:dyDescent="0.2">
      <c r="C1040">
        <v>5300000</v>
      </c>
    </row>
    <row r="1041" spans="3:3" x14ac:dyDescent="0.2">
      <c r="C1041">
        <v>555000</v>
      </c>
    </row>
    <row r="1042" spans="3:3" x14ac:dyDescent="0.2">
      <c r="C1042">
        <v>837000</v>
      </c>
    </row>
    <row r="1043" spans="3:3" x14ac:dyDescent="0.2">
      <c r="C1043">
        <v>1420000</v>
      </c>
    </row>
    <row r="1044" spans="3:3" x14ac:dyDescent="0.2">
      <c r="C1044">
        <v>5020000</v>
      </c>
    </row>
    <row r="1045" spans="3:3" x14ac:dyDescent="0.2">
      <c r="C1045">
        <v>3110000</v>
      </c>
    </row>
    <row r="1046" spans="3:3" x14ac:dyDescent="0.2">
      <c r="C1046">
        <v>1050000</v>
      </c>
    </row>
    <row r="1047" spans="3:3" x14ac:dyDescent="0.2">
      <c r="C1047">
        <v>1100000</v>
      </c>
    </row>
    <row r="1048" spans="3:3" x14ac:dyDescent="0.2">
      <c r="C1048">
        <v>1110</v>
      </c>
    </row>
    <row r="1049" spans="3:3" x14ac:dyDescent="0.2">
      <c r="C1049">
        <v>4020000</v>
      </c>
    </row>
    <row r="1050" spans="3:3" x14ac:dyDescent="0.2">
      <c r="C1050">
        <v>927000</v>
      </c>
    </row>
    <row r="1051" spans="3:3" x14ac:dyDescent="0.2">
      <c r="C1051">
        <v>561000</v>
      </c>
    </row>
    <row r="1052" spans="3:3" x14ac:dyDescent="0.2">
      <c r="C1052">
        <v>397000</v>
      </c>
    </row>
    <row r="1053" spans="3:3" x14ac:dyDescent="0.2">
      <c r="C1053">
        <v>41700000</v>
      </c>
    </row>
    <row r="1054" spans="3:3" x14ac:dyDescent="0.2">
      <c r="C1054">
        <v>87700</v>
      </c>
    </row>
    <row r="1055" spans="3:3" x14ac:dyDescent="0.2">
      <c r="C1055">
        <v>528000</v>
      </c>
    </row>
    <row r="1056" spans="3:3" x14ac:dyDescent="0.2">
      <c r="C1056">
        <v>17600</v>
      </c>
    </row>
    <row r="1057" spans="3:3" x14ac:dyDescent="0.2">
      <c r="C1057">
        <v>3000000</v>
      </c>
    </row>
    <row r="1058" spans="3:3" x14ac:dyDescent="0.2">
      <c r="C1058">
        <v>6000000</v>
      </c>
    </row>
    <row r="1059" spans="3:3" x14ac:dyDescent="0.2">
      <c r="C1059">
        <v>44000</v>
      </c>
    </row>
    <row r="1060" spans="3:3" x14ac:dyDescent="0.2">
      <c r="C1060">
        <v>4000000</v>
      </c>
    </row>
    <row r="1061" spans="3:3" x14ac:dyDescent="0.2">
      <c r="C1061">
        <v>6300000</v>
      </c>
    </row>
    <row r="1062" spans="3:3" x14ac:dyDescent="0.2">
      <c r="C1062">
        <v>6500000</v>
      </c>
    </row>
    <row r="1063" spans="3:3" x14ac:dyDescent="0.2">
      <c r="C1063">
        <v>300000</v>
      </c>
    </row>
    <row r="1064" spans="3:3" x14ac:dyDescent="0.2">
      <c r="C1064">
        <v>22387211.385683414</v>
      </c>
    </row>
    <row r="1065" spans="3:3" x14ac:dyDescent="0.2">
      <c r="C1065">
        <v>144543.97707459307</v>
      </c>
    </row>
    <row r="1066" spans="3:3" x14ac:dyDescent="0.2">
      <c r="C1066">
        <v>3311311.2148259105</v>
      </c>
    </row>
    <row r="1067" spans="3:3" x14ac:dyDescent="0.2">
      <c r="C1067">
        <v>41686938.347033612</v>
      </c>
    </row>
    <row r="1068" spans="3:3" x14ac:dyDescent="0.2">
      <c r="C1068">
        <v>2238.7211385683418</v>
      </c>
    </row>
    <row r="1069" spans="3:3" x14ac:dyDescent="0.2">
      <c r="C1069">
        <v>15488166189.124847</v>
      </c>
    </row>
    <row r="1070" spans="3:3" x14ac:dyDescent="0.2">
      <c r="C1070">
        <v>251188643.15095839</v>
      </c>
    </row>
    <row r="1071" spans="3:3" x14ac:dyDescent="0.2">
      <c r="C1071">
        <v>10000000</v>
      </c>
    </row>
    <row r="1072" spans="3:3" x14ac:dyDescent="0.2">
      <c r="C1072">
        <v>79432.823472428237</v>
      </c>
    </row>
    <row r="1073" spans="3:3" x14ac:dyDescent="0.2">
      <c r="C1073">
        <v>12589.254117941671</v>
      </c>
    </row>
    <row r="1074" spans="3:3" x14ac:dyDescent="0.2">
      <c r="C1074">
        <v>158489.31924611164</v>
      </c>
    </row>
    <row r="1075" spans="3:3" x14ac:dyDescent="0.2">
      <c r="C1075">
        <v>37800000</v>
      </c>
    </row>
    <row r="1076" spans="3:3" x14ac:dyDescent="0.2">
      <c r="C1076">
        <v>90400000</v>
      </c>
    </row>
    <row r="1077" spans="3:3" x14ac:dyDescent="0.2">
      <c r="C1077">
        <v>117000</v>
      </c>
    </row>
    <row r="1078" spans="3:3" x14ac:dyDescent="0.2">
      <c r="C1078">
        <v>690000000</v>
      </c>
    </row>
    <row r="1079" spans="3:3" x14ac:dyDescent="0.2">
      <c r="C1079">
        <v>416000</v>
      </c>
    </row>
    <row r="1080" spans="3:3" x14ac:dyDescent="0.2">
      <c r="C1080">
        <v>2140000</v>
      </c>
    </row>
    <row r="1081" spans="3:3" x14ac:dyDescent="0.2">
      <c r="C1081">
        <v>9290000</v>
      </c>
    </row>
    <row r="1082" spans="3:3" x14ac:dyDescent="0.2">
      <c r="C1082">
        <v>53500000</v>
      </c>
    </row>
    <row r="1083" spans="3:3" x14ac:dyDescent="0.2">
      <c r="C1083">
        <v>6090000</v>
      </c>
    </row>
    <row r="1084" spans="3:3" x14ac:dyDescent="0.2">
      <c r="C1084">
        <v>66000000</v>
      </c>
    </row>
    <row r="1085" spans="3:3" x14ac:dyDescent="0.2">
      <c r="C1085">
        <v>2870000</v>
      </c>
    </row>
    <row r="1086" spans="3:3" x14ac:dyDescent="0.2">
      <c r="C1086">
        <v>11100000</v>
      </c>
    </row>
    <row r="1087" spans="3:3" x14ac:dyDescent="0.2">
      <c r="C1087">
        <v>7200</v>
      </c>
    </row>
    <row r="1088" spans="3:3" x14ac:dyDescent="0.2">
      <c r="C1088">
        <v>3200</v>
      </c>
    </row>
    <row r="1089" spans="3:3" x14ac:dyDescent="0.2">
      <c r="C1089">
        <v>3500000</v>
      </c>
    </row>
    <row r="1090" spans="3:3" x14ac:dyDescent="0.2">
      <c r="C1090">
        <v>2100000</v>
      </c>
    </row>
    <row r="1091" spans="3:3" x14ac:dyDescent="0.2">
      <c r="C1091">
        <v>1700000</v>
      </c>
    </row>
    <row r="1092" spans="3:3" x14ac:dyDescent="0.2">
      <c r="C1092">
        <v>1100000</v>
      </c>
    </row>
    <row r="1093" spans="3:3" x14ac:dyDescent="0.2">
      <c r="C1093">
        <v>33000</v>
      </c>
    </row>
    <row r="1094" spans="3:3" x14ac:dyDescent="0.2">
      <c r="C1094">
        <v>20000</v>
      </c>
    </row>
    <row r="1095" spans="3:3" x14ac:dyDescent="0.2">
      <c r="C1095">
        <v>0</v>
      </c>
    </row>
    <row r="1096" spans="3:3" x14ac:dyDescent="0.2">
      <c r="C1096">
        <v>0</v>
      </c>
    </row>
    <row r="1097" spans="3:3" x14ac:dyDescent="0.2">
      <c r="C1097">
        <v>0</v>
      </c>
    </row>
    <row r="1098" spans="3:3" x14ac:dyDescent="0.2">
      <c r="C1098">
        <v>0</v>
      </c>
    </row>
    <row r="1099" spans="3:3" x14ac:dyDescent="0.2">
      <c r="C1099">
        <v>0</v>
      </c>
    </row>
    <row r="1100" spans="3:3" x14ac:dyDescent="0.2">
      <c r="C1100">
        <v>0</v>
      </c>
    </row>
    <row r="1101" spans="3:3" x14ac:dyDescent="0.2">
      <c r="C1101">
        <v>0</v>
      </c>
    </row>
    <row r="1102" spans="3:3" x14ac:dyDescent="0.2">
      <c r="C1102">
        <v>0</v>
      </c>
    </row>
    <row r="1103" spans="3:3" x14ac:dyDescent="0.2">
      <c r="C1103">
        <v>0</v>
      </c>
    </row>
    <row r="1104" spans="3:3" x14ac:dyDescent="0.2">
      <c r="C1104">
        <v>0</v>
      </c>
    </row>
    <row r="1105" spans="3:3" x14ac:dyDescent="0.2">
      <c r="C1105">
        <v>0</v>
      </c>
    </row>
    <row r="1106" spans="3:3" x14ac:dyDescent="0.2">
      <c r="C1106">
        <v>0</v>
      </c>
    </row>
    <row r="1107" spans="3:3" x14ac:dyDescent="0.2">
      <c r="C1107">
        <v>0</v>
      </c>
    </row>
    <row r="1108" spans="3:3" x14ac:dyDescent="0.2">
      <c r="C110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697C-13FA-D842-AE22-2FCB0ADF6A2E}">
  <dimension ref="A1:F30"/>
  <sheetViews>
    <sheetView workbookViewId="0">
      <selection activeCell="L66" sqref="L66"/>
    </sheetView>
  </sheetViews>
  <sheetFormatPr baseColWidth="10" defaultRowHeight="16" x14ac:dyDescent="0.2"/>
  <cols>
    <col min="1" max="1" width="18" bestFit="1" customWidth="1"/>
    <col min="2" max="2" width="23.1640625" customWidth="1"/>
    <col min="3" max="4" width="12.1640625" bestFit="1" customWidth="1"/>
    <col min="5" max="5" width="45.83203125" bestFit="1" customWidth="1"/>
  </cols>
  <sheetData>
    <row r="1" spans="1:6" x14ac:dyDescent="0.2">
      <c r="C1" t="s">
        <v>170</v>
      </c>
      <c r="D1" t="s">
        <v>171</v>
      </c>
      <c r="E1" t="s">
        <v>22</v>
      </c>
      <c r="F1" t="s">
        <v>23</v>
      </c>
    </row>
    <row r="2" spans="1:6" x14ac:dyDescent="0.2">
      <c r="A2" t="s">
        <v>0</v>
      </c>
      <c r="B2" t="s">
        <v>11</v>
      </c>
      <c r="C2">
        <f>350/1000</f>
        <v>0.35</v>
      </c>
      <c r="D2">
        <f>1604/1000</f>
        <v>1.6040000000000001</v>
      </c>
      <c r="F2" t="s">
        <v>24</v>
      </c>
    </row>
    <row r="3" spans="1:6" x14ac:dyDescent="0.2">
      <c r="A3" t="s">
        <v>1</v>
      </c>
      <c r="B3" t="s">
        <v>12</v>
      </c>
      <c r="C3">
        <f>88/1000</f>
        <v>8.7999999999999995E-2</v>
      </c>
      <c r="D3">
        <f>2830/1000</f>
        <v>2.83</v>
      </c>
      <c r="F3" t="s">
        <v>24</v>
      </c>
    </row>
    <row r="4" spans="1:6" x14ac:dyDescent="0.2">
      <c r="A4" t="s">
        <v>2</v>
      </c>
      <c r="B4" t="s">
        <v>13</v>
      </c>
      <c r="C4" s="2">
        <f>0.00035/1000</f>
        <v>3.4999999999999998E-7</v>
      </c>
      <c r="D4">
        <f>0.32/1000</f>
        <v>3.2000000000000003E-4</v>
      </c>
      <c r="F4" t="s">
        <v>24</v>
      </c>
    </row>
    <row r="5" spans="1:6" x14ac:dyDescent="0.2">
      <c r="A5" t="s">
        <v>3</v>
      </c>
      <c r="B5" t="s">
        <v>14</v>
      </c>
      <c r="C5" s="3"/>
      <c r="D5" s="3"/>
      <c r="F5" t="s">
        <v>24</v>
      </c>
    </row>
    <row r="6" spans="1:6" x14ac:dyDescent="0.2">
      <c r="A6" t="s">
        <v>4</v>
      </c>
      <c r="B6" t="s">
        <v>15</v>
      </c>
      <c r="C6" s="2">
        <f>0.00027/1000</f>
        <v>2.7000000000000001E-7</v>
      </c>
      <c r="D6">
        <f>0.03/1000</f>
        <v>2.9999999999999997E-5</v>
      </c>
      <c r="E6" t="s">
        <v>172</v>
      </c>
      <c r="F6" t="s">
        <v>24</v>
      </c>
    </row>
    <row r="7" spans="1:6" x14ac:dyDescent="0.2">
      <c r="A7" t="s">
        <v>5</v>
      </c>
      <c r="B7" t="s">
        <v>16</v>
      </c>
      <c r="C7">
        <f>0.008/1000</f>
        <v>7.9999999999999996E-6</v>
      </c>
      <c r="D7">
        <f>0.124/1000</f>
        <v>1.2400000000000001E-4</v>
      </c>
      <c r="F7" t="s">
        <v>24</v>
      </c>
    </row>
    <row r="8" spans="1:6" x14ac:dyDescent="0.2">
      <c r="A8" t="s">
        <v>6</v>
      </c>
      <c r="B8" t="s">
        <v>17</v>
      </c>
      <c r="C8" s="3"/>
      <c r="D8" s="3"/>
      <c r="F8" t="s">
        <v>24</v>
      </c>
    </row>
    <row r="9" spans="1:6" x14ac:dyDescent="0.2">
      <c r="A9" t="s">
        <v>7</v>
      </c>
      <c r="B9" t="s">
        <v>18</v>
      </c>
      <c r="C9">
        <f>38/900/1000</f>
        <v>4.2222222222222222E-5</v>
      </c>
      <c r="D9">
        <f>234/9000/1000</f>
        <v>2.5999999999999998E-5</v>
      </c>
      <c r="E9" t="s">
        <v>63</v>
      </c>
      <c r="F9" t="s">
        <v>24</v>
      </c>
    </row>
    <row r="10" spans="1:6" x14ac:dyDescent="0.2">
      <c r="A10" t="s">
        <v>8</v>
      </c>
      <c r="B10" t="s">
        <v>19</v>
      </c>
      <c r="C10">
        <f>70.8/1050/1000</f>
        <v>6.7428571428571418E-5</v>
      </c>
      <c r="D10">
        <f>70.8/1050/1000</f>
        <v>6.7428571428571418E-5</v>
      </c>
      <c r="E10" t="s">
        <v>64</v>
      </c>
      <c r="F10" t="s">
        <v>24</v>
      </c>
    </row>
    <row r="11" spans="1:6" x14ac:dyDescent="0.2">
      <c r="A11" t="s">
        <v>9</v>
      </c>
      <c r="B11" t="s">
        <v>20</v>
      </c>
      <c r="C11">
        <f>0.028*1000000/1700/1000</f>
        <v>1.6470588235294115E-2</v>
      </c>
      <c r="D11">
        <f>0.8*1000000/1700/1000</f>
        <v>0.47058823529411764</v>
      </c>
      <c r="E11" t="s">
        <v>65</v>
      </c>
      <c r="F11" t="s">
        <v>24</v>
      </c>
    </row>
    <row r="12" spans="1:6" x14ac:dyDescent="0.2">
      <c r="A12" t="s">
        <v>10</v>
      </c>
      <c r="B12" t="s">
        <v>21</v>
      </c>
      <c r="C12" s="3"/>
      <c r="D12" s="3"/>
    </row>
    <row r="13" spans="1:6" x14ac:dyDescent="0.2">
      <c r="A13" t="s">
        <v>26</v>
      </c>
      <c r="B13" t="s">
        <v>27</v>
      </c>
      <c r="C13">
        <f>1/1.225/1000</f>
        <v>8.1632653061224482E-4</v>
      </c>
      <c r="D13">
        <f>(1583+1181)/1.225/1000</f>
        <v>2.2563265306122449</v>
      </c>
      <c r="E13" t="s">
        <v>62</v>
      </c>
      <c r="F13" t="s">
        <v>25</v>
      </c>
    </row>
    <row r="14" spans="1:6" x14ac:dyDescent="0.2">
      <c r="A14" t="s">
        <v>28</v>
      </c>
      <c r="B14" t="s">
        <v>29</v>
      </c>
      <c r="C14">
        <f>1/1.225/1000</f>
        <v>8.1632653061224482E-4</v>
      </c>
      <c r="D14">
        <f>1000/1.225/1000</f>
        <v>0.81632653061224481</v>
      </c>
      <c r="E14" t="s">
        <v>62</v>
      </c>
      <c r="F14" t="s">
        <v>25</v>
      </c>
    </row>
    <row r="15" spans="1:6" x14ac:dyDescent="0.2">
      <c r="A15" t="s">
        <v>30</v>
      </c>
      <c r="B15" t="s">
        <v>31</v>
      </c>
      <c r="C15">
        <f>113</f>
        <v>113</v>
      </c>
      <c r="D15">
        <f>113</f>
        <v>113</v>
      </c>
      <c r="F15" t="s">
        <v>40</v>
      </c>
    </row>
    <row r="16" spans="1:6" x14ac:dyDescent="0.2">
      <c r="A16" t="s">
        <v>30</v>
      </c>
      <c r="B16" t="s">
        <v>32</v>
      </c>
      <c r="C16">
        <f>4.2</f>
        <v>4.2</v>
      </c>
      <c r="D16">
        <f>28.7</f>
        <v>28.7</v>
      </c>
      <c r="F16" t="s">
        <v>40</v>
      </c>
    </row>
    <row r="17" spans="1:6" x14ac:dyDescent="0.2">
      <c r="A17" t="s">
        <v>30</v>
      </c>
      <c r="B17" t="s">
        <v>33</v>
      </c>
      <c r="C17">
        <f>4.4</f>
        <v>4.4000000000000004</v>
      </c>
      <c r="D17">
        <f>4.4</f>
        <v>4.4000000000000004</v>
      </c>
      <c r="F17" t="s">
        <v>40</v>
      </c>
    </row>
    <row r="18" spans="1:6" x14ac:dyDescent="0.2">
      <c r="A18" t="s">
        <v>30</v>
      </c>
      <c r="B18" t="s">
        <v>34</v>
      </c>
      <c r="C18">
        <f>1000</f>
        <v>1000</v>
      </c>
      <c r="D18">
        <f>24000</f>
        <v>24000</v>
      </c>
      <c r="F18" t="s">
        <v>40</v>
      </c>
    </row>
    <row r="19" spans="1:6" x14ac:dyDescent="0.2">
      <c r="A19" t="s">
        <v>30</v>
      </c>
      <c r="B19" t="s">
        <v>35</v>
      </c>
      <c r="C19">
        <f>1701</f>
        <v>1701</v>
      </c>
      <c r="D19">
        <f>19837</f>
        <v>19837</v>
      </c>
      <c r="F19" t="s">
        <v>40</v>
      </c>
    </row>
    <row r="20" spans="1:6" x14ac:dyDescent="0.2">
      <c r="A20" t="s">
        <v>30</v>
      </c>
      <c r="B20" t="s">
        <v>36</v>
      </c>
      <c r="C20">
        <f>4196</f>
        <v>4196</v>
      </c>
      <c r="D20">
        <f>15385</f>
        <v>15385</v>
      </c>
      <c r="F20" t="s">
        <v>40</v>
      </c>
    </row>
    <row r="21" spans="1:6" x14ac:dyDescent="0.2">
      <c r="A21" t="s">
        <v>30</v>
      </c>
      <c r="B21" t="s">
        <v>37</v>
      </c>
      <c r="C21">
        <f>16700</f>
        <v>16700</v>
      </c>
      <c r="D21">
        <f>16700</f>
        <v>16700</v>
      </c>
      <c r="F21" t="s">
        <v>40</v>
      </c>
    </row>
    <row r="22" spans="1:6" x14ac:dyDescent="0.2">
      <c r="A22" t="s">
        <v>30</v>
      </c>
      <c r="B22" t="s">
        <v>38</v>
      </c>
      <c r="C22">
        <f>1565/1000</f>
        <v>1.5649999999999999</v>
      </c>
      <c r="D22">
        <f>56386/1000</f>
        <v>56.386000000000003</v>
      </c>
      <c r="F22" t="s">
        <v>40</v>
      </c>
    </row>
    <row r="23" spans="1:6" x14ac:dyDescent="0.2">
      <c r="A23" t="s">
        <v>30</v>
      </c>
      <c r="B23" t="s">
        <v>39</v>
      </c>
      <c r="C23">
        <f>9.6</f>
        <v>9.6</v>
      </c>
      <c r="D23">
        <f>14.9</f>
        <v>14.9</v>
      </c>
      <c r="F23" t="s">
        <v>40</v>
      </c>
    </row>
    <row r="25" spans="1:6" x14ac:dyDescent="0.2">
      <c r="A25" s="1" t="s">
        <v>41</v>
      </c>
    </row>
    <row r="26" spans="1:6" x14ac:dyDescent="0.2">
      <c r="A26" t="s">
        <v>30</v>
      </c>
      <c r="C26">
        <f>MIN(C15:D23)</f>
        <v>1.5649999999999999</v>
      </c>
      <c r="D26">
        <f>MAX(C15:D23)</f>
        <v>24000</v>
      </c>
    </row>
    <row r="27" spans="1:6" x14ac:dyDescent="0.2">
      <c r="A27" t="s">
        <v>42</v>
      </c>
      <c r="C27">
        <f>MIN(C2:D3)</f>
        <v>8.7999999999999995E-2</v>
      </c>
      <c r="D27">
        <f>MAX(C2:D3)</f>
        <v>2.83</v>
      </c>
    </row>
    <row r="28" spans="1:6" x14ac:dyDescent="0.2">
      <c r="A28" t="s">
        <v>44</v>
      </c>
      <c r="C28">
        <f>MIN(C13:D14)</f>
        <v>8.1632653061224482E-4</v>
      </c>
      <c r="D28">
        <f>MAX(C13:D14)</f>
        <v>2.2563265306122449</v>
      </c>
    </row>
    <row r="29" spans="1:6" x14ac:dyDescent="0.2">
      <c r="A29" t="s">
        <v>45</v>
      </c>
      <c r="C29">
        <f>MIN(C11:D11)</f>
        <v>1.6470588235294115E-2</v>
      </c>
      <c r="D29">
        <f>MAX(C11:D11)</f>
        <v>0.47058823529411764</v>
      </c>
    </row>
    <row r="30" spans="1:6" x14ac:dyDescent="0.2">
      <c r="A30" t="s">
        <v>43</v>
      </c>
      <c r="C30" s="2">
        <f>MIN(C4:D4,C6:D7,C9:D10)</f>
        <v>2.7000000000000001E-7</v>
      </c>
      <c r="D30" s="2">
        <f>MAX(C4:D4,C6:D7,C9:D10)</f>
        <v>3.2000000000000003E-4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627B-794B-9C43-9881-8C1B9D8E01B9}">
  <dimension ref="A1:K64"/>
  <sheetViews>
    <sheetView workbookViewId="0">
      <selection activeCell="B25" sqref="B25"/>
    </sheetView>
  </sheetViews>
  <sheetFormatPr baseColWidth="10" defaultRowHeight="16" x14ac:dyDescent="0.2"/>
  <cols>
    <col min="2" max="2" width="24.33203125" bestFit="1" customWidth="1"/>
    <col min="3" max="3" width="12.1640625" bestFit="1" customWidth="1"/>
    <col min="5" max="5" width="69.5" bestFit="1" customWidth="1"/>
  </cols>
  <sheetData>
    <row r="1" spans="1:6" x14ac:dyDescent="0.2">
      <c r="C1" t="s">
        <v>47</v>
      </c>
      <c r="D1" t="s">
        <v>48</v>
      </c>
      <c r="E1" t="s">
        <v>22</v>
      </c>
      <c r="F1" t="s">
        <v>23</v>
      </c>
    </row>
    <row r="2" spans="1:6" x14ac:dyDescent="0.2">
      <c r="A2" t="s">
        <v>30</v>
      </c>
      <c r="B2" t="s">
        <v>51</v>
      </c>
      <c r="C2" t="s">
        <v>49</v>
      </c>
      <c r="D2">
        <v>17000</v>
      </c>
      <c r="E2" t="s">
        <v>46</v>
      </c>
      <c r="F2" t="s">
        <v>50</v>
      </c>
    </row>
    <row r="3" spans="1:6" x14ac:dyDescent="0.2">
      <c r="A3" t="s">
        <v>0</v>
      </c>
      <c r="B3" t="s">
        <v>57</v>
      </c>
      <c r="C3" t="s">
        <v>58</v>
      </c>
      <c r="D3">
        <v>237</v>
      </c>
      <c r="F3" t="s">
        <v>59</v>
      </c>
    </row>
    <row r="4" spans="1:6" x14ac:dyDescent="0.2">
      <c r="A4" t="s">
        <v>1</v>
      </c>
      <c r="B4" t="s">
        <v>60</v>
      </c>
      <c r="C4">
        <v>5.4</v>
      </c>
      <c r="D4">
        <v>22.4</v>
      </c>
      <c r="F4" t="s">
        <v>61</v>
      </c>
    </row>
    <row r="5" spans="1:6" x14ac:dyDescent="0.2">
      <c r="A5" t="s">
        <v>44</v>
      </c>
      <c r="B5" t="s">
        <v>55</v>
      </c>
      <c r="C5">
        <f>4.2/1000/1.225/1000</f>
        <v>3.428571428571429E-6</v>
      </c>
      <c r="D5">
        <f>280/1000/1.225/1000</f>
        <v>2.2857142857142857E-4</v>
      </c>
      <c r="E5" t="s">
        <v>62</v>
      </c>
      <c r="F5" t="s">
        <v>56</v>
      </c>
    </row>
    <row r="6" spans="1:6" x14ac:dyDescent="0.2">
      <c r="A6" t="s">
        <v>45</v>
      </c>
      <c r="B6" t="s">
        <v>52</v>
      </c>
      <c r="C6">
        <f>36.8/1000</f>
        <v>3.6799999999999999E-2</v>
      </c>
      <c r="D6">
        <f>2990/1000</f>
        <v>2.99</v>
      </c>
      <c r="F6" t="s">
        <v>53</v>
      </c>
    </row>
    <row r="7" spans="1:6" x14ac:dyDescent="0.2">
      <c r="A7" t="s">
        <v>43</v>
      </c>
      <c r="B7" t="s">
        <v>54</v>
      </c>
      <c r="C7">
        <f>0.000203304/1000</f>
        <v>2.0330399999999998E-7</v>
      </c>
      <c r="D7">
        <f>27777680/1000</f>
        <v>27777.68</v>
      </c>
      <c r="E7" t="s">
        <v>67</v>
      </c>
      <c r="F7" t="s">
        <v>66</v>
      </c>
    </row>
    <row r="9" spans="1:6" x14ac:dyDescent="0.2">
      <c r="A9" s="1" t="s">
        <v>41</v>
      </c>
    </row>
    <row r="10" spans="1:6" x14ac:dyDescent="0.2">
      <c r="A10" t="s">
        <v>30</v>
      </c>
      <c r="C10">
        <f>0.01</f>
        <v>0.01</v>
      </c>
      <c r="D10">
        <f>D2</f>
        <v>17000</v>
      </c>
    </row>
    <row r="11" spans="1:6" x14ac:dyDescent="0.2">
      <c r="A11" t="s">
        <v>42</v>
      </c>
      <c r="C11">
        <f>0.001</f>
        <v>1E-3</v>
      </c>
      <c r="D11">
        <v>237</v>
      </c>
    </row>
    <row r="12" spans="1:6" x14ac:dyDescent="0.2">
      <c r="A12" t="s">
        <v>44</v>
      </c>
      <c r="C12">
        <f t="shared" ref="C12:D14" si="0">C5</f>
        <v>3.428571428571429E-6</v>
      </c>
      <c r="D12">
        <f t="shared" si="0"/>
        <v>2.2857142857142857E-4</v>
      </c>
    </row>
    <row r="13" spans="1:6" x14ac:dyDescent="0.2">
      <c r="A13" t="s">
        <v>45</v>
      </c>
      <c r="C13">
        <f t="shared" si="0"/>
        <v>3.6799999999999999E-2</v>
      </c>
      <c r="D13">
        <f t="shared" si="0"/>
        <v>2.99</v>
      </c>
    </row>
    <row r="14" spans="1:6" x14ac:dyDescent="0.2">
      <c r="A14" t="s">
        <v>43</v>
      </c>
      <c r="C14">
        <f t="shared" si="0"/>
        <v>2.0330399999999998E-7</v>
      </c>
      <c r="D14">
        <f t="shared" si="0"/>
        <v>27777.68</v>
      </c>
    </row>
    <row r="30" spans="3:11" x14ac:dyDescent="0.2">
      <c r="C30" s="6"/>
      <c r="D30" s="6"/>
      <c r="E30" s="6"/>
      <c r="F30" s="6"/>
      <c r="G30" s="6"/>
      <c r="H30" s="6"/>
    </row>
    <row r="31" spans="3:11" x14ac:dyDescent="0.2">
      <c r="C31" s="5"/>
      <c r="D31" s="5"/>
      <c r="E31" s="5"/>
      <c r="F31" s="5"/>
      <c r="H31" s="4"/>
      <c r="K31" s="5"/>
    </row>
    <row r="32" spans="3:11" x14ac:dyDescent="0.2">
      <c r="C32" s="5"/>
      <c r="D32" s="5"/>
      <c r="F32" s="4"/>
      <c r="K32" s="5"/>
    </row>
    <row r="33" spans="3:11" x14ac:dyDescent="0.2">
      <c r="C33" s="5"/>
      <c r="D33" s="5"/>
      <c r="F33" s="4"/>
      <c r="K33" s="5"/>
    </row>
    <row r="34" spans="3:11" x14ac:dyDescent="0.2">
      <c r="C34" s="5"/>
      <c r="D34" s="5"/>
      <c r="E34" s="5"/>
      <c r="G34" s="4"/>
      <c r="K34" s="5"/>
    </row>
    <row r="35" spans="3:11" x14ac:dyDescent="0.2">
      <c r="C35" s="5"/>
      <c r="D35" s="5"/>
      <c r="F35" s="4"/>
      <c r="K35" s="5"/>
    </row>
    <row r="36" spans="3:11" x14ac:dyDescent="0.2">
      <c r="C36" s="5"/>
      <c r="D36" s="5"/>
      <c r="F36" s="4"/>
      <c r="K36" s="5"/>
    </row>
    <row r="37" spans="3:11" x14ac:dyDescent="0.2">
      <c r="C37" s="5"/>
      <c r="D37" s="5"/>
      <c r="F37" s="4"/>
      <c r="K37" s="5"/>
    </row>
    <row r="38" spans="3:11" x14ac:dyDescent="0.2">
      <c r="C38" s="5"/>
      <c r="D38" s="5"/>
      <c r="F38" s="4"/>
      <c r="K38" s="5"/>
    </row>
    <row r="39" spans="3:11" x14ac:dyDescent="0.2">
      <c r="C39" s="5"/>
      <c r="D39" s="5"/>
      <c r="F39" s="4"/>
      <c r="K39" s="5"/>
    </row>
    <row r="40" spans="3:11" x14ac:dyDescent="0.2">
      <c r="C40" s="5"/>
      <c r="D40" s="5"/>
      <c r="F40" s="4"/>
      <c r="K40" s="5"/>
    </row>
    <row r="41" spans="3:11" x14ac:dyDescent="0.2">
      <c r="C41" s="5"/>
      <c r="D41" s="5"/>
      <c r="E41" s="5"/>
      <c r="F41" s="5"/>
      <c r="H41" s="4"/>
      <c r="K41" s="5"/>
    </row>
    <row r="42" spans="3:11" x14ac:dyDescent="0.2">
      <c r="C42" s="5"/>
      <c r="D42" s="5"/>
      <c r="E42" s="5"/>
      <c r="G42" s="4"/>
      <c r="K42" s="5"/>
    </row>
    <row r="43" spans="3:11" x14ac:dyDescent="0.2">
      <c r="C43" s="5"/>
      <c r="D43" s="5"/>
      <c r="E43" s="5"/>
      <c r="G43" s="4"/>
      <c r="K43" s="5"/>
    </row>
    <row r="44" spans="3:11" x14ac:dyDescent="0.2">
      <c r="C44" s="5"/>
      <c r="D44" s="5"/>
      <c r="E44" s="5"/>
      <c r="G44" s="4"/>
      <c r="K44" s="5"/>
    </row>
    <row r="45" spans="3:11" x14ac:dyDescent="0.2">
      <c r="C45" s="5"/>
      <c r="D45" s="5"/>
      <c r="E45" s="5"/>
      <c r="G45" s="4"/>
      <c r="K45" s="5"/>
    </row>
    <row r="46" spans="3:11" x14ac:dyDescent="0.2">
      <c r="C46" s="5"/>
      <c r="D46" s="5"/>
      <c r="E46" s="5"/>
      <c r="G46" s="4"/>
      <c r="K46" s="5"/>
    </row>
    <row r="47" spans="3:11" x14ac:dyDescent="0.2">
      <c r="C47" s="5"/>
      <c r="D47" s="5"/>
      <c r="E47" s="5"/>
      <c r="G47" s="4"/>
      <c r="K47" s="5"/>
    </row>
    <row r="48" spans="3:11" x14ac:dyDescent="0.2">
      <c r="C48" s="5"/>
      <c r="E48" s="4"/>
      <c r="K48" s="5"/>
    </row>
    <row r="49" spans="3:11" x14ac:dyDescent="0.2">
      <c r="C49" s="5"/>
      <c r="D49" s="5"/>
      <c r="E49" s="5"/>
      <c r="G49" s="4"/>
      <c r="K49" s="5"/>
    </row>
    <row r="50" spans="3:11" x14ac:dyDescent="0.2">
      <c r="C50" s="5"/>
      <c r="D50" s="5"/>
      <c r="E50" s="5"/>
      <c r="G50" s="4"/>
      <c r="K50" s="5"/>
    </row>
    <row r="51" spans="3:11" x14ac:dyDescent="0.2">
      <c r="C51" s="5"/>
      <c r="D51" s="5"/>
      <c r="E51" s="5"/>
      <c r="G51" s="4"/>
      <c r="K51" s="5"/>
    </row>
    <row r="52" spans="3:11" x14ac:dyDescent="0.2">
      <c r="C52" s="5"/>
      <c r="D52" s="5"/>
      <c r="E52" s="5"/>
      <c r="G52" s="4"/>
      <c r="K52" s="5"/>
    </row>
    <row r="53" spans="3:11" x14ac:dyDescent="0.2">
      <c r="C53" s="5"/>
      <c r="D53" s="5"/>
      <c r="E53" s="5"/>
      <c r="G53" s="4"/>
      <c r="K53" s="5"/>
    </row>
    <row r="54" spans="3:11" x14ac:dyDescent="0.2">
      <c r="C54" s="5"/>
      <c r="D54" s="5"/>
      <c r="E54" s="5"/>
      <c r="G54" s="4"/>
      <c r="K54" s="5"/>
    </row>
    <row r="55" spans="3:11" x14ac:dyDescent="0.2">
      <c r="C55" s="5"/>
      <c r="D55" s="5"/>
      <c r="E55" s="5"/>
      <c r="F55" s="5"/>
      <c r="H55" s="4"/>
      <c r="K55" s="5"/>
    </row>
    <row r="56" spans="3:11" x14ac:dyDescent="0.2">
      <c r="C56" s="5"/>
      <c r="D56" s="5"/>
      <c r="E56" s="5"/>
      <c r="G56" s="4"/>
      <c r="K56" s="5"/>
    </row>
    <row r="57" spans="3:11" x14ac:dyDescent="0.2">
      <c r="C57" s="5"/>
      <c r="D57" s="5"/>
      <c r="F57" s="4"/>
      <c r="K57" s="5"/>
    </row>
    <row r="58" spans="3:11" x14ac:dyDescent="0.2">
      <c r="C58" s="5"/>
      <c r="D58" s="5"/>
      <c r="E58" s="5"/>
      <c r="G58" s="4"/>
      <c r="K58" s="5"/>
    </row>
    <row r="59" spans="3:11" x14ac:dyDescent="0.2">
      <c r="C59" s="5"/>
      <c r="D59" s="5"/>
      <c r="E59" s="5"/>
      <c r="G59" s="4"/>
      <c r="K59" s="5"/>
    </row>
    <row r="60" spans="3:11" x14ac:dyDescent="0.2">
      <c r="C60" s="5"/>
      <c r="D60" s="5"/>
      <c r="E60" s="5"/>
      <c r="G60" s="4"/>
      <c r="K60" s="5"/>
    </row>
    <row r="61" spans="3:11" x14ac:dyDescent="0.2">
      <c r="C61" s="5"/>
      <c r="D61" s="5"/>
      <c r="E61" s="5"/>
      <c r="F61" s="5"/>
      <c r="H61" s="4"/>
      <c r="K61" s="5"/>
    </row>
    <row r="62" spans="3:11" x14ac:dyDescent="0.2">
      <c r="C62" s="5"/>
      <c r="D62" s="5"/>
      <c r="E62" s="5"/>
      <c r="G62" s="4"/>
      <c r="K62" s="5"/>
    </row>
    <row r="63" spans="3:11" x14ac:dyDescent="0.2">
      <c r="C63" s="5"/>
      <c r="D63" s="5"/>
      <c r="E63" s="5"/>
      <c r="F63" s="5"/>
      <c r="H63" s="4"/>
      <c r="K63" s="5"/>
    </row>
    <row r="64" spans="3:11" x14ac:dyDescent="0.2">
      <c r="C64" s="5"/>
      <c r="D64" s="5"/>
      <c r="F64" s="4"/>
      <c r="K64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F727-798A-DF46-9B74-7CD0B0160F2E}">
  <dimension ref="A1:F26"/>
  <sheetViews>
    <sheetView workbookViewId="0">
      <selection activeCell="J63" sqref="J63"/>
    </sheetView>
  </sheetViews>
  <sheetFormatPr baseColWidth="10" defaultRowHeight="16" x14ac:dyDescent="0.2"/>
  <cols>
    <col min="1" max="1" width="17" bestFit="1" customWidth="1"/>
    <col min="2" max="2" width="18.1640625" bestFit="1" customWidth="1"/>
    <col min="3" max="3" width="12.1640625" bestFit="1" customWidth="1"/>
    <col min="5" max="5" width="108" bestFit="1" customWidth="1"/>
  </cols>
  <sheetData>
    <row r="1" spans="1:6" x14ac:dyDescent="0.2">
      <c r="C1" t="s">
        <v>47</v>
      </c>
      <c r="D1" t="s">
        <v>48</v>
      </c>
      <c r="E1" t="s">
        <v>22</v>
      </c>
      <c r="F1" t="s">
        <v>23</v>
      </c>
    </row>
    <row r="2" spans="1:6" x14ac:dyDescent="0.2">
      <c r="A2" t="s">
        <v>30</v>
      </c>
      <c r="B2" t="s">
        <v>125</v>
      </c>
      <c r="C2">
        <v>1</v>
      </c>
      <c r="D2">
        <v>1044.7</v>
      </c>
      <c r="E2" t="s">
        <v>98</v>
      </c>
      <c r="F2" t="s">
        <v>126</v>
      </c>
    </row>
    <row r="3" spans="1:6" x14ac:dyDescent="0.2">
      <c r="A3" t="s">
        <v>30</v>
      </c>
      <c r="B3" t="s">
        <v>164</v>
      </c>
      <c r="C3">
        <v>0</v>
      </c>
      <c r="D3">
        <v>90210</v>
      </c>
      <c r="E3" t="s">
        <v>165</v>
      </c>
      <c r="F3" t="s">
        <v>166</v>
      </c>
    </row>
    <row r="4" spans="1:6" x14ac:dyDescent="0.2">
      <c r="A4" t="s">
        <v>2</v>
      </c>
      <c r="B4" t="s">
        <v>127</v>
      </c>
      <c r="C4">
        <f>0/1000</f>
        <v>0</v>
      </c>
      <c r="D4">
        <f>10370/1000</f>
        <v>10.37</v>
      </c>
      <c r="E4" t="s">
        <v>129</v>
      </c>
      <c r="F4" t="s">
        <v>128</v>
      </c>
    </row>
    <row r="5" spans="1:6" x14ac:dyDescent="0.2">
      <c r="A5" t="s">
        <v>43</v>
      </c>
      <c r="B5" t="s">
        <v>130</v>
      </c>
      <c r="C5" s="3"/>
      <c r="D5">
        <f>136680/1000</f>
        <v>136.68</v>
      </c>
      <c r="E5" t="s">
        <v>131</v>
      </c>
      <c r="F5" t="s">
        <v>132</v>
      </c>
    </row>
    <row r="6" spans="1:6" x14ac:dyDescent="0.2">
      <c r="A6" t="s">
        <v>149</v>
      </c>
      <c r="B6" t="s">
        <v>150</v>
      </c>
      <c r="C6">
        <f>0.0251/1000/1.025/1000</f>
        <v>2.4487804878048783E-8</v>
      </c>
      <c r="D6">
        <f>530/1000/1.025/1000</f>
        <v>5.1707317073170747E-4</v>
      </c>
      <c r="E6" t="s">
        <v>157</v>
      </c>
      <c r="F6" t="s">
        <v>151</v>
      </c>
    </row>
    <row r="7" spans="1:6" x14ac:dyDescent="0.2">
      <c r="A7" t="s">
        <v>136</v>
      </c>
      <c r="B7" s="2" t="s">
        <v>137</v>
      </c>
      <c r="C7">
        <v>0</v>
      </c>
      <c r="D7">
        <f>2295*1000/1000</f>
        <v>2295</v>
      </c>
      <c r="E7" t="s">
        <v>141</v>
      </c>
      <c r="F7" t="s">
        <v>142</v>
      </c>
    </row>
    <row r="8" spans="1:6" x14ac:dyDescent="0.2">
      <c r="A8" t="s">
        <v>138</v>
      </c>
      <c r="B8" t="s">
        <v>139</v>
      </c>
      <c r="C8">
        <v>0</v>
      </c>
      <c r="D8">
        <f>17163*1000/1000</f>
        <v>17163</v>
      </c>
      <c r="E8" t="s">
        <v>140</v>
      </c>
      <c r="F8" t="s">
        <v>142</v>
      </c>
    </row>
    <row r="9" spans="1:6" x14ac:dyDescent="0.2">
      <c r="A9" t="s">
        <v>43</v>
      </c>
      <c r="B9" t="s">
        <v>162</v>
      </c>
      <c r="C9">
        <v>0</v>
      </c>
      <c r="D9">
        <f>3610/1000</f>
        <v>3.61</v>
      </c>
      <c r="E9" t="s">
        <v>131</v>
      </c>
      <c r="F9" t="s">
        <v>167</v>
      </c>
    </row>
    <row r="10" spans="1:6" x14ac:dyDescent="0.2">
      <c r="A10" t="s">
        <v>3</v>
      </c>
      <c r="B10" t="s">
        <v>148</v>
      </c>
      <c r="C10">
        <f>0.0273*1000/1.225/1000</f>
        <v>2.2285714285714284E-2</v>
      </c>
      <c r="D10">
        <f>193*1000/1.225/1000</f>
        <v>157.55102040816325</v>
      </c>
      <c r="E10" t="s">
        <v>153</v>
      </c>
      <c r="F10" t="s">
        <v>151</v>
      </c>
    </row>
    <row r="11" spans="1:6" x14ac:dyDescent="0.2">
      <c r="A11" t="s">
        <v>133</v>
      </c>
      <c r="B11" t="s">
        <v>134</v>
      </c>
      <c r="C11">
        <f>1.6*1000/1.225/1000</f>
        <v>1.3061224489795917</v>
      </c>
      <c r="D11">
        <f>417*1000/1.225/1000</f>
        <v>340.40816326530609</v>
      </c>
      <c r="E11" t="s">
        <v>62</v>
      </c>
      <c r="F11" t="s">
        <v>135</v>
      </c>
    </row>
    <row r="12" spans="1:6" x14ac:dyDescent="0.2">
      <c r="A12" t="s">
        <v>44</v>
      </c>
      <c r="B12">
        <v>0</v>
      </c>
      <c r="C12">
        <v>0</v>
      </c>
      <c r="D12" s="3"/>
      <c r="E12" t="s">
        <v>169</v>
      </c>
      <c r="F12" t="s">
        <v>168</v>
      </c>
    </row>
    <row r="13" spans="1:6" x14ac:dyDescent="0.2">
      <c r="A13" t="s">
        <v>0</v>
      </c>
      <c r="B13" t="s">
        <v>143</v>
      </c>
      <c r="C13">
        <v>1.02</v>
      </c>
      <c r="D13">
        <v>251.28</v>
      </c>
      <c r="E13" t="s">
        <v>76</v>
      </c>
      <c r="F13" t="s">
        <v>144</v>
      </c>
    </row>
    <row r="14" spans="1:6" x14ac:dyDescent="0.2">
      <c r="A14" t="s">
        <v>145</v>
      </c>
      <c r="B14" t="s">
        <v>146</v>
      </c>
      <c r="C14">
        <v>0</v>
      </c>
      <c r="D14">
        <v>2045</v>
      </c>
      <c r="E14" t="s">
        <v>98</v>
      </c>
      <c r="F14" t="s">
        <v>147</v>
      </c>
    </row>
    <row r="15" spans="1:6" x14ac:dyDescent="0.2">
      <c r="A15" t="s">
        <v>145</v>
      </c>
      <c r="B15" t="s">
        <v>152</v>
      </c>
      <c r="C15">
        <v>0.28799999999999998</v>
      </c>
      <c r="D15">
        <v>12700</v>
      </c>
      <c r="E15" t="s">
        <v>76</v>
      </c>
      <c r="F15" t="s">
        <v>154</v>
      </c>
    </row>
    <row r="16" spans="1:6" x14ac:dyDescent="0.2">
      <c r="A16" t="s">
        <v>145</v>
      </c>
      <c r="B16" t="s">
        <v>155</v>
      </c>
      <c r="C16">
        <v>0.3</v>
      </c>
      <c r="D16">
        <v>430</v>
      </c>
      <c r="E16" t="s">
        <v>98</v>
      </c>
      <c r="F16" t="s">
        <v>156</v>
      </c>
    </row>
    <row r="17" spans="1:6" x14ac:dyDescent="0.2">
      <c r="A17" t="s">
        <v>45</v>
      </c>
      <c r="B17" t="s">
        <v>158</v>
      </c>
      <c r="C17">
        <v>80</v>
      </c>
      <c r="D17">
        <v>1200</v>
      </c>
      <c r="E17" t="s">
        <v>76</v>
      </c>
      <c r="F17" t="s">
        <v>159</v>
      </c>
    </row>
    <row r="18" spans="1:6" x14ac:dyDescent="0.2">
      <c r="A18" t="s">
        <v>45</v>
      </c>
      <c r="B18" t="s">
        <v>160</v>
      </c>
      <c r="C18">
        <v>0</v>
      </c>
      <c r="D18">
        <v>64.150000000000006</v>
      </c>
      <c r="E18" t="s">
        <v>98</v>
      </c>
      <c r="F18" t="s">
        <v>161</v>
      </c>
    </row>
    <row r="19" spans="1:6" x14ac:dyDescent="0.2">
      <c r="A19" t="s">
        <v>45</v>
      </c>
      <c r="B19" t="s">
        <v>163</v>
      </c>
      <c r="C19">
        <v>0</v>
      </c>
      <c r="D19">
        <f>33.2/1000</f>
        <v>3.32E-2</v>
      </c>
      <c r="E19" t="s">
        <v>131</v>
      </c>
      <c r="F19" t="s">
        <v>167</v>
      </c>
    </row>
    <row r="21" spans="1:6" x14ac:dyDescent="0.2">
      <c r="A21" s="1" t="s">
        <v>41</v>
      </c>
    </row>
    <row r="22" spans="1:6" x14ac:dyDescent="0.2">
      <c r="A22" t="s">
        <v>30</v>
      </c>
      <c r="C22">
        <f>MIN(C2:D3)</f>
        <v>0</v>
      </c>
      <c r="D22">
        <f>MAX(C2:D3)</f>
        <v>90210</v>
      </c>
    </row>
    <row r="23" spans="1:6" x14ac:dyDescent="0.2">
      <c r="A23" t="s">
        <v>42</v>
      </c>
      <c r="C23">
        <f>MIN(C13:D16)</f>
        <v>0</v>
      </c>
      <c r="D23">
        <f>MAX(C13:D16)</f>
        <v>12700</v>
      </c>
    </row>
    <row r="24" spans="1:6" x14ac:dyDescent="0.2">
      <c r="A24" t="s">
        <v>44</v>
      </c>
      <c r="C24">
        <f>MIN(C10:D11,C12)</f>
        <v>0</v>
      </c>
      <c r="D24">
        <f>MAX(C10:D11,C12)</f>
        <v>340.40816326530609</v>
      </c>
    </row>
    <row r="25" spans="1:6" x14ac:dyDescent="0.2">
      <c r="A25" t="s">
        <v>45</v>
      </c>
      <c r="C25">
        <f>MIN(C17:D19)</f>
        <v>0</v>
      </c>
      <c r="D25">
        <f>MAX(C17:D19)</f>
        <v>1200</v>
      </c>
    </row>
    <row r="26" spans="1:6" x14ac:dyDescent="0.2">
      <c r="A26" t="s">
        <v>43</v>
      </c>
      <c r="C26">
        <f>MIN(C4:D4,D5,C6:D9)</f>
        <v>0</v>
      </c>
      <c r="D26">
        <f>MAX(C4:D4,D5,C6:D9)</f>
        <v>17163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EC46-C523-0D41-912A-C24034743640}">
  <dimension ref="A1:F20"/>
  <sheetViews>
    <sheetView workbookViewId="0">
      <selection activeCell="F1" sqref="F1"/>
    </sheetView>
  </sheetViews>
  <sheetFormatPr baseColWidth="10" defaultRowHeight="16" x14ac:dyDescent="0.2"/>
  <cols>
    <col min="1" max="1" width="18" bestFit="1" customWidth="1"/>
    <col min="2" max="2" width="23.6640625" bestFit="1" customWidth="1"/>
    <col min="5" max="5" width="120.83203125" bestFit="1" customWidth="1"/>
  </cols>
  <sheetData>
    <row r="1" spans="1:6" x14ac:dyDescent="0.2">
      <c r="C1" t="s">
        <v>47</v>
      </c>
      <c r="D1" t="s">
        <v>48</v>
      </c>
      <c r="E1" t="s">
        <v>22</v>
      </c>
      <c r="F1" t="s">
        <v>23</v>
      </c>
    </row>
    <row r="2" spans="1:6" x14ac:dyDescent="0.2">
      <c r="A2" t="s">
        <v>30</v>
      </c>
      <c r="B2" t="s">
        <v>95</v>
      </c>
      <c r="C2">
        <v>280</v>
      </c>
      <c r="D2">
        <v>4898</v>
      </c>
      <c r="F2" t="s">
        <v>96</v>
      </c>
    </row>
    <row r="3" spans="1:6" x14ac:dyDescent="0.2">
      <c r="A3" t="s">
        <v>30</v>
      </c>
      <c r="B3" t="s">
        <v>111</v>
      </c>
      <c r="C3">
        <v>0</v>
      </c>
      <c r="D3">
        <v>3237</v>
      </c>
      <c r="E3" t="s">
        <v>98</v>
      </c>
      <c r="F3" t="s">
        <v>112</v>
      </c>
    </row>
    <row r="4" spans="1:6" x14ac:dyDescent="0.2">
      <c r="A4" t="s">
        <v>30</v>
      </c>
      <c r="B4" t="s">
        <v>115</v>
      </c>
      <c r="C4" s="3"/>
      <c r="D4">
        <v>100</v>
      </c>
      <c r="F4" t="s">
        <v>113</v>
      </c>
    </row>
    <row r="5" spans="1:6" x14ac:dyDescent="0.2">
      <c r="A5" t="s">
        <v>30</v>
      </c>
      <c r="B5" t="s">
        <v>114</v>
      </c>
      <c r="C5" s="3"/>
      <c r="D5">
        <v>1958</v>
      </c>
      <c r="E5" t="s">
        <v>98</v>
      </c>
      <c r="F5" t="s">
        <v>116</v>
      </c>
    </row>
    <row r="6" spans="1:6" x14ac:dyDescent="0.2">
      <c r="A6" t="s">
        <v>30</v>
      </c>
      <c r="B6" t="s">
        <v>117</v>
      </c>
      <c r="C6" s="3"/>
      <c r="D6">
        <v>24760</v>
      </c>
      <c r="E6" t="s">
        <v>118</v>
      </c>
      <c r="F6" t="s">
        <v>119</v>
      </c>
    </row>
    <row r="7" spans="1:6" x14ac:dyDescent="0.2">
      <c r="A7" t="s">
        <v>43</v>
      </c>
      <c r="B7" t="s">
        <v>97</v>
      </c>
      <c r="C7">
        <f>0.25/1000</f>
        <v>2.5000000000000001E-4</v>
      </c>
      <c r="D7">
        <f>272200/1000</f>
        <v>272.2</v>
      </c>
      <c r="E7" t="s">
        <v>98</v>
      </c>
      <c r="F7" t="s">
        <v>99</v>
      </c>
    </row>
    <row r="8" spans="1:6" x14ac:dyDescent="0.2">
      <c r="A8" t="s">
        <v>43</v>
      </c>
      <c r="B8" t="s">
        <v>100</v>
      </c>
      <c r="C8">
        <v>0</v>
      </c>
      <c r="D8">
        <v>297</v>
      </c>
      <c r="E8" t="s">
        <v>102</v>
      </c>
      <c r="F8" t="s">
        <v>101</v>
      </c>
    </row>
    <row r="9" spans="1:6" x14ac:dyDescent="0.2">
      <c r="A9" t="s">
        <v>45</v>
      </c>
      <c r="B9" t="s">
        <v>107</v>
      </c>
      <c r="C9">
        <v>0.03</v>
      </c>
      <c r="D9">
        <v>309</v>
      </c>
      <c r="E9" t="s">
        <v>106</v>
      </c>
      <c r="F9" t="s">
        <v>104</v>
      </c>
    </row>
    <row r="10" spans="1:6" x14ac:dyDescent="0.2">
      <c r="A10" t="s">
        <v>45</v>
      </c>
      <c r="B10" t="s">
        <v>105</v>
      </c>
      <c r="C10">
        <v>1</v>
      </c>
      <c r="D10">
        <v>44.77</v>
      </c>
      <c r="E10" t="s">
        <v>98</v>
      </c>
      <c r="F10" t="s">
        <v>108</v>
      </c>
    </row>
    <row r="11" spans="1:6" x14ac:dyDescent="0.2">
      <c r="A11" t="s">
        <v>45</v>
      </c>
      <c r="B11" t="s">
        <v>109</v>
      </c>
      <c r="C11">
        <v>0.01</v>
      </c>
      <c r="D11">
        <v>3111</v>
      </c>
      <c r="F11" t="s">
        <v>110</v>
      </c>
    </row>
    <row r="12" spans="1:6" x14ac:dyDescent="0.2">
      <c r="A12" t="s">
        <v>0</v>
      </c>
      <c r="B12" t="s">
        <v>120</v>
      </c>
      <c r="C12">
        <v>0</v>
      </c>
      <c r="D12">
        <v>728.4</v>
      </c>
      <c r="E12" t="s">
        <v>98</v>
      </c>
      <c r="F12" t="s">
        <v>121</v>
      </c>
    </row>
    <row r="13" spans="1:6" x14ac:dyDescent="0.2">
      <c r="A13" t="s">
        <v>1</v>
      </c>
      <c r="B13" t="s">
        <v>123</v>
      </c>
      <c r="C13">
        <v>4.8000000000000001E-2</v>
      </c>
      <c r="D13">
        <v>178000</v>
      </c>
      <c r="E13" t="s">
        <v>124</v>
      </c>
      <c r="F13" t="s">
        <v>122</v>
      </c>
    </row>
    <row r="15" spans="1:6" x14ac:dyDescent="0.2">
      <c r="A15" s="1" t="s">
        <v>41</v>
      </c>
    </row>
    <row r="16" spans="1:6" x14ac:dyDescent="0.2">
      <c r="A16" t="s">
        <v>30</v>
      </c>
      <c r="C16">
        <f>MIN(C2:D3,D4:D6)</f>
        <v>0</v>
      </c>
      <c r="D16">
        <f>MAX(C2:D3,D4:D6)</f>
        <v>24760</v>
      </c>
    </row>
    <row r="17" spans="1:4" x14ac:dyDescent="0.2">
      <c r="A17" t="s">
        <v>42</v>
      </c>
      <c r="C17">
        <f>MIN(C12:D13)</f>
        <v>0</v>
      </c>
      <c r="D17">
        <f>MAX(C12:D13)</f>
        <v>178000</v>
      </c>
    </row>
    <row r="18" spans="1:4" x14ac:dyDescent="0.2">
      <c r="A18" t="s">
        <v>44</v>
      </c>
      <c r="C18" t="s">
        <v>103</v>
      </c>
      <c r="D18" t="s">
        <v>103</v>
      </c>
    </row>
    <row r="19" spans="1:4" x14ac:dyDescent="0.2">
      <c r="A19" t="s">
        <v>45</v>
      </c>
      <c r="C19">
        <f>MIN(C9:D11)</f>
        <v>0.01</v>
      </c>
      <c r="D19">
        <f>MAX(C9:D11)</f>
        <v>3111</v>
      </c>
    </row>
    <row r="20" spans="1:4" x14ac:dyDescent="0.2">
      <c r="A20" t="s">
        <v>43</v>
      </c>
      <c r="C20">
        <f>MIN(C7:D8)</f>
        <v>0</v>
      </c>
      <c r="D20">
        <f>MAX(C7:D8)</f>
        <v>297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B4C1-6678-334B-8AD5-A91C8BF7616A}">
  <dimension ref="A1:F20"/>
  <sheetViews>
    <sheetView zoomScaleNormal="100" workbookViewId="0">
      <selection activeCell="J70" sqref="J70"/>
    </sheetView>
  </sheetViews>
  <sheetFormatPr baseColWidth="10" defaultRowHeight="16" x14ac:dyDescent="0.2"/>
  <cols>
    <col min="1" max="1" width="18" bestFit="1" customWidth="1"/>
    <col min="2" max="2" width="18.1640625" bestFit="1" customWidth="1"/>
    <col min="3" max="3" width="12.1640625" bestFit="1" customWidth="1"/>
    <col min="5" max="5" width="86" bestFit="1" customWidth="1"/>
  </cols>
  <sheetData>
    <row r="1" spans="1:6" x14ac:dyDescent="0.2">
      <c r="C1" t="s">
        <v>47</v>
      </c>
      <c r="D1" t="s">
        <v>48</v>
      </c>
      <c r="E1" t="s">
        <v>22</v>
      </c>
      <c r="F1" t="s">
        <v>23</v>
      </c>
    </row>
    <row r="2" spans="1:6" x14ac:dyDescent="0.2">
      <c r="A2" t="s">
        <v>43</v>
      </c>
      <c r="B2" t="s">
        <v>68</v>
      </c>
      <c r="C2">
        <f>0.03/1000</f>
        <v>2.9999999999999997E-5</v>
      </c>
      <c r="D2">
        <f>4800/1000</f>
        <v>4.8</v>
      </c>
      <c r="E2" t="s">
        <v>70</v>
      </c>
      <c r="F2" t="s">
        <v>71</v>
      </c>
    </row>
    <row r="3" spans="1:6" x14ac:dyDescent="0.2">
      <c r="A3" t="s">
        <v>43</v>
      </c>
      <c r="B3" t="s">
        <v>91</v>
      </c>
      <c r="C3">
        <f>6.92/1000</f>
        <v>6.9199999999999999E-3</v>
      </c>
      <c r="D3">
        <f>91.42/1000</f>
        <v>9.1420000000000001E-2</v>
      </c>
      <c r="F3" t="s">
        <v>94</v>
      </c>
    </row>
    <row r="4" spans="1:6" x14ac:dyDescent="0.2">
      <c r="A4" t="s">
        <v>45</v>
      </c>
      <c r="B4" t="s">
        <v>69</v>
      </c>
      <c r="C4">
        <v>0.01</v>
      </c>
      <c r="D4">
        <v>8067</v>
      </c>
      <c r="F4" t="s">
        <v>71</v>
      </c>
    </row>
    <row r="5" spans="1:6" x14ac:dyDescent="0.2">
      <c r="A5" t="s">
        <v>45</v>
      </c>
      <c r="B5" t="s">
        <v>90</v>
      </c>
      <c r="C5" s="3">
        <v>26.97</v>
      </c>
      <c r="D5" s="3">
        <v>3817.28</v>
      </c>
      <c r="E5" t="s">
        <v>76</v>
      </c>
      <c r="F5" t="s">
        <v>94</v>
      </c>
    </row>
    <row r="6" spans="1:6" x14ac:dyDescent="0.2">
      <c r="A6" t="s">
        <v>30</v>
      </c>
      <c r="B6" t="s">
        <v>72</v>
      </c>
      <c r="C6" s="3">
        <f>0.104*1000</f>
        <v>104</v>
      </c>
      <c r="D6" s="3">
        <f>0.312*1000</f>
        <v>312</v>
      </c>
      <c r="E6" t="s">
        <v>76</v>
      </c>
      <c r="F6" t="s">
        <v>73</v>
      </c>
    </row>
    <row r="7" spans="1:6" x14ac:dyDescent="0.2">
      <c r="A7" t="s">
        <v>30</v>
      </c>
      <c r="B7" t="s">
        <v>75</v>
      </c>
      <c r="C7">
        <f>0.033*1000</f>
        <v>33</v>
      </c>
      <c r="D7">
        <f>36.7*1000</f>
        <v>36700</v>
      </c>
      <c r="F7" t="s">
        <v>74</v>
      </c>
    </row>
    <row r="8" spans="1:6" x14ac:dyDescent="0.2">
      <c r="A8" t="s">
        <v>30</v>
      </c>
      <c r="B8" t="s">
        <v>77</v>
      </c>
      <c r="C8">
        <v>12.8</v>
      </c>
      <c r="D8">
        <v>4730</v>
      </c>
      <c r="E8" t="s">
        <v>78</v>
      </c>
      <c r="F8" t="s">
        <v>79</v>
      </c>
    </row>
    <row r="9" spans="1:6" x14ac:dyDescent="0.2">
      <c r="A9" t="s">
        <v>30</v>
      </c>
      <c r="B9" t="s">
        <v>80</v>
      </c>
      <c r="C9" s="3">
        <f>4.6*1000</f>
        <v>4600</v>
      </c>
      <c r="D9" s="3">
        <f>38.7*1000</f>
        <v>38700</v>
      </c>
      <c r="E9" t="s">
        <v>76</v>
      </c>
      <c r="F9" t="s">
        <v>81</v>
      </c>
    </row>
    <row r="10" spans="1:6" x14ac:dyDescent="0.2">
      <c r="A10" t="s">
        <v>30</v>
      </c>
      <c r="B10" t="s">
        <v>82</v>
      </c>
      <c r="C10" s="3">
        <v>50</v>
      </c>
      <c r="D10" s="3">
        <v>3000</v>
      </c>
      <c r="E10" t="s">
        <v>83</v>
      </c>
      <c r="F10" t="s">
        <v>84</v>
      </c>
    </row>
    <row r="11" spans="1:6" x14ac:dyDescent="0.2">
      <c r="A11" t="s">
        <v>44</v>
      </c>
      <c r="B11" t="s">
        <v>85</v>
      </c>
      <c r="C11">
        <f>1/1000/1.225/1000</f>
        <v>8.1632653061224485E-7</v>
      </c>
      <c r="D11">
        <f>17400/1000/1.225/1000</f>
        <v>1.4204081632653059E-2</v>
      </c>
      <c r="E11" t="s">
        <v>62</v>
      </c>
      <c r="F11" t="s">
        <v>86</v>
      </c>
    </row>
    <row r="12" spans="1:6" x14ac:dyDescent="0.2">
      <c r="A12" t="s">
        <v>0</v>
      </c>
      <c r="B12" t="s">
        <v>87</v>
      </c>
      <c r="C12">
        <v>4</v>
      </c>
      <c r="D12">
        <v>140</v>
      </c>
      <c r="F12" t="s">
        <v>88</v>
      </c>
    </row>
    <row r="13" spans="1:6" x14ac:dyDescent="0.2">
      <c r="A13" t="s">
        <v>89</v>
      </c>
      <c r="B13" t="s">
        <v>92</v>
      </c>
      <c r="C13" s="3">
        <v>12.3</v>
      </c>
      <c r="D13">
        <v>23500</v>
      </c>
      <c r="E13" t="s">
        <v>93</v>
      </c>
      <c r="F13" t="s">
        <v>94</v>
      </c>
    </row>
    <row r="15" spans="1:6" x14ac:dyDescent="0.2">
      <c r="A15" s="1" t="s">
        <v>41</v>
      </c>
    </row>
    <row r="16" spans="1:6" x14ac:dyDescent="0.2">
      <c r="A16" t="s">
        <v>30</v>
      </c>
      <c r="C16">
        <f>MIN(C7:D8)</f>
        <v>12.8</v>
      </c>
      <c r="D16">
        <f>MAX(C7:D8)</f>
        <v>36700</v>
      </c>
    </row>
    <row r="17" spans="1:4" x14ac:dyDescent="0.2">
      <c r="A17" t="s">
        <v>42</v>
      </c>
      <c r="C17">
        <f>MIN(C12:D12,D13)</f>
        <v>4</v>
      </c>
      <c r="D17">
        <f>MAX(C12:D12,D13)</f>
        <v>23500</v>
      </c>
    </row>
    <row r="18" spans="1:4" x14ac:dyDescent="0.2">
      <c r="A18" t="s">
        <v>44</v>
      </c>
      <c r="C18">
        <f>C11</f>
        <v>8.1632653061224485E-7</v>
      </c>
      <c r="D18">
        <f>D11</f>
        <v>1.4204081632653059E-2</v>
      </c>
    </row>
    <row r="19" spans="1:4" x14ac:dyDescent="0.2">
      <c r="A19" t="s">
        <v>45</v>
      </c>
      <c r="C19">
        <f>C4</f>
        <v>0.01</v>
      </c>
      <c r="D19">
        <f>D4</f>
        <v>8067</v>
      </c>
    </row>
    <row r="20" spans="1:4" x14ac:dyDescent="0.2">
      <c r="A20" t="s">
        <v>43</v>
      </c>
      <c r="C20">
        <f>MIN(C2:C3)</f>
        <v>2.9999999999999997E-5</v>
      </c>
      <c r="D20">
        <f>MAX(C2:D3)</f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metadata</vt:lpstr>
      <vt:lpstr>MPs_data</vt:lpstr>
      <vt:lpstr>MPs_summary</vt:lpstr>
      <vt:lpstr>MP_distribution</vt:lpstr>
      <vt:lpstr>PFOA_WWRS_data</vt:lpstr>
      <vt:lpstr>PFOS_WWRS_data</vt:lpstr>
      <vt:lpstr>PFAS_summary</vt:lpstr>
      <vt:lpstr>PhACs_air_data</vt:lpstr>
      <vt:lpstr>PhACs_summary</vt:lpstr>
      <vt:lpstr>PhACs_distribution</vt:lpstr>
      <vt:lpstr>ARGs_data</vt:lpstr>
      <vt:lpstr>ARGs_summary</vt:lpstr>
      <vt:lpstr>microplastics_superseded</vt:lpstr>
      <vt:lpstr>PFAS_superseded</vt:lpstr>
      <vt:lpstr>pesticide_superseded</vt:lpstr>
      <vt:lpstr>PhACs_superseded</vt:lpstr>
      <vt:lpstr>BPA_superseded</vt:lpstr>
      <vt:lpstr>PFAS_superseded!cite</vt:lpstr>
      <vt:lpstr>PFAS_superseded!metrics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Jianan</dc:creator>
  <cp:lastModifiedBy>Feng, Jianan</cp:lastModifiedBy>
  <dcterms:created xsi:type="dcterms:W3CDTF">2025-09-12T13:19:13Z</dcterms:created>
  <dcterms:modified xsi:type="dcterms:W3CDTF">2025-12-03T15:01:58Z</dcterms:modified>
</cp:coreProperties>
</file>