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utgers\QSDsan\EXPOsan\exposan\biobinder_ml\data\"/>
    </mc:Choice>
  </mc:AlternateContent>
  <xr:revisionPtr revIDLastSave="0" documentId="8_{06C99A7D-BECE-4C6D-957E-0CB25B164880}" xr6:coauthVersionLast="47" xr6:coauthVersionMax="47" xr10:uidLastSave="{00000000-0000-0000-0000-000000000000}"/>
  <bookViews>
    <workbookView xWindow="-110" yWindow="-110" windowWidth="25820" windowHeight="15500" xr2:uid="{BD97E243-0BB4-3F42-9EBC-00D49E7EE019}"/>
  </bookViews>
  <sheets>
    <sheet name="info" sheetId="2" r:id="rId1"/>
    <sheet name="Acidification" sheetId="6" r:id="rId2"/>
    <sheet name="GlobalWarming" sheetId="14" r:id="rId3"/>
    <sheet name="Ecotoxicity" sheetId="7" r:id="rId4"/>
    <sheet name="Eutrophication" sheetId="13" r:id="rId5"/>
    <sheet name="Carcinogenics" sheetId="8" r:id="rId6"/>
    <sheet name="NonCarcinogenics" sheetId="9" r:id="rId7"/>
    <sheet name="OzoneDepletion" sheetId="15" r:id="rId8"/>
    <sheet name="ParticulateMatterFormation" sheetId="10" r:id="rId9"/>
    <sheet name="PhotochemicalOxidation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9" l="1"/>
  <c r="D15" i="9"/>
  <c r="C6" i="14"/>
  <c r="C5" i="16"/>
  <c r="C5" i="10"/>
  <c r="C5" i="15"/>
  <c r="C5" i="9"/>
  <c r="C5" i="8"/>
  <c r="C5" i="13"/>
  <c r="C5" i="7"/>
  <c r="C5" i="14"/>
  <c r="C5" i="6"/>
  <c r="C4" i="16"/>
  <c r="C4" i="10"/>
  <c r="C4" i="15"/>
  <c r="C4" i="9"/>
  <c r="C4" i="8"/>
  <c r="C4" i="13"/>
  <c r="C4" i="7"/>
  <c r="C4" i="14"/>
  <c r="C4" i="6"/>
  <c r="C2" i="16" l="1"/>
  <c r="C2" i="10"/>
  <c r="C2" i="15"/>
  <c r="C2" i="9"/>
  <c r="C2" i="8"/>
  <c r="C2" i="13"/>
  <c r="C2" i="7"/>
  <c r="C2" i="14"/>
  <c r="C2" i="6"/>
  <c r="C14" i="16"/>
  <c r="C14" i="10"/>
  <c r="C14" i="15"/>
  <c r="C14" i="9"/>
  <c r="C14" i="8"/>
  <c r="C14" i="13"/>
  <c r="C14" i="7"/>
  <c r="C14" i="14"/>
  <c r="C14" i="6"/>
  <c r="D15" i="16" l="1"/>
  <c r="E15" i="16"/>
  <c r="D15" i="10"/>
  <c r="E15" i="10"/>
  <c r="D15" i="15"/>
  <c r="E15" i="15"/>
  <c r="E47" i="9"/>
  <c r="D47" i="9"/>
  <c r="D15" i="13"/>
  <c r="E15" i="13"/>
  <c r="D15" i="7"/>
  <c r="E15" i="7"/>
  <c r="D15" i="14"/>
  <c r="E15" i="14"/>
  <c r="D15" i="6"/>
  <c r="E15" i="6"/>
  <c r="E5" i="10" l="1"/>
  <c r="D5" i="10"/>
  <c r="D5" i="9"/>
  <c r="E5" i="9"/>
  <c r="D5" i="8"/>
  <c r="E5" i="8"/>
  <c r="D5" i="16"/>
  <c r="E5" i="16"/>
  <c r="D5" i="15"/>
  <c r="E5" i="15"/>
  <c r="D5" i="14"/>
  <c r="E5" i="14"/>
  <c r="D5" i="13"/>
  <c r="E5" i="13"/>
  <c r="D5" i="7"/>
  <c r="E5" i="7"/>
  <c r="D5" i="6"/>
  <c r="E5" i="6"/>
  <c r="D4" i="14"/>
  <c r="E4" i="14"/>
  <c r="D4" i="13"/>
  <c r="E4" i="13"/>
  <c r="E4" i="10" l="1"/>
  <c r="D4" i="10"/>
  <c r="D6" i="10"/>
  <c r="D7" i="10"/>
  <c r="D8" i="10"/>
  <c r="D2" i="10"/>
  <c r="E3" i="10"/>
  <c r="E8" i="10"/>
  <c r="D8" i="9"/>
  <c r="E8" i="9"/>
  <c r="D8" i="8"/>
  <c r="E8" i="8"/>
  <c r="D8" i="16"/>
  <c r="E8" i="16"/>
  <c r="D8" i="15"/>
  <c r="E8" i="15"/>
  <c r="D8" i="14"/>
  <c r="E8" i="14"/>
  <c r="D8" i="13"/>
  <c r="E8" i="13"/>
  <c r="E8" i="7"/>
  <c r="D8" i="7"/>
  <c r="D8" i="6"/>
  <c r="E8" i="6"/>
  <c r="E9" i="6"/>
  <c r="E2" i="10" l="1"/>
  <c r="D3" i="10"/>
  <c r="E3" i="9"/>
  <c r="D3" i="9"/>
  <c r="E2" i="9"/>
  <c r="D2" i="9"/>
  <c r="E3" i="8"/>
  <c r="D3" i="8"/>
  <c r="E2" i="8"/>
  <c r="D2" i="8"/>
  <c r="E3" i="16"/>
  <c r="D3" i="16"/>
  <c r="E2" i="16"/>
  <c r="D2" i="16"/>
  <c r="E3" i="15"/>
  <c r="D3" i="15"/>
  <c r="E2" i="15"/>
  <c r="D2" i="15"/>
  <c r="E3" i="14"/>
  <c r="D3" i="14"/>
  <c r="E2" i="14"/>
  <c r="D2" i="14"/>
  <c r="E3" i="13"/>
  <c r="D3" i="13"/>
  <c r="E2" i="13"/>
  <c r="D2" i="13"/>
  <c r="E3" i="7"/>
  <c r="D3" i="7"/>
  <c r="E2" i="7"/>
  <c r="D2" i="7"/>
  <c r="E2" i="6"/>
  <c r="E3" i="6"/>
  <c r="D2" i="6"/>
  <c r="D3" i="6"/>
  <c r="E14" i="10"/>
  <c r="D14" i="10"/>
  <c r="E13" i="10"/>
  <c r="D13" i="10"/>
  <c r="E12" i="10"/>
  <c r="D12" i="10"/>
  <c r="E11" i="10"/>
  <c r="D11" i="10"/>
  <c r="E10" i="10"/>
  <c r="D10" i="10"/>
  <c r="E9" i="10"/>
  <c r="D9" i="10"/>
  <c r="E7" i="10"/>
  <c r="E6" i="10"/>
  <c r="E14" i="9"/>
  <c r="D14" i="9"/>
  <c r="E13" i="9"/>
  <c r="D13" i="9"/>
  <c r="E12" i="9"/>
  <c r="D12" i="9"/>
  <c r="E11" i="9"/>
  <c r="D11" i="9"/>
  <c r="E10" i="9"/>
  <c r="D10" i="9"/>
  <c r="E9" i="9"/>
  <c r="D9" i="9"/>
  <c r="E7" i="9"/>
  <c r="D7" i="9"/>
  <c r="E6" i="9"/>
  <c r="D6" i="9"/>
  <c r="E4" i="9"/>
  <c r="D4" i="9"/>
  <c r="E14" i="8"/>
  <c r="D14" i="8"/>
  <c r="E13" i="8"/>
  <c r="D13" i="8"/>
  <c r="E12" i="8"/>
  <c r="D12" i="8"/>
  <c r="E11" i="8"/>
  <c r="D11" i="8"/>
  <c r="E10" i="8"/>
  <c r="D10" i="8"/>
  <c r="E9" i="8"/>
  <c r="D9" i="8"/>
  <c r="E7" i="8"/>
  <c r="D7" i="8"/>
  <c r="E6" i="8"/>
  <c r="D6" i="8"/>
  <c r="E4" i="8"/>
  <c r="D4" i="8"/>
  <c r="E14" i="16"/>
  <c r="D14" i="16"/>
  <c r="E13" i="16"/>
  <c r="D13" i="16"/>
  <c r="E12" i="16"/>
  <c r="D12" i="16"/>
  <c r="E11" i="16"/>
  <c r="D11" i="16"/>
  <c r="E10" i="16"/>
  <c r="D10" i="16"/>
  <c r="E9" i="16"/>
  <c r="D9" i="16"/>
  <c r="E7" i="16"/>
  <c r="D7" i="16"/>
  <c r="E6" i="16"/>
  <c r="D6" i="16"/>
  <c r="E4" i="16"/>
  <c r="D4" i="16"/>
  <c r="E14" i="15"/>
  <c r="D14" i="15"/>
  <c r="E13" i="15"/>
  <c r="D13" i="15"/>
  <c r="E12" i="15"/>
  <c r="D12" i="15"/>
  <c r="E11" i="15"/>
  <c r="D11" i="15"/>
  <c r="E10" i="15"/>
  <c r="D10" i="15"/>
  <c r="E9" i="15"/>
  <c r="D9" i="15"/>
  <c r="E7" i="15"/>
  <c r="D7" i="15"/>
  <c r="E6" i="15"/>
  <c r="D6" i="15"/>
  <c r="E4" i="15"/>
  <c r="D4" i="15"/>
  <c r="E14" i="14"/>
  <c r="D14" i="14"/>
  <c r="E13" i="14"/>
  <c r="D13" i="14"/>
  <c r="E12" i="14"/>
  <c r="D12" i="14"/>
  <c r="E11" i="14"/>
  <c r="D11" i="14"/>
  <c r="E10" i="14"/>
  <c r="D10" i="14"/>
  <c r="E9" i="14"/>
  <c r="D9" i="14"/>
  <c r="E7" i="14"/>
  <c r="D7" i="14"/>
  <c r="E6" i="14"/>
  <c r="D6" i="14"/>
  <c r="E14" i="13"/>
  <c r="D14" i="13"/>
  <c r="E13" i="13"/>
  <c r="D13" i="13"/>
  <c r="E12" i="13"/>
  <c r="D12" i="13"/>
  <c r="E11" i="13"/>
  <c r="D11" i="13"/>
  <c r="E10" i="13"/>
  <c r="D10" i="13"/>
  <c r="E9" i="13"/>
  <c r="D9" i="13"/>
  <c r="E7" i="13"/>
  <c r="D7" i="13"/>
  <c r="E6" i="13"/>
  <c r="D6" i="13"/>
  <c r="E14" i="7"/>
  <c r="D14" i="7"/>
  <c r="E13" i="7"/>
  <c r="D13" i="7"/>
  <c r="E12" i="7"/>
  <c r="D12" i="7"/>
  <c r="E11" i="7"/>
  <c r="D11" i="7"/>
  <c r="E10" i="7"/>
  <c r="D10" i="7"/>
  <c r="E9" i="7"/>
  <c r="D9" i="7"/>
  <c r="E7" i="7"/>
  <c r="D7" i="7"/>
  <c r="E6" i="7"/>
  <c r="D6" i="7"/>
  <c r="E4" i="7"/>
  <c r="D4" i="7"/>
  <c r="D4" i="6"/>
  <c r="E4" i="6"/>
  <c r="D6" i="6"/>
  <c r="E6" i="6"/>
  <c r="D7" i="6"/>
  <c r="E7" i="6"/>
  <c r="D9" i="6"/>
  <c r="D10" i="6"/>
  <c r="E10" i="6"/>
  <c r="D11" i="6"/>
  <c r="E11" i="6"/>
  <c r="D12" i="6"/>
  <c r="E12" i="6"/>
  <c r="D13" i="6"/>
  <c r="E13" i="6"/>
  <c r="D14" i="6"/>
  <c r="E14" i="6"/>
</calcChain>
</file>

<file path=xl/sharedStrings.xml><?xml version="1.0" encoding="utf-8"?>
<sst xmlns="http://schemas.openxmlformats.org/spreadsheetml/2006/main" count="666" uniqueCount="75">
  <si>
    <t>ecoinvent 3</t>
  </si>
  <si>
    <t>uniform</t>
  </si>
  <si>
    <t>references</t>
  </si>
  <si>
    <t>distribution</t>
  </si>
  <si>
    <t>high</t>
  </si>
  <si>
    <t>low</t>
  </si>
  <si>
    <t>expected</t>
  </si>
  <si>
    <t>functional_unit</t>
  </si>
  <si>
    <t>kg</t>
  </si>
  <si>
    <t>ID</t>
  </si>
  <si>
    <t>unit</t>
  </si>
  <si>
    <t>kg CO2-eq</t>
  </si>
  <si>
    <t>kWh</t>
  </si>
  <si>
    <t>kg CFC-11-eq</t>
  </si>
  <si>
    <t>description</t>
  </si>
  <si>
    <t>Notes</t>
  </si>
  <si>
    <t>Region</t>
  </si>
  <si>
    <t>GLO</t>
  </si>
  <si>
    <t>RoW</t>
  </si>
  <si>
    <t>market group for electricity, medium voltage</t>
  </si>
  <si>
    <t>market for water, deionised</t>
  </si>
  <si>
    <t>market for heat, from steam, in chemical industry</t>
  </si>
  <si>
    <t>MJ</t>
  </si>
  <si>
    <t>kind</t>
  </si>
  <si>
    <t>ImpactItem</t>
  </si>
  <si>
    <t>Link</t>
  </si>
  <si>
    <t>StreamImpactItem</t>
  </si>
  <si>
    <t>kg SO2-eq</t>
  </si>
  <si>
    <t>Reference</t>
  </si>
  <si>
    <t>CTUe</t>
  </si>
  <si>
    <t>US</t>
  </si>
  <si>
    <t>kg N-Eq</t>
  </si>
  <si>
    <t>CTUh</t>
  </si>
  <si>
    <t>kg O3-Eq</t>
  </si>
  <si>
    <t>kg PM2.5-Eq</t>
  </si>
  <si>
    <t>treatment of wastewater, average, wastewater treatment</t>
  </si>
  <si>
    <t>Zero</t>
  </si>
  <si>
    <t>ecoinvent 4</t>
  </si>
  <si>
    <t>landfill</t>
  </si>
  <si>
    <t>feedstock</t>
  </si>
  <si>
    <t>trans_feedstock</t>
  </si>
  <si>
    <t>trans_biocrude</t>
  </si>
  <si>
    <t>natural_gas</t>
  </si>
  <si>
    <t>process_water</t>
  </si>
  <si>
    <t>electricity</t>
  </si>
  <si>
    <t>steam</t>
  </si>
  <si>
    <t>cooling_water</t>
  </si>
  <si>
    <t>chilled_water</t>
  </si>
  <si>
    <t>cooling</t>
  </si>
  <si>
    <t>diesel</t>
  </si>
  <si>
    <t>wastewater</t>
  </si>
  <si>
    <t>kg.km</t>
  </si>
  <si>
    <t>https://ecoquery.ecoinvent.org/3.11/cutoff/dataset/13670/impact_assessment</t>
  </si>
  <si>
    <t>https://ecoquery.ecoinvent.org/3.11/cutoff/dataset/7479/impact_assessment</t>
  </si>
  <si>
    <t>https://ecoquery.ecoinvent.org/3.11/cutoff/dataset/26546/impact_assessment</t>
  </si>
  <si>
    <t>m3 to kg</t>
  </si>
  <si>
    <t>market for municipal waste collection service by 21 metric ton lorry</t>
  </si>
  <si>
    <t>https://ecoquery.ecoinvent.org/3.11/cutoff/dataset/3152/impact_assessment</t>
  </si>
  <si>
    <t>treatment of municipal solid waste, sanitary landfill</t>
  </si>
  <si>
    <t>https://ecoquery.ecoinvent.org/3.11/cutoff/dataset/7070/impact_assessment</t>
  </si>
  <si>
    <t>For average municipal/communal waste mixture</t>
  </si>
  <si>
    <t>waste collection by trolley</t>
  </si>
  <si>
    <t>transport, freight, lorry 28 metric ton, fatty acid methyl ester 100%</t>
  </si>
  <si>
    <t>https://ecoquery.ecoinvent.org/3.11/cutoff/dataset/9393/impact_assessment</t>
  </si>
  <si>
    <t>78 km</t>
  </si>
  <si>
    <t>161 km</t>
  </si>
  <si>
    <t>https://ecoquery.ecoinvent.org/3.11/cutoff/dataset/2503/impact_assessment</t>
  </si>
  <si>
    <t>market for natural gas, high pressure, vehicle grade</t>
  </si>
  <si>
    <t>include combustion 44/16</t>
  </si>
  <si>
    <t>https://ecoquery.ecoinvent.org/3.11/cutoff/dataset/14635/impact_assessment</t>
  </si>
  <si>
    <t>cooling energy, from natural gas, at cogen unit with absorption chiller 100kW</t>
  </si>
  <si>
    <t>https://ecoquery.ecoinvent.org/3.11/cutoff/dataset/14408/impact_assessment</t>
  </si>
  <si>
    <t>market for diesel, low-sulfur</t>
  </si>
  <si>
    <t>https://ecoquery.ecoinvent.org/3.11/cutoff/dataset/6730/impact_assessment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</si>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</sst>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00_);_(* \(#,##0.000\);_(* &quot;-&quot;??_);_(@_)"/>
    <numFmt numFmtId="165" formatCode="_(* #,##0.00000_);_(* \(#,##0.00000\);_(* &quot;-&quot;??_);_(@_)"/>
    <numFmt numFmtId="166" formatCode="0.000E+00"/>
    <numFmt numFmtId="167" formatCode="0.000000000000"/>
    <numFmt numFmtId="168" formatCode="0.000000000000000"/>
    <numFmt numFmtId="169" formatCode="0.000000E+00"/>
    <numFmt numFmtId="170" formatCode="_(* #,##0.0000000000_);_(* \(#,##0.0000000000\);_(* &quot;-&quot;??_);_(@_)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Helvetica"/>
      <family val="2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11" fontId="0" fillId="0" borderId="0" xfId="0" applyNumberFormat="1"/>
    <xf numFmtId="11" fontId="6" fillId="0" borderId="0" xfId="0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2" fillId="0" borderId="0" xfId="1" applyNumberFormat="1" applyFont="1"/>
    <xf numFmtId="170" fontId="2" fillId="0" borderId="0" xfId="0" applyNumberFormat="1" applyFont="1"/>
    <xf numFmtId="0" fontId="7" fillId="0" borderId="0" xfId="2"/>
    <xf numFmtId="0" fontId="8" fillId="0" borderId="0" xfId="0" applyFont="1"/>
    <xf numFmtId="0" fontId="9" fillId="0" borderId="0" xfId="0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1/cutoff/dataset/2503/impact_assessment" TargetMode="External"/><Relationship Id="rId13" Type="http://schemas.openxmlformats.org/officeDocument/2006/relationships/hyperlink" Target="https://ecoquery.ecoinvent.org/3.11/cutoff/dataset/14408/impact_assessment" TargetMode="External"/><Relationship Id="rId3" Type="http://schemas.openxmlformats.org/officeDocument/2006/relationships/hyperlink" Target="https://ecoquery.ecoinvent.org/3.11/cutoff/dataset/14408/impact_assessment" TargetMode="External"/><Relationship Id="rId7" Type="http://schemas.openxmlformats.org/officeDocument/2006/relationships/hyperlink" Target="https://ecoquery.ecoinvent.org/3.11/cutoff/dataset/14635/impact_assessment" TargetMode="External"/><Relationship Id="rId12" Type="http://schemas.openxmlformats.org/officeDocument/2006/relationships/hyperlink" Target="https://ecoquery.ecoinvent.org/3.11/cutoff/dataset/9393/impact_assessment" TargetMode="External"/><Relationship Id="rId2" Type="http://schemas.openxmlformats.org/officeDocument/2006/relationships/hyperlink" Target="https://ecoquery.ecoinvent.org/3.11/cutoff/dataset/6730/impact_assessment" TargetMode="External"/><Relationship Id="rId1" Type="http://schemas.openxmlformats.org/officeDocument/2006/relationships/hyperlink" Target="https://ecoquery.ecoinvent.org/3.11/cutoff/dataset/26546/impact_assessment" TargetMode="External"/><Relationship Id="rId6" Type="http://schemas.openxmlformats.org/officeDocument/2006/relationships/hyperlink" Target="https://ecoquery.ecoinvent.org/3.11/cutoff/dataset/13670/impact_assessment" TargetMode="External"/><Relationship Id="rId11" Type="http://schemas.openxmlformats.org/officeDocument/2006/relationships/hyperlink" Target="https://ecoquery.ecoinvent.org/3.11/cutoff/dataset/3152/impact_assessment" TargetMode="External"/><Relationship Id="rId5" Type="http://schemas.openxmlformats.org/officeDocument/2006/relationships/hyperlink" Target="https://ecoquery.ecoinvent.org/3.11/cutoff/dataset/7479/impact_assessment" TargetMode="External"/><Relationship Id="rId10" Type="http://schemas.openxmlformats.org/officeDocument/2006/relationships/hyperlink" Target="https://ecoquery.ecoinvent.org/3.11/cutoff/dataset/7070/impact_assessment" TargetMode="External"/><Relationship Id="rId4" Type="http://schemas.openxmlformats.org/officeDocument/2006/relationships/hyperlink" Target="https://ecoquery.ecoinvent.org/3.11/cutoff/dataset/14408/impact_assessment" TargetMode="External"/><Relationship Id="rId9" Type="http://schemas.openxmlformats.org/officeDocument/2006/relationships/hyperlink" Target="https://ecoquery.ecoinvent.org/3.11/cutoff/dataset/9393/impact_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A7A-E84B-1346-816F-577916F7D6A6}">
  <dimension ref="A1:H47"/>
  <sheetViews>
    <sheetView tabSelected="1" zoomScaleNormal="100" workbookViewId="0">
      <selection activeCell="D19" sqref="D19"/>
    </sheetView>
  </sheetViews>
  <sheetFormatPr defaultColWidth="10.6640625" defaultRowHeight="15.5" x14ac:dyDescent="0.35"/>
  <cols>
    <col min="1" max="1" width="23.83203125" style="2" bestFit="1" customWidth="1"/>
    <col min="2" max="3" width="18.33203125" style="2" bestFit="1" customWidth="1"/>
    <col min="4" max="4" width="86.1640625" style="2" bestFit="1" customWidth="1"/>
    <col min="5" max="5" width="7.83203125" style="2" bestFit="1" customWidth="1"/>
    <col min="6" max="6" width="22.4140625" style="2" customWidth="1"/>
    <col min="7" max="7" width="59.58203125" style="2" customWidth="1"/>
    <col min="8" max="16384" width="10.6640625" style="2"/>
  </cols>
  <sheetData>
    <row r="1" spans="1:8" x14ac:dyDescent="0.35">
      <c r="A1" s="1" t="s">
        <v>9</v>
      </c>
      <c r="B1" s="1" t="s">
        <v>23</v>
      </c>
      <c r="C1" s="1" t="s">
        <v>7</v>
      </c>
      <c r="D1" s="1" t="s">
        <v>14</v>
      </c>
      <c r="E1" s="1" t="s">
        <v>16</v>
      </c>
      <c r="F1" s="1" t="s">
        <v>28</v>
      </c>
      <c r="G1" s="1" t="s">
        <v>15</v>
      </c>
      <c r="H1" s="1" t="s">
        <v>25</v>
      </c>
    </row>
    <row r="2" spans="1:8" x14ac:dyDescent="0.35">
      <c r="A2" s="2" t="s">
        <v>39</v>
      </c>
      <c r="B2" s="2" t="s">
        <v>24</v>
      </c>
      <c r="C2" s="2" t="s">
        <v>51</v>
      </c>
      <c r="D2" s="2" t="s">
        <v>56</v>
      </c>
      <c r="E2" s="2" t="s">
        <v>17</v>
      </c>
      <c r="F2" s="15" t="s">
        <v>57</v>
      </c>
      <c r="G2" s="2" t="s">
        <v>61</v>
      </c>
    </row>
    <row r="3" spans="1:8" x14ac:dyDescent="0.35">
      <c r="A3" s="2" t="s">
        <v>38</v>
      </c>
      <c r="B3" s="2" t="s">
        <v>24</v>
      </c>
      <c r="C3" s="2" t="s">
        <v>8</v>
      </c>
      <c r="D3" s="2" t="s">
        <v>58</v>
      </c>
      <c r="E3" s="2" t="s">
        <v>18</v>
      </c>
      <c r="F3" s="15" t="s">
        <v>59</v>
      </c>
      <c r="G3" s="2" t="s">
        <v>60</v>
      </c>
    </row>
    <row r="4" spans="1:8" x14ac:dyDescent="0.35">
      <c r="A4" s="2" t="s">
        <v>40</v>
      </c>
      <c r="B4" s="2" t="s">
        <v>24</v>
      </c>
      <c r="C4" s="2" t="s">
        <v>51</v>
      </c>
      <c r="D4" s="2" t="s">
        <v>62</v>
      </c>
      <c r="E4" s="2" t="s">
        <v>17</v>
      </c>
      <c r="F4" s="15" t="s">
        <v>63</v>
      </c>
      <c r="G4" s="2" t="s">
        <v>64</v>
      </c>
    </row>
    <row r="5" spans="1:8" x14ac:dyDescent="0.35">
      <c r="A5" s="2" t="s">
        <v>41</v>
      </c>
      <c r="B5" s="2" t="s">
        <v>24</v>
      </c>
      <c r="C5" s="2" t="s">
        <v>51</v>
      </c>
      <c r="D5" s="2" t="s">
        <v>62</v>
      </c>
      <c r="E5" s="2" t="s">
        <v>17</v>
      </c>
      <c r="F5" s="15" t="s">
        <v>63</v>
      </c>
      <c r="G5" s="2" t="s">
        <v>65</v>
      </c>
    </row>
    <row r="6" spans="1:8" x14ac:dyDescent="0.35">
      <c r="A6" s="2" t="s">
        <v>42</v>
      </c>
      <c r="B6" s="2" t="s">
        <v>26</v>
      </c>
      <c r="C6" s="2" t="s">
        <v>8</v>
      </c>
      <c r="D6" s="2" t="s">
        <v>67</v>
      </c>
      <c r="E6" s="2" t="s">
        <v>17</v>
      </c>
      <c r="F6" s="15" t="s">
        <v>66</v>
      </c>
      <c r="G6" s="2" t="s">
        <v>68</v>
      </c>
    </row>
    <row r="7" spans="1:8" x14ac:dyDescent="0.35">
      <c r="A7" s="2" t="s">
        <v>43</v>
      </c>
      <c r="B7" s="2" t="s">
        <v>26</v>
      </c>
      <c r="C7" s="2" t="s">
        <v>8</v>
      </c>
      <c r="D7" s="2" t="s">
        <v>20</v>
      </c>
      <c r="E7" s="2" t="s">
        <v>18</v>
      </c>
      <c r="F7" s="15" t="s">
        <v>69</v>
      </c>
    </row>
    <row r="8" spans="1:8" x14ac:dyDescent="0.35">
      <c r="A8" s="2" t="s">
        <v>44</v>
      </c>
      <c r="B8" s="2" t="s">
        <v>24</v>
      </c>
      <c r="C8" s="2" t="s">
        <v>12</v>
      </c>
      <c r="D8" s="2" t="s">
        <v>19</v>
      </c>
      <c r="E8" s="2" t="s">
        <v>30</v>
      </c>
      <c r="F8" s="15" t="s">
        <v>52</v>
      </c>
    </row>
    <row r="9" spans="1:8" x14ac:dyDescent="0.35">
      <c r="A9" s="2" t="s">
        <v>45</v>
      </c>
      <c r="B9" s="2" t="s">
        <v>26</v>
      </c>
      <c r="C9" s="2" t="s">
        <v>22</v>
      </c>
      <c r="D9" s="2" t="s">
        <v>21</v>
      </c>
      <c r="E9" s="2" t="s">
        <v>18</v>
      </c>
      <c r="F9" s="15" t="s">
        <v>53</v>
      </c>
    </row>
    <row r="10" spans="1:8" x14ac:dyDescent="0.35">
      <c r="A10" s="2" t="s">
        <v>46</v>
      </c>
      <c r="B10" s="2" t="s">
        <v>26</v>
      </c>
      <c r="C10" s="2" t="s">
        <v>8</v>
      </c>
      <c r="D10" s="2" t="s">
        <v>70</v>
      </c>
      <c r="E10" s="2" t="s">
        <v>18</v>
      </c>
      <c r="F10" s="15" t="s">
        <v>71</v>
      </c>
    </row>
    <row r="11" spans="1:8" x14ac:dyDescent="0.35">
      <c r="A11" s="2" t="s">
        <v>47</v>
      </c>
      <c r="B11" s="2" t="s">
        <v>26</v>
      </c>
      <c r="C11" s="2" t="s">
        <v>8</v>
      </c>
      <c r="D11" s="2" t="s">
        <v>70</v>
      </c>
      <c r="E11" s="2" t="s">
        <v>18</v>
      </c>
      <c r="F11" s="15" t="s">
        <v>71</v>
      </c>
    </row>
    <row r="12" spans="1:8" x14ac:dyDescent="0.35">
      <c r="A12" s="2" t="s">
        <v>48</v>
      </c>
      <c r="B12" s="2" t="s">
        <v>24</v>
      </c>
      <c r="C12" s="2" t="s">
        <v>22</v>
      </c>
      <c r="D12" s="2" t="s">
        <v>70</v>
      </c>
      <c r="E12" s="2" t="s">
        <v>18</v>
      </c>
      <c r="F12" s="15" t="s">
        <v>71</v>
      </c>
    </row>
    <row r="13" spans="1:8" x14ac:dyDescent="0.35">
      <c r="A13" s="2" t="s">
        <v>49</v>
      </c>
      <c r="B13" s="2" t="s">
        <v>26</v>
      </c>
      <c r="C13" s="2" t="s">
        <v>8</v>
      </c>
      <c r="D13" s="2" t="s">
        <v>72</v>
      </c>
      <c r="E13" s="2" t="s">
        <v>18</v>
      </c>
      <c r="F13" s="15" t="s">
        <v>73</v>
      </c>
    </row>
    <row r="14" spans="1:8" x14ac:dyDescent="0.35">
      <c r="A14" s="2" t="s">
        <v>50</v>
      </c>
      <c r="B14" s="2" t="s">
        <v>26</v>
      </c>
      <c r="C14" s="2" t="s">
        <v>8</v>
      </c>
      <c r="D14" s="2" t="s">
        <v>35</v>
      </c>
      <c r="E14" s="2" t="s">
        <v>18</v>
      </c>
      <c r="F14" s="15" t="s">
        <v>54</v>
      </c>
      <c r="G14" s="2" t="s">
        <v>55</v>
      </c>
    </row>
    <row r="15" spans="1:8" x14ac:dyDescent="0.35">
      <c r="F15" s="15"/>
    </row>
    <row r="16" spans="1:8" x14ac:dyDescent="0.35">
      <c r="F16" s="15"/>
    </row>
    <row r="17" spans="4:7" x14ac:dyDescent="0.35">
      <c r="F17" s="15"/>
    </row>
    <row r="18" spans="4:7" x14ac:dyDescent="0.35">
      <c r="F18" s="15"/>
    </row>
    <row r="19" spans="4:7" x14ac:dyDescent="0.35">
      <c r="F19" s="15"/>
    </row>
    <row r="20" spans="4:7" x14ac:dyDescent="0.35">
      <c r="F20" s="15"/>
    </row>
    <row r="21" spans="4:7" x14ac:dyDescent="0.35">
      <c r="D21" s="17"/>
      <c r="E21" s="17"/>
      <c r="F21" s="17"/>
      <c r="G21" s="17"/>
    </row>
    <row r="22" spans="4:7" x14ac:dyDescent="0.35">
      <c r="D22" s="17"/>
      <c r="E22" s="17"/>
      <c r="F22" s="17"/>
      <c r="G22" s="17"/>
    </row>
    <row r="23" spans="4:7" x14ac:dyDescent="0.35">
      <c r="F23" s="15"/>
    </row>
    <row r="24" spans="4:7" x14ac:dyDescent="0.35">
      <c r="F24" s="15"/>
    </row>
    <row r="25" spans="4:7" x14ac:dyDescent="0.35">
      <c r="F25" s="15"/>
    </row>
    <row r="26" spans="4:7" x14ac:dyDescent="0.35">
      <c r="F26" s="15"/>
    </row>
    <row r="27" spans="4:7" x14ac:dyDescent="0.35">
      <c r="F27" s="15"/>
    </row>
    <row r="28" spans="4:7" x14ac:dyDescent="0.35">
      <c r="F28" s="15"/>
    </row>
    <row r="29" spans="4:7" x14ac:dyDescent="0.35">
      <c r="F29" s="15"/>
    </row>
    <row r="30" spans="4:7" x14ac:dyDescent="0.35">
      <c r="F30" s="15"/>
    </row>
    <row r="31" spans="4:7" x14ac:dyDescent="0.35">
      <c r="F31" s="15"/>
    </row>
    <row r="32" spans="4:7" x14ac:dyDescent="0.35">
      <c r="F32" s="15"/>
    </row>
    <row r="33" spans="1:7" x14ac:dyDescent="0.35">
      <c r="F33" s="15"/>
    </row>
    <row r="34" spans="1:7" x14ac:dyDescent="0.35">
      <c r="F34" s="15"/>
    </row>
    <row r="35" spans="1:7" x14ac:dyDescent="0.35">
      <c r="F35" s="15"/>
    </row>
    <row r="36" spans="1:7" x14ac:dyDescent="0.35">
      <c r="F36" s="15"/>
    </row>
    <row r="37" spans="1:7" x14ac:dyDescent="0.35">
      <c r="F37" s="15"/>
    </row>
    <row r="38" spans="1:7" x14ac:dyDescent="0.35">
      <c r="F38" s="15"/>
    </row>
    <row r="39" spans="1:7" x14ac:dyDescent="0.35">
      <c r="F39" s="15"/>
    </row>
    <row r="40" spans="1:7" x14ac:dyDescent="0.35">
      <c r="F40" s="15"/>
      <c r="G40" s="16"/>
    </row>
    <row r="41" spans="1:7" x14ac:dyDescent="0.35">
      <c r="F41" s="15"/>
    </row>
    <row r="42" spans="1:7" x14ac:dyDescent="0.35">
      <c r="F42" s="15"/>
    </row>
    <row r="43" spans="1:7" x14ac:dyDescent="0.35">
      <c r="F43" s="15"/>
    </row>
    <row r="44" spans="1:7" x14ac:dyDescent="0.35">
      <c r="F44" s="15"/>
    </row>
    <row r="45" spans="1:7" x14ac:dyDescent="0.35">
      <c r="F45" s="15"/>
    </row>
    <row r="46" spans="1:7" x14ac:dyDescent="0.35">
      <c r="F46" s="15"/>
    </row>
    <row r="47" spans="1:7" x14ac:dyDescent="0.35">
      <c r="A47" s="2" t="s">
        <v>36</v>
      </c>
      <c r="B47" s="2" t="s">
        <v>26</v>
      </c>
      <c r="C47" s="2" t="s">
        <v>8</v>
      </c>
    </row>
  </sheetData>
  <mergeCells count="2">
    <mergeCell ref="D21:G21"/>
    <mergeCell ref="D22:G22"/>
  </mergeCells>
  <hyperlinks>
    <hyperlink ref="F14" r:id="rId1" xr:uid="{3F6C86A8-7BCB-4BFE-B504-14D255723022}"/>
    <hyperlink ref="F13" r:id="rId2" xr:uid="{DFEACE26-2AF1-4324-9CD9-98B480A28919}"/>
    <hyperlink ref="F12" r:id="rId3" xr:uid="{B91BAE96-933A-4D55-B9FC-F753AC3100FE}"/>
    <hyperlink ref="F11" r:id="rId4" xr:uid="{1077003F-48CA-4181-99C0-DE15FCA65833}"/>
    <hyperlink ref="F9" r:id="rId5" xr:uid="{533A27C5-26E3-41FA-B494-7C3C67512050}"/>
    <hyperlink ref="F8" r:id="rId6" xr:uid="{E58A0DB4-C777-473C-9666-CC78CD397FA7}"/>
    <hyperlink ref="F7" r:id="rId7" xr:uid="{3030AC8B-3955-4944-A618-0314E5CF6789}"/>
    <hyperlink ref="F6" r:id="rId8" xr:uid="{A7E45587-E96D-4C58-B3C6-91C728380671}"/>
    <hyperlink ref="F4" r:id="rId9" xr:uid="{43AC777A-EC5D-4BEA-ABCA-11B40B94034C}"/>
    <hyperlink ref="F3" r:id="rId10" xr:uid="{22376439-7865-48DD-83C6-66FF4D5361A6}"/>
    <hyperlink ref="F2" r:id="rId11" xr:uid="{FA54BB97-14B4-4638-B4B6-EE4CFC01F706}"/>
    <hyperlink ref="F5" r:id="rId12" xr:uid="{7967C275-0A94-4FB8-B312-CCF04AD0BDA1}"/>
    <hyperlink ref="F10" r:id="rId13" xr:uid="{9EFB781F-51A6-4E77-BAAA-FE2AF0233E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4E52-5A7F-8142-BD9E-CE1C29D2C0B8}">
  <dimension ref="A1:G17"/>
  <sheetViews>
    <sheetView zoomScale="81" zoomScaleNormal="81" workbookViewId="0">
      <selection activeCell="I24" sqref="I24"/>
    </sheetView>
  </sheetViews>
  <sheetFormatPr defaultColWidth="10.83203125" defaultRowHeight="15.5" x14ac:dyDescent="0.35"/>
  <cols>
    <col min="1" max="1" width="23.83203125" style="2" bestFit="1" customWidth="1"/>
    <col min="2" max="2" width="15" style="2" bestFit="1" customWidth="1"/>
    <col min="3" max="3" width="13.6640625" style="2" bestFit="1" customWidth="1"/>
    <col min="4" max="5" width="10.83203125" style="2"/>
    <col min="6" max="6" width="11.83203125" style="2" bestFit="1" customWidth="1"/>
    <col min="7" max="7" width="17.75" style="2" customWidth="1"/>
    <col min="8" max="16384" width="10.83203125" style="2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2" t="s">
        <v>27</v>
      </c>
      <c r="C2" s="2">
        <f>0.00667782831799876/1000</f>
        <v>6.6778283179987602E-6</v>
      </c>
      <c r="D2" s="2">
        <f t="shared" ref="D2:D14" si="0">C2*0.9</f>
        <v>6.0100454861988843E-6</v>
      </c>
      <c r="E2" s="2">
        <f t="shared" ref="E2:E14" si="1">C2*1.1</f>
        <v>7.345611149798637E-6</v>
      </c>
      <c r="F2" s="3" t="s">
        <v>1</v>
      </c>
      <c r="G2" s="3" t="s">
        <v>0</v>
      </c>
    </row>
    <row r="3" spans="1:7" x14ac:dyDescent="0.35">
      <c r="A3" s="2" t="s">
        <v>38</v>
      </c>
      <c r="B3" s="2" t="s">
        <v>27</v>
      </c>
      <c r="C3" s="2">
        <v>-1.39319412050348E-4</v>
      </c>
      <c r="D3" s="2">
        <f t="shared" si="0"/>
        <v>-1.253874708453132E-4</v>
      </c>
      <c r="E3" s="2">
        <f t="shared" si="1"/>
        <v>-1.5325135325538282E-4</v>
      </c>
      <c r="F3" s="3" t="s">
        <v>1</v>
      </c>
      <c r="G3" s="3" t="s">
        <v>0</v>
      </c>
    </row>
    <row r="4" spans="1:7" x14ac:dyDescent="0.35">
      <c r="A4" s="2" t="s">
        <v>40</v>
      </c>
      <c r="B4" s="2" t="s">
        <v>27</v>
      </c>
      <c r="C4" s="2">
        <f>0.00246620158910546*0.078</f>
        <v>1.9236372395022589E-4</v>
      </c>
      <c r="D4" s="2">
        <f t="shared" si="0"/>
        <v>1.7312735155520329E-4</v>
      </c>
      <c r="E4" s="2">
        <f t="shared" si="1"/>
        <v>2.116000963452485E-4</v>
      </c>
      <c r="F4" s="3" t="s">
        <v>1</v>
      </c>
      <c r="G4" s="3" t="s">
        <v>0</v>
      </c>
    </row>
    <row r="5" spans="1:7" x14ac:dyDescent="0.35">
      <c r="A5" s="2" t="s">
        <v>41</v>
      </c>
      <c r="B5" s="2" t="s">
        <v>27</v>
      </c>
      <c r="C5" s="2">
        <f>0.00246620158910546*0.161</f>
        <v>3.9705845584597907E-4</v>
      </c>
      <c r="D5" s="2">
        <f t="shared" ref="D5" si="2">C5*0.9</f>
        <v>3.5735261026138116E-4</v>
      </c>
      <c r="E5" s="2">
        <f t="shared" ref="E5" si="3">C5*1.1</f>
        <v>4.3676430143057703E-4</v>
      </c>
      <c r="F5" s="2" t="s">
        <v>1</v>
      </c>
      <c r="G5" s="2" t="s">
        <v>0</v>
      </c>
    </row>
    <row r="6" spans="1:7" x14ac:dyDescent="0.35">
      <c r="A6" s="2" t="s">
        <v>42</v>
      </c>
      <c r="B6" s="2" t="s">
        <v>27</v>
      </c>
      <c r="C6" s="2">
        <v>2.1628743535275202E-3</v>
      </c>
      <c r="D6" s="2">
        <f t="shared" si="0"/>
        <v>1.9465869181747681E-3</v>
      </c>
      <c r="E6" s="2">
        <f t="shared" si="1"/>
        <v>2.3791617888802722E-3</v>
      </c>
      <c r="F6" s="3" t="s">
        <v>1</v>
      </c>
      <c r="G6" s="3" t="s">
        <v>0</v>
      </c>
    </row>
    <row r="7" spans="1:7" x14ac:dyDescent="0.35">
      <c r="A7" s="2" t="s">
        <v>43</v>
      </c>
      <c r="B7" s="2" t="s">
        <v>27</v>
      </c>
      <c r="C7" s="2">
        <v>3.4878366529594502E-6</v>
      </c>
      <c r="D7" s="2">
        <f t="shared" si="0"/>
        <v>3.139052987663505E-6</v>
      </c>
      <c r="E7" s="2">
        <f t="shared" si="1"/>
        <v>3.8366203182553957E-6</v>
      </c>
      <c r="F7" s="2" t="s">
        <v>1</v>
      </c>
      <c r="G7" s="2" t="s">
        <v>0</v>
      </c>
    </row>
    <row r="8" spans="1:7" x14ac:dyDescent="0.35">
      <c r="A8" s="2" t="s">
        <v>44</v>
      </c>
      <c r="B8" s="2" t="s">
        <v>27</v>
      </c>
      <c r="C8" s="2">
        <v>1.1111417134806801E-3</v>
      </c>
      <c r="D8" s="2">
        <f t="shared" ref="D8" si="4">C8*0.9</f>
        <v>1.0000275421326121E-3</v>
      </c>
      <c r="E8" s="2">
        <f t="shared" ref="E8" si="5">C8*1.1</f>
        <v>1.2222558848287482E-3</v>
      </c>
      <c r="F8" s="2" t="s">
        <v>1</v>
      </c>
      <c r="G8" s="2" t="s">
        <v>0</v>
      </c>
    </row>
    <row r="9" spans="1:7" x14ac:dyDescent="0.35">
      <c r="A9" s="2" t="s">
        <v>45</v>
      </c>
      <c r="B9" s="2" t="s">
        <v>27</v>
      </c>
      <c r="C9" s="2">
        <v>3.6529421292564099E-4</v>
      </c>
      <c r="D9" s="2">
        <f t="shared" si="0"/>
        <v>3.2876479163307691E-4</v>
      </c>
      <c r="E9" s="2">
        <f t="shared" si="1"/>
        <v>4.0182363421820513E-4</v>
      </c>
      <c r="F9" s="2" t="s">
        <v>1</v>
      </c>
      <c r="G9" s="2" t="s">
        <v>0</v>
      </c>
    </row>
    <row r="10" spans="1:7" x14ac:dyDescent="0.35">
      <c r="A10" s="2" t="s">
        <v>46</v>
      </c>
      <c r="B10" s="2" t="s">
        <v>27</v>
      </c>
      <c r="C10" s="2">
        <v>1.4747554325702901E-4</v>
      </c>
      <c r="D10" s="2">
        <f t="shared" si="0"/>
        <v>1.3272798893132612E-4</v>
      </c>
      <c r="E10" s="2">
        <f t="shared" si="1"/>
        <v>1.6222309758273193E-4</v>
      </c>
      <c r="F10" s="2" t="s">
        <v>1</v>
      </c>
      <c r="G10" s="2" t="s">
        <v>0</v>
      </c>
    </row>
    <row r="11" spans="1:7" x14ac:dyDescent="0.35">
      <c r="A11" s="2" t="s">
        <v>47</v>
      </c>
      <c r="B11" s="2" t="s">
        <v>27</v>
      </c>
      <c r="C11" s="2">
        <v>1.4747554325702901E-4</v>
      </c>
      <c r="D11" s="2">
        <f t="shared" si="0"/>
        <v>1.3272798893132612E-4</v>
      </c>
      <c r="E11" s="2">
        <f t="shared" si="1"/>
        <v>1.6222309758273193E-4</v>
      </c>
      <c r="F11" s="2" t="s">
        <v>1</v>
      </c>
      <c r="G11" s="2" t="s">
        <v>0</v>
      </c>
    </row>
    <row r="12" spans="1:7" x14ac:dyDescent="0.35">
      <c r="A12" s="2" t="s">
        <v>48</v>
      </c>
      <c r="B12" s="2" t="s">
        <v>27</v>
      </c>
      <c r="C12" s="2">
        <v>1.4747554325702901E-4</v>
      </c>
      <c r="D12" s="2">
        <f t="shared" si="0"/>
        <v>1.3272798893132612E-4</v>
      </c>
      <c r="E12" s="2">
        <f t="shared" si="1"/>
        <v>1.6222309758273193E-4</v>
      </c>
      <c r="F12" s="2" t="s">
        <v>1</v>
      </c>
      <c r="G12" s="2" t="s">
        <v>0</v>
      </c>
    </row>
    <row r="13" spans="1:7" x14ac:dyDescent="0.35">
      <c r="A13" s="2" t="s">
        <v>49</v>
      </c>
      <c r="B13" s="2" t="s">
        <v>27</v>
      </c>
      <c r="C13" s="2">
        <v>-3.3836004778428799E-3</v>
      </c>
      <c r="D13" s="2">
        <f t="shared" si="0"/>
        <v>-3.0452404300585919E-3</v>
      </c>
      <c r="E13" s="2">
        <f t="shared" si="1"/>
        <v>-3.7219605256271684E-3</v>
      </c>
      <c r="F13" s="2" t="s">
        <v>1</v>
      </c>
      <c r="G13" s="2" t="s">
        <v>0</v>
      </c>
    </row>
    <row r="14" spans="1:7" x14ac:dyDescent="0.35">
      <c r="A14" s="2" t="s">
        <v>50</v>
      </c>
      <c r="B14" s="2" t="s">
        <v>27</v>
      </c>
      <c r="C14" s="2">
        <f>0.00194117306180621/1000</f>
        <v>1.9411730618062099E-6</v>
      </c>
      <c r="D14" s="2">
        <f t="shared" si="0"/>
        <v>1.747055755625589E-6</v>
      </c>
      <c r="E14" s="2">
        <f t="shared" si="1"/>
        <v>2.1352903679868311E-6</v>
      </c>
      <c r="F14" s="2" t="s">
        <v>1</v>
      </c>
      <c r="G14" s="2" t="s">
        <v>0</v>
      </c>
    </row>
    <row r="15" spans="1:7" x14ac:dyDescent="0.35">
      <c r="A15" s="2" t="s">
        <v>74</v>
      </c>
      <c r="B15" s="2" t="s">
        <v>27</v>
      </c>
      <c r="C15" s="2">
        <v>0</v>
      </c>
      <c r="D15" s="2">
        <f t="shared" ref="D15" si="6">C15*0.9</f>
        <v>0</v>
      </c>
      <c r="E15" s="2">
        <f t="shared" ref="E15" si="7">C15*1.1</f>
        <v>0</v>
      </c>
      <c r="F15" s="2" t="s">
        <v>1</v>
      </c>
      <c r="G15" s="2" t="s">
        <v>0</v>
      </c>
    </row>
    <row r="16" spans="1:7" x14ac:dyDescent="0.35">
      <c r="F16" s="3"/>
      <c r="G16" s="3"/>
    </row>
    <row r="17" spans="6:7" x14ac:dyDescent="0.35">
      <c r="F17" s="3"/>
      <c r="G17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E960-887B-1E49-80AF-9619BDC224B9}">
  <dimension ref="A1:S57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5" bestFit="1" customWidth="1"/>
    <col min="6" max="6" width="11.83203125" bestFit="1" customWidth="1"/>
    <col min="7" max="7" width="11.6640625" bestFit="1" customWidth="1"/>
    <col min="11" max="13" width="15.83203125" bestFit="1" customWidth="1"/>
    <col min="14" max="14" width="16.5" bestFit="1" customWidth="1"/>
    <col min="15" max="15" width="18.6640625" bestFit="1" customWidth="1"/>
    <col min="16" max="19" width="15.832031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2" t="s">
        <v>11</v>
      </c>
      <c r="C2" s="2">
        <f>1.37997323128599/1000</f>
        <v>1.37997323128599E-3</v>
      </c>
      <c r="D2" s="2">
        <f t="shared" ref="D2:D5" si="0">C2*0.9</f>
        <v>1.2419759081573911E-3</v>
      </c>
      <c r="E2" s="2">
        <f t="shared" ref="E2:E5" si="1">C2*1.1</f>
        <v>1.5179705544145891E-3</v>
      </c>
      <c r="F2" s="3" t="s">
        <v>1</v>
      </c>
      <c r="G2" s="3" t="s">
        <v>0</v>
      </c>
    </row>
    <row r="3" spans="1:7" x14ac:dyDescent="0.35">
      <c r="A3" s="2" t="s">
        <v>38</v>
      </c>
      <c r="B3" s="2" t="s">
        <v>11</v>
      </c>
      <c r="C3" s="2">
        <v>-0.49930496027849702</v>
      </c>
      <c r="D3" s="2">
        <f t="shared" si="0"/>
        <v>-0.44937446425064731</v>
      </c>
      <c r="E3" s="2">
        <f t="shared" si="1"/>
        <v>-0.54923545630634674</v>
      </c>
      <c r="F3" s="3" t="s">
        <v>1</v>
      </c>
      <c r="G3" s="3" t="s">
        <v>0</v>
      </c>
    </row>
    <row r="4" spans="1:7" x14ac:dyDescent="0.35">
      <c r="A4" s="2" t="s">
        <v>40</v>
      </c>
      <c r="B4" s="2" t="s">
        <v>11</v>
      </c>
      <c r="C4" s="2">
        <f>0.145896610216775*0.078</f>
        <v>1.137993559690845E-2</v>
      </c>
      <c r="D4" s="2">
        <f t="shared" si="0"/>
        <v>1.0241942037217606E-2</v>
      </c>
      <c r="E4" s="2">
        <f t="shared" si="1"/>
        <v>1.2517929156599297E-2</v>
      </c>
      <c r="F4" s="3" t="s">
        <v>1</v>
      </c>
      <c r="G4" s="3" t="s">
        <v>0</v>
      </c>
    </row>
    <row r="5" spans="1:7" x14ac:dyDescent="0.35">
      <c r="A5" s="2" t="s">
        <v>41</v>
      </c>
      <c r="B5" s="2" t="s">
        <v>11</v>
      </c>
      <c r="C5" s="2">
        <f>0.145896610216775*0.161</f>
        <v>2.3489354244900774E-2</v>
      </c>
      <c r="D5" s="2">
        <f t="shared" si="0"/>
        <v>2.1140418820410695E-2</v>
      </c>
      <c r="E5" s="2">
        <f t="shared" si="1"/>
        <v>2.5838289669390852E-2</v>
      </c>
      <c r="F5" s="2" t="s">
        <v>1</v>
      </c>
      <c r="G5" s="2" t="s">
        <v>0</v>
      </c>
    </row>
    <row r="6" spans="1:7" x14ac:dyDescent="0.35">
      <c r="A6" s="2" t="s">
        <v>42</v>
      </c>
      <c r="B6" s="2" t="s">
        <v>11</v>
      </c>
      <c r="C6" s="2">
        <f>0.821222447347444+(44/16)</f>
        <v>3.5712224473474441</v>
      </c>
      <c r="D6" s="2">
        <f t="shared" ref="D6:D14" si="2">C6*0.9</f>
        <v>3.2141002026126997</v>
      </c>
      <c r="E6" s="2">
        <f t="shared" ref="E6:E14" si="3">C6*1.1</f>
        <v>3.9283446920821889</v>
      </c>
      <c r="F6" s="3" t="s">
        <v>1</v>
      </c>
      <c r="G6" s="3" t="s">
        <v>0</v>
      </c>
    </row>
    <row r="7" spans="1:7" x14ac:dyDescent="0.35">
      <c r="A7" s="2" t="s">
        <v>43</v>
      </c>
      <c r="B7" s="2" t="s">
        <v>11</v>
      </c>
      <c r="C7" s="2">
        <v>4.6566347257968199E-4</v>
      </c>
      <c r="D7" s="2">
        <f t="shared" si="2"/>
        <v>4.1909712532171378E-4</v>
      </c>
      <c r="E7" s="2">
        <f t="shared" si="3"/>
        <v>5.1222981983765025E-4</v>
      </c>
      <c r="F7" s="2" t="s">
        <v>1</v>
      </c>
      <c r="G7" s="2" t="s">
        <v>0</v>
      </c>
    </row>
    <row r="8" spans="1:7" x14ac:dyDescent="0.35">
      <c r="A8" s="2" t="s">
        <v>44</v>
      </c>
      <c r="B8" s="2" t="s">
        <v>11</v>
      </c>
      <c r="C8" s="2">
        <v>0.47973964116699103</v>
      </c>
      <c r="D8" s="2">
        <f t="shared" ref="D8" si="4">C8*0.9</f>
        <v>0.43176567705029195</v>
      </c>
      <c r="E8" s="2">
        <f t="shared" ref="E8" si="5">C8*1.1</f>
        <v>0.52771360528369016</v>
      </c>
      <c r="F8" s="2" t="s">
        <v>1</v>
      </c>
      <c r="G8" s="2" t="s">
        <v>0</v>
      </c>
    </row>
    <row r="9" spans="1:7" x14ac:dyDescent="0.35">
      <c r="A9" s="2" t="s">
        <v>45</v>
      </c>
      <c r="B9" s="2" t="s">
        <v>11</v>
      </c>
      <c r="C9" s="2">
        <v>0.12516635328048301</v>
      </c>
      <c r="D9" s="2">
        <f t="shared" si="2"/>
        <v>0.11264971795243471</v>
      </c>
      <c r="E9" s="2">
        <f t="shared" si="3"/>
        <v>0.13768298860853131</v>
      </c>
      <c r="F9" s="2" t="s">
        <v>1</v>
      </c>
      <c r="G9" s="2" t="s">
        <v>0</v>
      </c>
    </row>
    <row r="10" spans="1:7" x14ac:dyDescent="0.35">
      <c r="A10" s="2" t="s">
        <v>46</v>
      </c>
      <c r="B10" s="2" t="s">
        <v>11</v>
      </c>
      <c r="C10" s="2">
        <v>6.7068915691696901E-2</v>
      </c>
      <c r="D10" s="2">
        <f t="shared" si="2"/>
        <v>6.0362024122527211E-2</v>
      </c>
      <c r="E10" s="2">
        <f t="shared" si="3"/>
        <v>7.3775807260866591E-2</v>
      </c>
      <c r="F10" s="2" t="s">
        <v>1</v>
      </c>
      <c r="G10" s="2" t="s">
        <v>0</v>
      </c>
    </row>
    <row r="11" spans="1:7" x14ac:dyDescent="0.35">
      <c r="A11" s="2" t="s">
        <v>47</v>
      </c>
      <c r="B11" s="2" t="s">
        <v>11</v>
      </c>
      <c r="C11" s="2">
        <v>6.7068915691696901E-2</v>
      </c>
      <c r="D11" s="2">
        <f t="shared" si="2"/>
        <v>6.0362024122527211E-2</v>
      </c>
      <c r="E11" s="2">
        <f t="shared" si="3"/>
        <v>7.3775807260866591E-2</v>
      </c>
      <c r="F11" s="2" t="s">
        <v>1</v>
      </c>
      <c r="G11" s="2" t="s">
        <v>0</v>
      </c>
    </row>
    <row r="12" spans="1:7" x14ac:dyDescent="0.35">
      <c r="A12" s="2" t="s">
        <v>48</v>
      </c>
      <c r="B12" s="2" t="s">
        <v>11</v>
      </c>
      <c r="C12" s="2">
        <v>6.7068915691696901E-2</v>
      </c>
      <c r="D12" s="2">
        <f t="shared" si="2"/>
        <v>6.0362024122527211E-2</v>
      </c>
      <c r="E12" s="2">
        <f t="shared" si="3"/>
        <v>7.3775807260866591E-2</v>
      </c>
      <c r="F12" s="2" t="s">
        <v>1</v>
      </c>
      <c r="G12" s="2" t="s">
        <v>0</v>
      </c>
    </row>
    <row r="13" spans="1:7" x14ac:dyDescent="0.35">
      <c r="A13" s="2" t="s">
        <v>49</v>
      </c>
      <c r="B13" s="2" t="s">
        <v>11</v>
      </c>
      <c r="C13" s="2">
        <v>-0.90461496491238202</v>
      </c>
      <c r="D13" s="2">
        <f t="shared" si="2"/>
        <v>-0.81415346842114389</v>
      </c>
      <c r="E13" s="2">
        <f t="shared" si="3"/>
        <v>-0.99507646140362027</v>
      </c>
      <c r="F13" s="2" t="s">
        <v>1</v>
      </c>
      <c r="G13" s="2" t="s">
        <v>0</v>
      </c>
    </row>
    <row r="14" spans="1:7" x14ac:dyDescent="0.35">
      <c r="A14" s="2" t="s">
        <v>50</v>
      </c>
      <c r="B14" s="2" t="s">
        <v>11</v>
      </c>
      <c r="C14" s="2">
        <f>0.461791983829005/1000</f>
        <v>4.61791983829005E-4</v>
      </c>
      <c r="D14" s="2">
        <f t="shared" si="2"/>
        <v>4.1561278544610452E-4</v>
      </c>
      <c r="E14" s="2">
        <f t="shared" si="3"/>
        <v>5.0797118221190558E-4</v>
      </c>
      <c r="F14" s="2" t="s">
        <v>1</v>
      </c>
      <c r="G14" s="2" t="s">
        <v>0</v>
      </c>
    </row>
    <row r="15" spans="1:7" x14ac:dyDescent="0.35">
      <c r="A15" s="2" t="s">
        <v>74</v>
      </c>
      <c r="B15" s="2" t="s">
        <v>11</v>
      </c>
      <c r="C15">
        <v>0</v>
      </c>
      <c r="D15" s="2">
        <f t="shared" ref="D15" si="6">C15*0.9</f>
        <v>0</v>
      </c>
      <c r="E15" s="2">
        <f t="shared" ref="E15" si="7">C15*1.1</f>
        <v>0</v>
      </c>
      <c r="F15" s="2" t="s">
        <v>1</v>
      </c>
      <c r="G15" s="2" t="s">
        <v>37</v>
      </c>
    </row>
    <row r="16" spans="1:7" x14ac:dyDescent="0.35">
      <c r="A16" s="2"/>
      <c r="B16" s="2"/>
      <c r="C16" s="2"/>
      <c r="D16" s="2"/>
      <c r="E16" s="2"/>
      <c r="F16" s="3"/>
      <c r="G16" s="3"/>
    </row>
    <row r="17" spans="1:14" x14ac:dyDescent="0.35">
      <c r="A17" s="2"/>
      <c r="B17" s="2"/>
      <c r="C17" s="2"/>
      <c r="D17" s="2"/>
      <c r="E17" s="2"/>
      <c r="F17" s="3"/>
      <c r="G17" s="3"/>
      <c r="K17" s="5"/>
    </row>
    <row r="18" spans="1:14" ht="17.5" x14ac:dyDescent="0.35">
      <c r="A18" s="2"/>
      <c r="B18" s="2"/>
      <c r="C18" s="2"/>
      <c r="D18" s="2"/>
      <c r="E18" s="2"/>
      <c r="F18" s="2"/>
      <c r="G18" s="2"/>
      <c r="J18" s="6"/>
      <c r="K18" s="5"/>
      <c r="L18" s="8"/>
    </row>
    <row r="19" spans="1:14" ht="17.5" x14ac:dyDescent="0.35">
      <c r="A19" s="2"/>
      <c r="B19" s="2"/>
      <c r="C19" s="2"/>
      <c r="D19" s="2"/>
      <c r="E19" s="2"/>
      <c r="F19" s="2"/>
      <c r="G19" s="2"/>
      <c r="L19" s="6"/>
    </row>
    <row r="20" spans="1:14" ht="17.5" x14ac:dyDescent="0.35">
      <c r="A20" s="2"/>
      <c r="B20" s="2"/>
      <c r="C20" s="2"/>
      <c r="D20" s="2"/>
      <c r="E20" s="2"/>
      <c r="F20" s="2"/>
      <c r="G20" s="2"/>
      <c r="J20" s="6"/>
      <c r="N20" s="12"/>
    </row>
    <row r="21" spans="1:14" x14ac:dyDescent="0.35">
      <c r="A21" s="2"/>
      <c r="B21" s="2"/>
      <c r="C21" s="2"/>
      <c r="D21" s="2"/>
      <c r="E21" s="2"/>
      <c r="F21" s="2"/>
      <c r="G21" s="2"/>
      <c r="J21" s="5"/>
    </row>
    <row r="22" spans="1:14" ht="17.5" x14ac:dyDescent="0.35">
      <c r="A22" s="2"/>
      <c r="B22" s="2"/>
      <c r="C22" s="2"/>
      <c r="D22" s="2"/>
      <c r="E22" s="2"/>
      <c r="F22" s="2"/>
      <c r="G22" s="2"/>
      <c r="J22" s="6"/>
    </row>
    <row r="23" spans="1:14" x14ac:dyDescent="0.35">
      <c r="A23" s="2"/>
      <c r="B23" s="2"/>
      <c r="C23" s="2"/>
      <c r="D23" s="2"/>
      <c r="E23" s="2"/>
      <c r="F23" s="2"/>
      <c r="G23" s="2"/>
    </row>
    <row r="24" spans="1:14" x14ac:dyDescent="0.35">
      <c r="A24" s="2"/>
      <c r="B24" s="2"/>
      <c r="C24" s="2"/>
      <c r="D24" s="2"/>
      <c r="E24" s="2"/>
      <c r="F24" s="2"/>
      <c r="G24" s="2"/>
    </row>
    <row r="25" spans="1:14" x14ac:dyDescent="0.35">
      <c r="A25" s="2"/>
      <c r="B25" s="2"/>
      <c r="C25" s="2"/>
      <c r="D25" s="2"/>
      <c r="E25" s="2"/>
      <c r="F25" s="2"/>
      <c r="G25" s="2"/>
    </row>
    <row r="26" spans="1:14" x14ac:dyDescent="0.35">
      <c r="A26" s="2"/>
      <c r="B26" s="2"/>
      <c r="C26" s="2"/>
      <c r="D26" s="2"/>
      <c r="E26" s="2"/>
      <c r="F26" s="2"/>
      <c r="G26" s="2"/>
      <c r="K26" s="9"/>
    </row>
    <row r="27" spans="1:14" x14ac:dyDescent="0.35">
      <c r="A27" s="2"/>
      <c r="B27" s="2"/>
      <c r="C27" s="2"/>
      <c r="D27" s="2"/>
      <c r="E27" s="2"/>
      <c r="F27" s="2"/>
      <c r="G27" s="2"/>
    </row>
    <row r="28" spans="1:14" x14ac:dyDescent="0.35">
      <c r="A28" s="2"/>
      <c r="B28" s="2"/>
      <c r="C28" s="2"/>
      <c r="D28" s="2"/>
      <c r="E28" s="2"/>
      <c r="F28" s="2"/>
      <c r="G28" s="2"/>
    </row>
    <row r="29" spans="1:14" x14ac:dyDescent="0.35">
      <c r="A29" s="2"/>
      <c r="B29" s="2"/>
      <c r="C29" s="2"/>
      <c r="D29" s="2"/>
      <c r="E29" s="2"/>
      <c r="F29" s="2"/>
      <c r="G29" s="2"/>
    </row>
    <row r="30" spans="1:14" x14ac:dyDescent="0.35">
      <c r="A30" s="2"/>
      <c r="B30" s="2"/>
      <c r="C30" s="2"/>
      <c r="D30" s="2"/>
      <c r="E30" s="2"/>
      <c r="F30" s="2"/>
      <c r="G30" s="2"/>
      <c r="N30" s="10"/>
    </row>
    <row r="31" spans="1:14" x14ac:dyDescent="0.35">
      <c r="A31" s="2"/>
      <c r="B31" s="2"/>
      <c r="C31" s="2"/>
      <c r="D31" s="2"/>
      <c r="E31" s="2"/>
      <c r="F31" s="2"/>
      <c r="G31" s="2"/>
      <c r="N31" s="10"/>
    </row>
    <row r="32" spans="1:14" x14ac:dyDescent="0.35">
      <c r="A32" s="2"/>
      <c r="B32" s="2"/>
      <c r="C32" s="2"/>
      <c r="D32" s="2"/>
      <c r="E32" s="2"/>
      <c r="F32" s="2"/>
      <c r="G32" s="2"/>
      <c r="N32" s="10"/>
    </row>
    <row r="33" spans="1:19" x14ac:dyDescent="0.35">
      <c r="A33" s="2"/>
      <c r="B33" s="2"/>
      <c r="C33" s="2"/>
      <c r="D33" s="2"/>
      <c r="E33" s="2"/>
      <c r="F33" s="2"/>
      <c r="G33" s="2"/>
      <c r="Q33" s="5"/>
    </row>
    <row r="34" spans="1:19" x14ac:dyDescent="0.35">
      <c r="A34" s="2"/>
      <c r="B34" s="2"/>
      <c r="C34" s="2"/>
      <c r="D34" s="2"/>
      <c r="E34" s="2"/>
      <c r="F34" s="2"/>
      <c r="G34" s="2"/>
    </row>
    <row r="35" spans="1:19" x14ac:dyDescent="0.35">
      <c r="A35" s="2"/>
      <c r="B35" s="2"/>
      <c r="C35" s="2"/>
      <c r="D35" s="2"/>
      <c r="E35" s="2"/>
      <c r="F35" s="2"/>
      <c r="G35" s="2"/>
      <c r="O35" s="11"/>
    </row>
    <row r="36" spans="1:19" x14ac:dyDescent="0.35">
      <c r="A36" s="2"/>
      <c r="B36" s="2"/>
      <c r="C36" s="2"/>
      <c r="D36" s="2"/>
      <c r="E36" s="2"/>
      <c r="F36" s="2"/>
      <c r="G36" s="2"/>
    </row>
    <row r="37" spans="1:19" x14ac:dyDescent="0.35">
      <c r="A37" s="2"/>
      <c r="B37" s="2"/>
      <c r="C37" s="2"/>
      <c r="D37" s="2"/>
      <c r="E37" s="2"/>
      <c r="F37" s="2"/>
      <c r="G37" s="2"/>
    </row>
    <row r="38" spans="1:19" x14ac:dyDescent="0.35">
      <c r="A38" s="2"/>
      <c r="B38" s="2"/>
      <c r="C38" s="2"/>
      <c r="D38" s="2"/>
      <c r="E38" s="2"/>
      <c r="F38" s="2"/>
      <c r="G38" s="2"/>
    </row>
    <row r="39" spans="1:19" x14ac:dyDescent="0.35">
      <c r="A39" s="2"/>
      <c r="B39" s="2"/>
      <c r="C39" s="2"/>
      <c r="D39" s="2"/>
      <c r="E39" s="2"/>
      <c r="F39" s="2"/>
      <c r="G39" s="2"/>
    </row>
    <row r="40" spans="1:19" x14ac:dyDescent="0.35">
      <c r="A40" s="2"/>
      <c r="B40" s="2"/>
      <c r="C40" s="2"/>
      <c r="D40" s="2"/>
      <c r="E40" s="2"/>
      <c r="F40" s="2"/>
      <c r="G40" s="2"/>
    </row>
    <row r="41" spans="1:19" x14ac:dyDescent="0.35">
      <c r="A41" s="2"/>
      <c r="B41" s="2"/>
      <c r="C41" s="2"/>
      <c r="D41" s="2"/>
      <c r="E41" s="2"/>
      <c r="F41" s="2"/>
      <c r="G41" s="2"/>
    </row>
    <row r="42" spans="1:19" x14ac:dyDescent="0.35">
      <c r="A42" s="2"/>
      <c r="B42" s="2"/>
      <c r="D42" s="2"/>
      <c r="E42" s="2"/>
      <c r="F42" s="2"/>
      <c r="G42" s="2"/>
    </row>
    <row r="43" spans="1:19" x14ac:dyDescent="0.35">
      <c r="A43" s="2"/>
      <c r="B43" s="2"/>
      <c r="D43" s="2"/>
      <c r="E43" s="2"/>
      <c r="F43" s="2"/>
      <c r="G43" s="2"/>
    </row>
    <row r="44" spans="1:19" x14ac:dyDescent="0.35">
      <c r="A44" s="2"/>
      <c r="B44" s="2"/>
      <c r="D44" s="2"/>
      <c r="E44" s="2"/>
      <c r="F44" s="2"/>
      <c r="G44" s="2"/>
      <c r="N44" s="10"/>
    </row>
    <row r="45" spans="1:19" x14ac:dyDescent="0.35">
      <c r="A45" s="2"/>
      <c r="B45" s="2"/>
      <c r="D45" s="2"/>
      <c r="E45" s="2"/>
      <c r="F45" s="2"/>
      <c r="G45" s="2"/>
      <c r="K45" s="13"/>
      <c r="L45" s="13"/>
      <c r="M45" s="13"/>
      <c r="N45" s="13"/>
      <c r="O45" s="13"/>
      <c r="P45" s="13"/>
      <c r="Q45" s="13"/>
      <c r="R45" s="13"/>
      <c r="S45" s="13"/>
    </row>
    <row r="46" spans="1:19" x14ac:dyDescent="0.35">
      <c r="A46" s="2"/>
      <c r="B46" s="2"/>
      <c r="D46" s="2"/>
      <c r="E46" s="2"/>
      <c r="F46" s="2"/>
      <c r="G46" s="2"/>
      <c r="K46" s="13"/>
      <c r="L46" s="13"/>
      <c r="M46" s="13"/>
      <c r="N46" s="13"/>
      <c r="O46" s="13"/>
      <c r="P46" s="13"/>
      <c r="Q46" s="13"/>
      <c r="R46" s="13"/>
      <c r="S46" s="13"/>
    </row>
    <row r="47" spans="1:19" x14ac:dyDescent="0.35">
      <c r="K47" s="13"/>
      <c r="L47" s="13"/>
      <c r="M47" s="13"/>
      <c r="N47" s="13"/>
      <c r="O47" s="13"/>
      <c r="P47" s="13"/>
      <c r="Q47" s="13"/>
      <c r="R47" s="13"/>
      <c r="S47" s="13"/>
    </row>
    <row r="49" spans="7:19" x14ac:dyDescent="0.35">
      <c r="K49" s="13"/>
      <c r="L49" s="13"/>
      <c r="M49" s="13"/>
      <c r="N49" s="13"/>
      <c r="O49" s="13"/>
      <c r="P49" s="13"/>
      <c r="Q49" s="13"/>
      <c r="R49" s="13"/>
      <c r="S49" s="13"/>
    </row>
    <row r="51" spans="7:19" ht="17.5" x14ac:dyDescent="0.35">
      <c r="G51" s="6"/>
      <c r="K51" s="14"/>
      <c r="L51" s="14"/>
      <c r="M51" s="14"/>
      <c r="N51" s="14"/>
      <c r="O51" s="14"/>
      <c r="P51" s="14"/>
      <c r="Q51" s="14"/>
      <c r="R51" s="14"/>
      <c r="S51" s="14"/>
    </row>
    <row r="54" spans="7:19" x14ac:dyDescent="0.35">
      <c r="N54" s="7"/>
    </row>
    <row r="55" spans="7:19" x14ac:dyDescent="0.35">
      <c r="N55" s="7"/>
    </row>
    <row r="56" spans="7:19" x14ac:dyDescent="0.35">
      <c r="N56" s="7"/>
    </row>
    <row r="57" spans="7:19" x14ac:dyDescent="0.35">
      <c r="N57" s="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A8C1-31D1-8447-9043-3E804D12662D}">
  <dimension ref="A1:G46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16" t="s">
        <v>29</v>
      </c>
      <c r="C2" s="2">
        <f>3.48121826053251/1000</f>
        <v>3.48121826053251E-3</v>
      </c>
      <c r="D2" s="2">
        <f t="shared" ref="D2:D3" si="0">C2*0.9</f>
        <v>3.1330964344792591E-3</v>
      </c>
      <c r="E2" s="2">
        <f t="shared" ref="E2:E3" si="1">C2*1.1</f>
        <v>3.8293400865857612E-3</v>
      </c>
      <c r="F2" s="3" t="s">
        <v>1</v>
      </c>
      <c r="G2" s="3" t="s">
        <v>0</v>
      </c>
    </row>
    <row r="3" spans="1:7" x14ac:dyDescent="0.35">
      <c r="A3" s="2" t="s">
        <v>38</v>
      </c>
      <c r="B3" s="16" t="s">
        <v>29</v>
      </c>
      <c r="C3" s="2">
        <v>-120.961056527549</v>
      </c>
      <c r="D3" s="2">
        <f t="shared" si="0"/>
        <v>-108.8649508747941</v>
      </c>
      <c r="E3" s="2">
        <f t="shared" si="1"/>
        <v>-133.05716218030392</v>
      </c>
      <c r="F3" s="3" t="s">
        <v>1</v>
      </c>
      <c r="G3" s="3" t="s">
        <v>0</v>
      </c>
    </row>
    <row r="4" spans="1:7" x14ac:dyDescent="0.35">
      <c r="A4" s="2" t="s">
        <v>40</v>
      </c>
      <c r="B4" s="16" t="s">
        <v>29</v>
      </c>
      <c r="C4" s="2">
        <f>3.36668838666134*0.078</f>
        <v>0.26260169415958451</v>
      </c>
      <c r="D4" s="2">
        <f t="shared" ref="D4:D14" si="2">C4*0.9</f>
        <v>0.23634152474362607</v>
      </c>
      <c r="E4" s="2">
        <f t="shared" ref="E4:E14" si="3">C4*1.1</f>
        <v>0.288861863575543</v>
      </c>
      <c r="F4" s="3" t="s">
        <v>1</v>
      </c>
      <c r="G4" s="3" t="s">
        <v>0</v>
      </c>
    </row>
    <row r="5" spans="1:7" x14ac:dyDescent="0.35">
      <c r="A5" s="2" t="s">
        <v>41</v>
      </c>
      <c r="B5" s="16" t="s">
        <v>29</v>
      </c>
      <c r="C5" s="2">
        <f>3.36668838666134*0.161</f>
        <v>0.54203683025247573</v>
      </c>
      <c r="D5" s="2">
        <f t="shared" ref="D5" si="4">C5*0.9</f>
        <v>0.48783314722722815</v>
      </c>
      <c r="E5" s="2">
        <f t="shared" ref="E5" si="5">C5*1.1</f>
        <v>0.59624051327772332</v>
      </c>
      <c r="F5" s="2" t="s">
        <v>1</v>
      </c>
      <c r="G5" s="2" t="s">
        <v>0</v>
      </c>
    </row>
    <row r="6" spans="1:7" x14ac:dyDescent="0.35">
      <c r="A6" s="2" t="s">
        <v>42</v>
      </c>
      <c r="B6" s="16" t="s">
        <v>29</v>
      </c>
      <c r="C6" s="2">
        <v>7.2310926297357199</v>
      </c>
      <c r="D6" s="2">
        <f t="shared" si="2"/>
        <v>6.5079833667621481</v>
      </c>
      <c r="E6" s="2">
        <f t="shared" si="3"/>
        <v>7.9542018927092926</v>
      </c>
      <c r="F6" s="3" t="s">
        <v>1</v>
      </c>
      <c r="G6" s="3" t="s">
        <v>0</v>
      </c>
    </row>
    <row r="7" spans="1:7" x14ac:dyDescent="0.35">
      <c r="A7" s="2" t="s">
        <v>43</v>
      </c>
      <c r="B7" s="16" t="s">
        <v>29</v>
      </c>
      <c r="C7" s="2">
        <v>2.47155644325277E-2</v>
      </c>
      <c r="D7" s="2">
        <f t="shared" si="2"/>
        <v>2.2244007989274929E-2</v>
      </c>
      <c r="E7" s="2">
        <f t="shared" si="3"/>
        <v>2.7187120875780471E-2</v>
      </c>
      <c r="F7" s="2" t="s">
        <v>1</v>
      </c>
      <c r="G7" s="2" t="s">
        <v>0</v>
      </c>
    </row>
    <row r="8" spans="1:7" x14ac:dyDescent="0.35">
      <c r="A8" s="2" t="s">
        <v>44</v>
      </c>
      <c r="B8" s="16" t="s">
        <v>29</v>
      </c>
      <c r="C8" s="2">
        <v>5.2918112750528499</v>
      </c>
      <c r="D8" s="2">
        <f t="shared" si="2"/>
        <v>4.762630147547565</v>
      </c>
      <c r="E8" s="2">
        <f t="shared" si="3"/>
        <v>5.8209924025581357</v>
      </c>
      <c r="F8" s="2" t="s">
        <v>1</v>
      </c>
      <c r="G8" s="2" t="s">
        <v>0</v>
      </c>
    </row>
    <row r="9" spans="1:7" x14ac:dyDescent="0.35">
      <c r="A9" s="2" t="s">
        <v>45</v>
      </c>
      <c r="B9" s="16" t="s">
        <v>29</v>
      </c>
      <c r="C9" s="2">
        <v>0.39314378766147701</v>
      </c>
      <c r="D9" s="2">
        <f t="shared" si="2"/>
        <v>0.35382940889532932</v>
      </c>
      <c r="E9" s="2">
        <f t="shared" si="3"/>
        <v>0.43245816642762475</v>
      </c>
      <c r="F9" s="2" t="s">
        <v>1</v>
      </c>
      <c r="G9" s="2" t="s">
        <v>0</v>
      </c>
    </row>
    <row r="10" spans="1:7" x14ac:dyDescent="0.35">
      <c r="A10" s="2" t="s">
        <v>46</v>
      </c>
      <c r="B10" s="16" t="s">
        <v>29</v>
      </c>
      <c r="C10" s="2">
        <v>1.61404055511738</v>
      </c>
      <c r="D10" s="2">
        <f t="shared" si="2"/>
        <v>1.452636499605642</v>
      </c>
      <c r="E10" s="2">
        <f t="shared" si="3"/>
        <v>1.7754446106291182</v>
      </c>
      <c r="F10" s="2" t="s">
        <v>1</v>
      </c>
      <c r="G10" s="2" t="s">
        <v>0</v>
      </c>
    </row>
    <row r="11" spans="1:7" x14ac:dyDescent="0.35">
      <c r="A11" s="2" t="s">
        <v>47</v>
      </c>
      <c r="B11" s="16" t="s">
        <v>29</v>
      </c>
      <c r="C11" s="2">
        <v>1.61404055511738</v>
      </c>
      <c r="D11" s="2">
        <f t="shared" si="2"/>
        <v>1.452636499605642</v>
      </c>
      <c r="E11" s="2">
        <f t="shared" si="3"/>
        <v>1.7754446106291182</v>
      </c>
      <c r="F11" s="2" t="s">
        <v>1</v>
      </c>
      <c r="G11" s="2" t="s">
        <v>0</v>
      </c>
    </row>
    <row r="12" spans="1:7" x14ac:dyDescent="0.35">
      <c r="A12" s="2" t="s">
        <v>48</v>
      </c>
      <c r="B12" s="16" t="s">
        <v>29</v>
      </c>
      <c r="C12" s="2">
        <v>1.61404055511738</v>
      </c>
      <c r="D12" s="2">
        <f t="shared" si="2"/>
        <v>1.452636499605642</v>
      </c>
      <c r="E12" s="2">
        <f t="shared" si="3"/>
        <v>1.7754446106291182</v>
      </c>
      <c r="F12" s="2" t="s">
        <v>1</v>
      </c>
      <c r="G12" s="2" t="s">
        <v>0</v>
      </c>
    </row>
    <row r="13" spans="1:7" x14ac:dyDescent="0.35">
      <c r="A13" s="2" t="s">
        <v>49</v>
      </c>
      <c r="B13" s="16" t="s">
        <v>29</v>
      </c>
      <c r="C13" s="2">
        <v>-5.26489577314074</v>
      </c>
      <c r="D13" s="2">
        <f t="shared" si="2"/>
        <v>-4.7384061958266663</v>
      </c>
      <c r="E13" s="2">
        <f t="shared" si="3"/>
        <v>-5.7913853504548145</v>
      </c>
      <c r="F13" s="2" t="s">
        <v>1</v>
      </c>
      <c r="G13" s="2" t="s">
        <v>0</v>
      </c>
    </row>
    <row r="14" spans="1:7" x14ac:dyDescent="0.35">
      <c r="A14" s="2" t="s">
        <v>50</v>
      </c>
      <c r="B14" s="16" t="s">
        <v>29</v>
      </c>
      <c r="C14" s="2">
        <f>13.3595651874447/1000</f>
        <v>1.3359565187444699E-2</v>
      </c>
      <c r="D14" s="2">
        <f t="shared" si="2"/>
        <v>1.2023608668700229E-2</v>
      </c>
      <c r="E14" s="2">
        <f t="shared" si="3"/>
        <v>1.4695521706189169E-2</v>
      </c>
      <c r="F14" s="2" t="s">
        <v>1</v>
      </c>
      <c r="G14" s="2" t="s">
        <v>0</v>
      </c>
    </row>
    <row r="15" spans="1:7" x14ac:dyDescent="0.35">
      <c r="A15" s="2" t="s">
        <v>74</v>
      </c>
      <c r="B15" s="16" t="s">
        <v>29</v>
      </c>
      <c r="C15">
        <v>0</v>
      </c>
      <c r="D15" s="2">
        <f t="shared" ref="D15" si="6">C15*0.9</f>
        <v>0</v>
      </c>
      <c r="E15" s="2">
        <f t="shared" ref="E15" si="7">C15*1.1</f>
        <v>0</v>
      </c>
      <c r="F15" s="2" t="s">
        <v>1</v>
      </c>
      <c r="G15" s="2" t="s">
        <v>37</v>
      </c>
    </row>
    <row r="16" spans="1:7" x14ac:dyDescent="0.35">
      <c r="A16" s="2"/>
      <c r="B16" s="16"/>
      <c r="C16" s="2"/>
      <c r="D16" s="2"/>
      <c r="E16" s="2"/>
      <c r="F16" s="2"/>
      <c r="G16" s="3"/>
    </row>
    <row r="17" spans="1:7" x14ac:dyDescent="0.35">
      <c r="A17" s="2"/>
      <c r="B17" s="16"/>
      <c r="C17" s="2"/>
      <c r="D17" s="2"/>
      <c r="E17" s="2"/>
      <c r="F17" s="2"/>
      <c r="G17" s="3"/>
    </row>
    <row r="18" spans="1:7" x14ac:dyDescent="0.35">
      <c r="A18" s="2"/>
      <c r="B18" s="16"/>
      <c r="C18" s="2"/>
      <c r="D18" s="2"/>
      <c r="E18" s="2"/>
      <c r="F18" s="2"/>
      <c r="G18" s="2"/>
    </row>
    <row r="19" spans="1:7" x14ac:dyDescent="0.35">
      <c r="A19" s="2"/>
      <c r="B19" s="16"/>
      <c r="C19" s="2"/>
      <c r="D19" s="2"/>
      <c r="E19" s="2"/>
      <c r="F19" s="2"/>
      <c r="G19" s="2"/>
    </row>
    <row r="20" spans="1:7" x14ac:dyDescent="0.35">
      <c r="A20" s="2"/>
      <c r="B20" s="16"/>
      <c r="C20" s="2"/>
      <c r="D20" s="2"/>
      <c r="E20" s="2"/>
      <c r="F20" s="2"/>
      <c r="G20" s="2"/>
    </row>
    <row r="21" spans="1:7" x14ac:dyDescent="0.35">
      <c r="A21" s="2"/>
      <c r="B21" s="16"/>
      <c r="C21" s="2"/>
      <c r="D21" s="2"/>
      <c r="E21" s="2"/>
      <c r="F21" s="2"/>
      <c r="G21" s="2"/>
    </row>
    <row r="22" spans="1:7" x14ac:dyDescent="0.35">
      <c r="A22" s="2"/>
      <c r="B22" s="16"/>
      <c r="C22" s="2"/>
      <c r="D22" s="2"/>
      <c r="E22" s="2"/>
      <c r="F22" s="2"/>
      <c r="G22" s="2"/>
    </row>
    <row r="23" spans="1:7" x14ac:dyDescent="0.35">
      <c r="A23" s="2"/>
      <c r="B23" s="16"/>
      <c r="C23" s="2"/>
      <c r="D23" s="2"/>
      <c r="E23" s="2"/>
      <c r="F23" s="2"/>
      <c r="G23" s="2"/>
    </row>
    <row r="24" spans="1:7" x14ac:dyDescent="0.35">
      <c r="A24" s="2"/>
      <c r="B24" s="16"/>
      <c r="C24" s="2"/>
      <c r="D24" s="2"/>
      <c r="E24" s="2"/>
      <c r="F24" s="2"/>
      <c r="G24" s="2"/>
    </row>
    <row r="25" spans="1:7" x14ac:dyDescent="0.35">
      <c r="A25" s="2"/>
      <c r="B25" s="16"/>
      <c r="C25" s="2"/>
      <c r="D25" s="2"/>
      <c r="E25" s="2"/>
      <c r="F25" s="2"/>
      <c r="G25" s="2"/>
    </row>
    <row r="26" spans="1:7" x14ac:dyDescent="0.35">
      <c r="A26" s="2"/>
      <c r="B26" s="16"/>
      <c r="C26" s="2"/>
      <c r="D26" s="2"/>
      <c r="E26" s="2"/>
      <c r="F26" s="2"/>
      <c r="G26" s="2"/>
    </row>
    <row r="27" spans="1:7" x14ac:dyDescent="0.35">
      <c r="A27" s="2"/>
      <c r="B27" s="16"/>
      <c r="C27" s="2"/>
      <c r="D27" s="2"/>
      <c r="E27" s="2"/>
      <c r="F27" s="2"/>
      <c r="G27" s="2"/>
    </row>
    <row r="28" spans="1:7" x14ac:dyDescent="0.35">
      <c r="A28" s="2"/>
      <c r="B28" s="16"/>
      <c r="C28" s="2"/>
      <c r="D28" s="2"/>
      <c r="E28" s="2"/>
      <c r="F28" s="2"/>
      <c r="G28" s="2"/>
    </row>
    <row r="29" spans="1:7" x14ac:dyDescent="0.35">
      <c r="A29" s="2"/>
      <c r="B29" s="16"/>
      <c r="C29" s="2"/>
      <c r="D29" s="2"/>
      <c r="E29" s="2"/>
      <c r="F29" s="2"/>
      <c r="G29" s="2"/>
    </row>
    <row r="30" spans="1:7" x14ac:dyDescent="0.35">
      <c r="A30" s="2"/>
      <c r="B30" s="16"/>
      <c r="C30" s="2"/>
      <c r="D30" s="2"/>
      <c r="E30" s="2"/>
      <c r="F30" s="2"/>
      <c r="G30" s="2"/>
    </row>
    <row r="31" spans="1:7" x14ac:dyDescent="0.35">
      <c r="A31" s="2"/>
      <c r="B31" s="16"/>
      <c r="C31" s="2"/>
      <c r="D31" s="2"/>
      <c r="E31" s="2"/>
      <c r="F31" s="2"/>
      <c r="G31" s="2"/>
    </row>
    <row r="32" spans="1:7" x14ac:dyDescent="0.35">
      <c r="A32" s="2"/>
      <c r="B32" s="16"/>
      <c r="C32" s="2"/>
      <c r="D32" s="2"/>
      <c r="E32" s="2"/>
      <c r="F32" s="2"/>
      <c r="G32" s="2"/>
    </row>
    <row r="33" spans="1:7" x14ac:dyDescent="0.35">
      <c r="A33" s="2"/>
      <c r="B33" s="16"/>
      <c r="C33" s="2"/>
      <c r="D33" s="2"/>
      <c r="E33" s="2"/>
      <c r="F33" s="2"/>
      <c r="G33" s="2"/>
    </row>
    <row r="34" spans="1:7" x14ac:dyDescent="0.35">
      <c r="A34" s="2"/>
      <c r="B34" s="16"/>
      <c r="C34" s="2"/>
      <c r="D34" s="2"/>
      <c r="E34" s="2"/>
      <c r="F34" s="2"/>
      <c r="G34" s="2"/>
    </row>
    <row r="35" spans="1:7" x14ac:dyDescent="0.35">
      <c r="A35" s="2"/>
      <c r="B35" s="16"/>
      <c r="C35" s="2"/>
      <c r="D35" s="2"/>
      <c r="E35" s="2"/>
      <c r="F35" s="2"/>
      <c r="G35" s="2"/>
    </row>
    <row r="36" spans="1:7" x14ac:dyDescent="0.35">
      <c r="A36" s="2"/>
      <c r="B36" s="16"/>
      <c r="C36" s="2"/>
      <c r="D36" s="2"/>
      <c r="E36" s="2"/>
      <c r="F36" s="2"/>
      <c r="G36" s="2"/>
    </row>
    <row r="37" spans="1:7" x14ac:dyDescent="0.35">
      <c r="A37" s="2"/>
      <c r="B37" s="16"/>
      <c r="C37" s="2"/>
      <c r="D37" s="2"/>
      <c r="E37" s="2"/>
      <c r="F37" s="2"/>
      <c r="G37" s="2"/>
    </row>
    <row r="38" spans="1:7" x14ac:dyDescent="0.35">
      <c r="A38" s="2"/>
      <c r="B38" s="16"/>
      <c r="C38" s="2"/>
      <c r="D38" s="2"/>
      <c r="E38" s="2"/>
      <c r="F38" s="2"/>
      <c r="G38" s="2"/>
    </row>
    <row r="39" spans="1:7" x14ac:dyDescent="0.35">
      <c r="A39" s="2"/>
      <c r="B39" s="16"/>
      <c r="C39" s="2"/>
      <c r="D39" s="2"/>
      <c r="E39" s="2"/>
      <c r="F39" s="2"/>
      <c r="G39" s="2"/>
    </row>
    <row r="40" spans="1:7" x14ac:dyDescent="0.35">
      <c r="A40" s="2"/>
      <c r="B40" s="16"/>
      <c r="C40" s="2"/>
      <c r="D40" s="2"/>
      <c r="E40" s="2"/>
      <c r="F40" s="2"/>
      <c r="G40" s="2"/>
    </row>
    <row r="41" spans="1:7" x14ac:dyDescent="0.35">
      <c r="A41" s="2"/>
      <c r="B41" s="16"/>
      <c r="C41" s="2"/>
      <c r="D41" s="2"/>
      <c r="E41" s="2"/>
      <c r="F41" s="2"/>
      <c r="G41" s="2"/>
    </row>
    <row r="42" spans="1:7" x14ac:dyDescent="0.35">
      <c r="A42" s="2"/>
      <c r="B42" s="16"/>
      <c r="D42" s="2"/>
      <c r="E42" s="2"/>
      <c r="F42" s="2"/>
      <c r="G42" s="2"/>
    </row>
    <row r="43" spans="1:7" x14ac:dyDescent="0.35">
      <c r="A43" s="2"/>
      <c r="B43" s="16"/>
      <c r="D43" s="2"/>
      <c r="E43" s="2"/>
      <c r="F43" s="2"/>
      <c r="G43" s="2"/>
    </row>
    <row r="44" spans="1:7" x14ac:dyDescent="0.35">
      <c r="A44" s="2"/>
      <c r="B44" s="16"/>
      <c r="C44" s="2"/>
      <c r="D44" s="2"/>
      <c r="E44" s="2"/>
      <c r="F44" s="2"/>
      <c r="G44" s="2"/>
    </row>
    <row r="45" spans="1:7" x14ac:dyDescent="0.35">
      <c r="A45" s="2"/>
      <c r="B45" s="16"/>
      <c r="D45" s="2"/>
      <c r="E45" s="2"/>
      <c r="F45" s="2"/>
      <c r="G45" s="2"/>
    </row>
    <row r="46" spans="1:7" x14ac:dyDescent="0.35">
      <c r="A46" s="2"/>
      <c r="B46" s="16"/>
      <c r="D46" s="2"/>
      <c r="E46" s="2"/>
      <c r="F46" s="2"/>
      <c r="G46" s="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6322-9D61-AD41-A8B1-E5A60BE6F0EB}">
  <dimension ref="A1:G46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5" bestFit="1" customWidth="1"/>
    <col min="3" max="3" width="14.164062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16" t="s">
        <v>31</v>
      </c>
      <c r="C2" s="2">
        <f>0.000719865363207203/1000</f>
        <v>7.1986536320720301E-7</v>
      </c>
      <c r="D2" s="2">
        <f t="shared" ref="D2:D5" si="0">C2*0.9</f>
        <v>6.4787882688648269E-7</v>
      </c>
      <c r="E2" s="2">
        <f t="shared" ref="E2:E5" si="1">C2*1.1</f>
        <v>7.9185189952792334E-7</v>
      </c>
      <c r="F2" s="3" t="s">
        <v>1</v>
      </c>
      <c r="G2" s="3" t="s">
        <v>0</v>
      </c>
    </row>
    <row r="3" spans="1:7" x14ac:dyDescent="0.35">
      <c r="A3" s="2" t="s">
        <v>38</v>
      </c>
      <c r="B3" s="16" t="s">
        <v>31</v>
      </c>
      <c r="C3" s="2">
        <v>-2.11619060362454E-2</v>
      </c>
      <c r="D3" s="2">
        <f t="shared" si="0"/>
        <v>-1.9045715432620861E-2</v>
      </c>
      <c r="E3" s="2">
        <f t="shared" si="1"/>
        <v>-2.3278096639869943E-2</v>
      </c>
      <c r="F3" s="3" t="s">
        <v>1</v>
      </c>
      <c r="G3" s="3" t="s">
        <v>0</v>
      </c>
    </row>
    <row r="4" spans="1:7" x14ac:dyDescent="0.35">
      <c r="A4" s="2" t="s">
        <v>40</v>
      </c>
      <c r="B4" s="16" t="s">
        <v>31</v>
      </c>
      <c r="C4" s="2">
        <f>0.00331888088620915*0.078</f>
        <v>2.5887270912431368E-4</v>
      </c>
      <c r="D4" s="2">
        <f t="shared" si="0"/>
        <v>2.3298543821188231E-4</v>
      </c>
      <c r="E4" s="2">
        <f t="shared" si="1"/>
        <v>2.8475998003674505E-4</v>
      </c>
      <c r="F4" s="3" t="s">
        <v>1</v>
      </c>
      <c r="G4" s="3" t="s">
        <v>0</v>
      </c>
    </row>
    <row r="5" spans="1:7" x14ac:dyDescent="0.35">
      <c r="A5" s="2" t="s">
        <v>41</v>
      </c>
      <c r="B5" s="16" t="s">
        <v>31</v>
      </c>
      <c r="C5" s="2">
        <f>0.00331888088620915*0.161</f>
        <v>5.3433982267967319E-4</v>
      </c>
      <c r="D5" s="2">
        <f t="shared" si="0"/>
        <v>4.8090584041170589E-4</v>
      </c>
      <c r="E5" s="2">
        <f t="shared" si="1"/>
        <v>5.8777380494764054E-4</v>
      </c>
      <c r="F5" s="2" t="s">
        <v>1</v>
      </c>
      <c r="G5" s="2" t="s">
        <v>0</v>
      </c>
    </row>
    <row r="6" spans="1:7" x14ac:dyDescent="0.35">
      <c r="A6" s="2" t="s">
        <v>42</v>
      </c>
      <c r="B6" s="16" t="s">
        <v>31</v>
      </c>
      <c r="C6" s="2">
        <v>1.3535232527231999E-3</v>
      </c>
      <c r="D6" s="2">
        <f t="shared" ref="D6:D14" si="2">C6*0.9</f>
        <v>1.21817092745088E-3</v>
      </c>
      <c r="E6" s="2">
        <f t="shared" ref="E6:E14" si="3">C6*1.1</f>
        <v>1.4888755779955201E-3</v>
      </c>
      <c r="F6" s="3" t="s">
        <v>1</v>
      </c>
      <c r="G6" s="3" t="s">
        <v>0</v>
      </c>
    </row>
    <row r="7" spans="1:7" x14ac:dyDescent="0.35">
      <c r="A7" s="2" t="s">
        <v>43</v>
      </c>
      <c r="B7" s="16" t="s">
        <v>31</v>
      </c>
      <c r="C7" s="2">
        <v>3.2739768556217301E-6</v>
      </c>
      <c r="D7" s="2">
        <f t="shared" si="2"/>
        <v>2.9465791700595573E-6</v>
      </c>
      <c r="E7" s="2">
        <f t="shared" si="3"/>
        <v>3.6013745411839034E-6</v>
      </c>
      <c r="F7" s="2" t="s">
        <v>1</v>
      </c>
      <c r="G7" s="2" t="s">
        <v>0</v>
      </c>
    </row>
    <row r="8" spans="1:7" x14ac:dyDescent="0.35">
      <c r="A8" s="2" t="s">
        <v>44</v>
      </c>
      <c r="B8" s="16" t="s">
        <v>31</v>
      </c>
      <c r="C8" s="2">
        <v>3.0963061240299001E-3</v>
      </c>
      <c r="D8" s="2">
        <f t="shared" ref="D8" si="4">C8*0.9</f>
        <v>2.7866755116269103E-3</v>
      </c>
      <c r="E8" s="2">
        <f t="shared" ref="E8" si="5">C8*1.1</f>
        <v>3.4059367364328904E-3</v>
      </c>
      <c r="F8" s="2" t="s">
        <v>1</v>
      </c>
      <c r="G8" s="2" t="s">
        <v>0</v>
      </c>
    </row>
    <row r="9" spans="1:7" x14ac:dyDescent="0.35">
      <c r="A9" s="2" t="s">
        <v>45</v>
      </c>
      <c r="B9" s="16" t="s">
        <v>31</v>
      </c>
      <c r="C9" s="2">
        <v>1.55343666623113E-4</v>
      </c>
      <c r="D9" s="2">
        <f t="shared" si="2"/>
        <v>1.3980929996080171E-4</v>
      </c>
      <c r="E9" s="2">
        <f t="shared" si="3"/>
        <v>1.7087803328542432E-4</v>
      </c>
      <c r="F9" s="2" t="s">
        <v>1</v>
      </c>
      <c r="G9" s="2" t="s">
        <v>0</v>
      </c>
    </row>
    <row r="10" spans="1:7" x14ac:dyDescent="0.35">
      <c r="A10" s="2" t="s">
        <v>46</v>
      </c>
      <c r="B10" s="16" t="s">
        <v>31</v>
      </c>
      <c r="C10" s="2">
        <v>1.3434753370775599E-4</v>
      </c>
      <c r="D10" s="2">
        <f t="shared" si="2"/>
        <v>1.2091278033698039E-4</v>
      </c>
      <c r="E10" s="2">
        <f t="shared" si="3"/>
        <v>1.477822870785316E-4</v>
      </c>
      <c r="F10" s="2" t="s">
        <v>1</v>
      </c>
      <c r="G10" s="2" t="s">
        <v>0</v>
      </c>
    </row>
    <row r="11" spans="1:7" x14ac:dyDescent="0.35">
      <c r="A11" s="2" t="s">
        <v>47</v>
      </c>
      <c r="B11" s="16" t="s">
        <v>31</v>
      </c>
      <c r="C11" s="2">
        <v>1.3434753370775599E-4</v>
      </c>
      <c r="D11" s="2">
        <f t="shared" si="2"/>
        <v>1.2091278033698039E-4</v>
      </c>
      <c r="E11" s="2">
        <f t="shared" si="3"/>
        <v>1.477822870785316E-4</v>
      </c>
      <c r="F11" s="2" t="s">
        <v>1</v>
      </c>
      <c r="G11" s="2" t="s">
        <v>0</v>
      </c>
    </row>
    <row r="12" spans="1:7" x14ac:dyDescent="0.35">
      <c r="A12" s="2" t="s">
        <v>48</v>
      </c>
      <c r="B12" s="16" t="s">
        <v>31</v>
      </c>
      <c r="C12" s="2">
        <v>1.3434753370775599E-4</v>
      </c>
      <c r="D12" s="2">
        <f t="shared" si="2"/>
        <v>1.2091278033698039E-4</v>
      </c>
      <c r="E12" s="2">
        <f t="shared" si="3"/>
        <v>1.477822870785316E-4</v>
      </c>
      <c r="F12" s="2" t="s">
        <v>1</v>
      </c>
      <c r="G12" s="2" t="s">
        <v>0</v>
      </c>
    </row>
    <row r="13" spans="1:7" x14ac:dyDescent="0.35">
      <c r="A13" s="2" t="s">
        <v>49</v>
      </c>
      <c r="B13" s="16" t="s">
        <v>31</v>
      </c>
      <c r="C13" s="2">
        <v>-7.7775941796393402E-4</v>
      </c>
      <c r="D13" s="2">
        <f t="shared" si="2"/>
        <v>-6.9998347616754067E-4</v>
      </c>
      <c r="E13" s="2">
        <f t="shared" si="3"/>
        <v>-8.5553535976032747E-4</v>
      </c>
      <c r="F13" s="2" t="s">
        <v>1</v>
      </c>
      <c r="G13" s="2" t="s">
        <v>0</v>
      </c>
    </row>
    <row r="14" spans="1:7" x14ac:dyDescent="0.35">
      <c r="A14" s="2" t="s">
        <v>50</v>
      </c>
      <c r="B14" s="16" t="s">
        <v>31</v>
      </c>
      <c r="C14" s="2">
        <f>0.0366443650432526/1000</f>
        <v>3.6644365043252601E-5</v>
      </c>
      <c r="D14" s="2">
        <f t="shared" si="2"/>
        <v>3.2979928538927344E-5</v>
      </c>
      <c r="E14" s="2">
        <f t="shared" si="3"/>
        <v>4.0308801547577865E-5</v>
      </c>
      <c r="F14" s="2" t="s">
        <v>1</v>
      </c>
      <c r="G14" s="2" t="s">
        <v>0</v>
      </c>
    </row>
    <row r="15" spans="1:7" x14ac:dyDescent="0.35">
      <c r="A15" s="2" t="s">
        <v>74</v>
      </c>
      <c r="B15" s="16" t="s">
        <v>31</v>
      </c>
      <c r="C15">
        <v>0</v>
      </c>
      <c r="D15" s="2">
        <f t="shared" ref="D15" si="6">C15*0.9</f>
        <v>0</v>
      </c>
      <c r="E15" s="2">
        <f t="shared" ref="E15" si="7">C15*1.1</f>
        <v>0</v>
      </c>
      <c r="F15" s="2" t="s">
        <v>1</v>
      </c>
      <c r="G15" s="2" t="s">
        <v>37</v>
      </c>
    </row>
    <row r="16" spans="1:7" x14ac:dyDescent="0.35">
      <c r="A16" s="2"/>
      <c r="B16" s="16"/>
      <c r="C16" s="2"/>
      <c r="D16" s="2"/>
      <c r="E16" s="2"/>
      <c r="F16" s="3"/>
      <c r="G16" s="3"/>
    </row>
    <row r="17" spans="1:7" x14ac:dyDescent="0.35">
      <c r="A17" s="2"/>
      <c r="B17" s="16"/>
      <c r="C17" s="2"/>
      <c r="D17" s="2"/>
      <c r="E17" s="2"/>
      <c r="F17" s="3"/>
      <c r="G17" s="3"/>
    </row>
    <row r="18" spans="1:7" x14ac:dyDescent="0.35">
      <c r="A18" s="2"/>
      <c r="B18" s="16"/>
      <c r="C18" s="4"/>
      <c r="D18" s="2"/>
      <c r="E18" s="2"/>
      <c r="F18" s="2"/>
      <c r="G18" s="2"/>
    </row>
    <row r="19" spans="1:7" x14ac:dyDescent="0.35">
      <c r="A19" s="2"/>
      <c r="B19" s="16"/>
      <c r="C19" s="4"/>
      <c r="D19" s="2"/>
      <c r="E19" s="2"/>
      <c r="F19" s="2"/>
      <c r="G19" s="2"/>
    </row>
    <row r="20" spans="1:7" x14ac:dyDescent="0.35">
      <c r="A20" s="2"/>
      <c r="B20" s="16"/>
      <c r="C20" s="2"/>
      <c r="D20" s="2"/>
      <c r="E20" s="2"/>
      <c r="F20" s="2"/>
      <c r="G20" s="2"/>
    </row>
    <row r="21" spans="1:7" x14ac:dyDescent="0.35">
      <c r="A21" s="2"/>
      <c r="B21" s="16"/>
      <c r="C21" s="2"/>
      <c r="D21" s="2"/>
      <c r="E21" s="2"/>
      <c r="F21" s="2"/>
      <c r="G21" s="2"/>
    </row>
    <row r="22" spans="1:7" x14ac:dyDescent="0.35">
      <c r="A22" s="2"/>
      <c r="B22" s="16"/>
      <c r="C22" s="2"/>
      <c r="D22" s="2"/>
      <c r="E22" s="2"/>
      <c r="F22" s="2"/>
      <c r="G22" s="2"/>
    </row>
    <row r="23" spans="1:7" x14ac:dyDescent="0.35">
      <c r="A23" s="2"/>
      <c r="B23" s="16"/>
      <c r="C23" s="2"/>
      <c r="D23" s="2"/>
      <c r="E23" s="2"/>
      <c r="F23" s="2"/>
      <c r="G23" s="2"/>
    </row>
    <row r="24" spans="1:7" x14ac:dyDescent="0.35">
      <c r="A24" s="2"/>
      <c r="B24" s="16"/>
      <c r="C24" s="4"/>
      <c r="D24" s="2"/>
      <c r="E24" s="2"/>
      <c r="F24" s="2"/>
      <c r="G24" s="2"/>
    </row>
    <row r="25" spans="1:7" x14ac:dyDescent="0.35">
      <c r="A25" s="2"/>
      <c r="B25" s="16"/>
      <c r="C25" s="2"/>
      <c r="D25" s="2"/>
      <c r="E25" s="2"/>
      <c r="F25" s="2"/>
      <c r="G25" s="2"/>
    </row>
    <row r="26" spans="1:7" x14ac:dyDescent="0.35">
      <c r="A26" s="2"/>
      <c r="B26" s="16"/>
      <c r="C26" s="2"/>
      <c r="D26" s="2"/>
      <c r="E26" s="2"/>
      <c r="F26" s="2"/>
      <c r="G26" s="2"/>
    </row>
    <row r="27" spans="1:7" x14ac:dyDescent="0.35">
      <c r="A27" s="2"/>
      <c r="B27" s="16"/>
      <c r="C27" s="2"/>
      <c r="D27" s="2"/>
      <c r="E27" s="2"/>
      <c r="F27" s="2"/>
      <c r="G27" s="2"/>
    </row>
    <row r="28" spans="1:7" x14ac:dyDescent="0.35">
      <c r="A28" s="2"/>
      <c r="B28" s="16"/>
      <c r="C28" s="4"/>
      <c r="D28" s="2"/>
      <c r="E28" s="2"/>
      <c r="F28" s="2"/>
      <c r="G28" s="2"/>
    </row>
    <row r="29" spans="1:7" x14ac:dyDescent="0.35">
      <c r="A29" s="2"/>
      <c r="B29" s="16"/>
      <c r="C29" s="2"/>
      <c r="D29" s="2"/>
      <c r="E29" s="2"/>
      <c r="F29" s="2"/>
      <c r="G29" s="2"/>
    </row>
    <row r="30" spans="1:7" x14ac:dyDescent="0.35">
      <c r="A30" s="2"/>
      <c r="B30" s="16"/>
      <c r="C30" s="2"/>
      <c r="D30" s="2"/>
      <c r="E30" s="2"/>
      <c r="F30" s="2"/>
      <c r="G30" s="2"/>
    </row>
    <row r="31" spans="1:7" x14ac:dyDescent="0.35">
      <c r="A31" s="2"/>
      <c r="B31" s="16"/>
      <c r="C31" s="2"/>
      <c r="D31" s="2"/>
      <c r="E31" s="2"/>
      <c r="F31" s="2"/>
      <c r="G31" s="2"/>
    </row>
    <row r="32" spans="1:7" x14ac:dyDescent="0.35">
      <c r="A32" s="2"/>
      <c r="B32" s="16"/>
      <c r="C32" s="2"/>
      <c r="D32" s="2"/>
      <c r="E32" s="2"/>
      <c r="F32" s="2"/>
      <c r="G32" s="2"/>
    </row>
    <row r="33" spans="1:7" x14ac:dyDescent="0.35">
      <c r="A33" s="2"/>
      <c r="B33" s="16"/>
      <c r="C33" s="2"/>
      <c r="D33" s="2"/>
      <c r="E33" s="2"/>
      <c r="F33" s="2"/>
      <c r="G33" s="2"/>
    </row>
    <row r="34" spans="1:7" x14ac:dyDescent="0.35">
      <c r="A34" s="2"/>
      <c r="B34" s="16"/>
      <c r="C34" s="4"/>
      <c r="D34" s="2"/>
      <c r="E34" s="2"/>
      <c r="F34" s="2"/>
      <c r="G34" s="2"/>
    </row>
    <row r="35" spans="1:7" x14ac:dyDescent="0.35">
      <c r="A35" s="2"/>
      <c r="B35" s="16"/>
      <c r="C35" s="4"/>
      <c r="D35" s="2"/>
      <c r="E35" s="2"/>
      <c r="F35" s="2"/>
      <c r="G35" s="2"/>
    </row>
    <row r="36" spans="1:7" x14ac:dyDescent="0.35">
      <c r="A36" s="2"/>
      <c r="B36" s="16"/>
      <c r="C36" s="4"/>
      <c r="D36" s="2"/>
      <c r="E36" s="2"/>
      <c r="F36" s="2"/>
      <c r="G36" s="2"/>
    </row>
    <row r="37" spans="1:7" x14ac:dyDescent="0.35">
      <c r="A37" s="2"/>
      <c r="B37" s="16"/>
      <c r="C37" s="4"/>
      <c r="D37" s="2"/>
      <c r="E37" s="2"/>
      <c r="F37" s="2"/>
      <c r="G37" s="2"/>
    </row>
    <row r="38" spans="1:7" x14ac:dyDescent="0.35">
      <c r="A38" s="2"/>
      <c r="B38" s="16"/>
      <c r="C38" s="4"/>
      <c r="D38" s="2"/>
      <c r="E38" s="2"/>
      <c r="F38" s="2"/>
      <c r="G38" s="2"/>
    </row>
    <row r="39" spans="1:7" x14ac:dyDescent="0.35">
      <c r="A39" s="2"/>
      <c r="B39" s="16"/>
      <c r="C39" s="2"/>
      <c r="D39" s="2"/>
      <c r="E39" s="2"/>
      <c r="F39" s="2"/>
      <c r="G39" s="2"/>
    </row>
    <row r="40" spans="1:7" x14ac:dyDescent="0.35">
      <c r="A40" s="2"/>
      <c r="B40" s="16"/>
      <c r="C40" s="2"/>
      <c r="D40" s="2"/>
      <c r="E40" s="2"/>
      <c r="F40" s="2"/>
      <c r="G40" s="2"/>
    </row>
    <row r="41" spans="1:7" x14ac:dyDescent="0.35">
      <c r="A41" s="2"/>
      <c r="B41" s="16"/>
      <c r="C41" s="2"/>
      <c r="D41" s="2"/>
      <c r="E41" s="2"/>
      <c r="F41" s="2"/>
      <c r="G41" s="2"/>
    </row>
    <row r="42" spans="1:7" x14ac:dyDescent="0.35">
      <c r="A42" s="2"/>
      <c r="B42" s="16"/>
      <c r="D42" s="2"/>
      <c r="E42" s="2"/>
      <c r="F42" s="2"/>
      <c r="G42" s="2"/>
    </row>
    <row r="43" spans="1:7" x14ac:dyDescent="0.35">
      <c r="A43" s="2"/>
      <c r="B43" s="16"/>
      <c r="D43" s="2"/>
      <c r="E43" s="2"/>
      <c r="F43" s="2"/>
      <c r="G43" s="2"/>
    </row>
    <row r="44" spans="1:7" x14ac:dyDescent="0.35">
      <c r="A44" s="2"/>
      <c r="B44" s="16"/>
      <c r="C44" s="2"/>
      <c r="D44" s="2"/>
      <c r="E44" s="2"/>
      <c r="F44" s="2"/>
      <c r="G44" s="2"/>
    </row>
    <row r="45" spans="1:7" x14ac:dyDescent="0.35">
      <c r="A45" s="2"/>
      <c r="B45" s="16"/>
      <c r="D45" s="2"/>
      <c r="E45" s="2"/>
      <c r="F45" s="2"/>
      <c r="G45" s="2"/>
    </row>
    <row r="46" spans="1:7" x14ac:dyDescent="0.35">
      <c r="A46" s="2"/>
      <c r="B46" s="16"/>
      <c r="D46" s="2"/>
      <c r="E46" s="2"/>
      <c r="F46" s="2"/>
      <c r="G46" s="2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1A52-8F98-9E4F-A71B-2360CB867449}">
  <dimension ref="A1:G47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4.83203125" bestFit="1" customWidth="1"/>
    <col min="3" max="3" width="13.2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16" t="s">
        <v>32</v>
      </c>
      <c r="C2" s="2">
        <f>1.06534554795997E-07/1000</f>
        <v>1.06534554795997E-10</v>
      </c>
      <c r="D2" s="2">
        <f t="shared" ref="D2:D3" si="0">C2*0.9</f>
        <v>9.5881099316397299E-11</v>
      </c>
      <c r="E2" s="2">
        <f t="shared" ref="E2:E3" si="1">C2*1.1</f>
        <v>1.1718801027559671E-10</v>
      </c>
      <c r="F2" s="3" t="s">
        <v>1</v>
      </c>
      <c r="G2" s="3" t="s">
        <v>0</v>
      </c>
    </row>
    <row r="3" spans="1:7" x14ac:dyDescent="0.35">
      <c r="A3" s="2" t="s">
        <v>38</v>
      </c>
      <c r="B3" s="16" t="s">
        <v>32</v>
      </c>
      <c r="C3" s="4">
        <v>-1.8861871085319699E-8</v>
      </c>
      <c r="D3" s="2">
        <f t="shared" si="0"/>
        <v>-1.6975683976787728E-8</v>
      </c>
      <c r="E3" s="2">
        <f t="shared" si="1"/>
        <v>-2.0748058193851669E-8</v>
      </c>
      <c r="F3" s="3" t="s">
        <v>1</v>
      </c>
      <c r="G3" s="3" t="s">
        <v>0</v>
      </c>
    </row>
    <row r="4" spans="1:7" x14ac:dyDescent="0.35">
      <c r="A4" s="2" t="s">
        <v>40</v>
      </c>
      <c r="B4" s="16" t="s">
        <v>32</v>
      </c>
      <c r="C4" s="2">
        <f>6.93886745538854E-08*0.078</f>
        <v>5.4123166152030609E-9</v>
      </c>
      <c r="D4" s="2">
        <f t="shared" ref="D4:D14" si="2">C4*0.9</f>
        <v>4.8710849536827553E-9</v>
      </c>
      <c r="E4" s="2">
        <f t="shared" ref="E4:E14" si="3">C4*1.1</f>
        <v>5.9535482767233674E-9</v>
      </c>
      <c r="F4" s="3" t="s">
        <v>1</v>
      </c>
      <c r="G4" s="3" t="s">
        <v>0</v>
      </c>
    </row>
    <row r="5" spans="1:7" x14ac:dyDescent="0.35">
      <c r="A5" s="2" t="s">
        <v>41</v>
      </c>
      <c r="B5" s="16" t="s">
        <v>32</v>
      </c>
      <c r="C5" s="2">
        <f>6.93886745538854E-08*0.161</f>
        <v>1.1171576603175549E-8</v>
      </c>
      <c r="D5" s="2">
        <f t="shared" ref="D5" si="4">C5*0.9</f>
        <v>1.0054418942857994E-8</v>
      </c>
      <c r="E5" s="2">
        <f t="shared" ref="E5" si="5">C5*1.1</f>
        <v>1.2288734263493105E-8</v>
      </c>
      <c r="F5" s="2" t="s">
        <v>1</v>
      </c>
      <c r="G5" s="2" t="s">
        <v>0</v>
      </c>
    </row>
    <row r="6" spans="1:7" x14ac:dyDescent="0.35">
      <c r="A6" s="2" t="s">
        <v>42</v>
      </c>
      <c r="B6" s="16" t="s">
        <v>32</v>
      </c>
      <c r="C6" s="4">
        <v>2.5819916725673899E-7</v>
      </c>
      <c r="D6" s="2">
        <f t="shared" si="2"/>
        <v>2.3237925053106509E-7</v>
      </c>
      <c r="E6" s="2">
        <f t="shared" si="3"/>
        <v>2.8401908398241293E-7</v>
      </c>
      <c r="F6" s="3" t="s">
        <v>1</v>
      </c>
      <c r="G6" s="3" t="s">
        <v>0</v>
      </c>
    </row>
    <row r="7" spans="1:7" x14ac:dyDescent="0.35">
      <c r="A7" s="2" t="s">
        <v>43</v>
      </c>
      <c r="B7" s="16" t="s">
        <v>32</v>
      </c>
      <c r="C7" s="4">
        <v>2.38546264395617E-10</v>
      </c>
      <c r="D7" s="2">
        <f t="shared" si="2"/>
        <v>2.1469163795605529E-10</v>
      </c>
      <c r="E7" s="2">
        <f t="shared" si="3"/>
        <v>2.624008908351787E-10</v>
      </c>
      <c r="F7" s="2" t="s">
        <v>1</v>
      </c>
      <c r="G7" s="2" t="s">
        <v>0</v>
      </c>
    </row>
    <row r="8" spans="1:7" x14ac:dyDescent="0.35">
      <c r="A8" s="2" t="s">
        <v>44</v>
      </c>
      <c r="B8" s="16" t="s">
        <v>32</v>
      </c>
      <c r="C8" s="4">
        <v>6.9652864057093996E-8</v>
      </c>
      <c r="D8" s="2">
        <f t="shared" ref="D8" si="6">C8*0.9</f>
        <v>6.2687577651384602E-8</v>
      </c>
      <c r="E8" s="2">
        <f t="shared" ref="E8" si="7">C8*1.1</f>
        <v>7.6618150462803403E-8</v>
      </c>
      <c r="F8" s="2" t="s">
        <v>1</v>
      </c>
      <c r="G8" s="2" t="s">
        <v>0</v>
      </c>
    </row>
    <row r="9" spans="1:7" x14ac:dyDescent="0.35">
      <c r="A9" s="2" t="s">
        <v>45</v>
      </c>
      <c r="B9" s="16" t="s">
        <v>32</v>
      </c>
      <c r="C9" s="4">
        <v>1.0210871601720101E-8</v>
      </c>
      <c r="D9" s="2">
        <f t="shared" si="2"/>
        <v>9.18978444154809E-9</v>
      </c>
      <c r="E9" s="2">
        <f t="shared" si="3"/>
        <v>1.1231958761892111E-8</v>
      </c>
      <c r="F9" s="2" t="s">
        <v>1</v>
      </c>
      <c r="G9" s="2" t="s">
        <v>0</v>
      </c>
    </row>
    <row r="10" spans="1:7" x14ac:dyDescent="0.35">
      <c r="A10" s="2" t="s">
        <v>46</v>
      </c>
      <c r="B10" s="16" t="s">
        <v>32</v>
      </c>
      <c r="C10" s="4">
        <v>1.71907215723318E-8</v>
      </c>
      <c r="D10" s="2">
        <f t="shared" si="2"/>
        <v>1.5471649415098619E-8</v>
      </c>
      <c r="E10" s="2">
        <f t="shared" si="3"/>
        <v>1.8909793729564981E-8</v>
      </c>
      <c r="F10" s="2" t="s">
        <v>1</v>
      </c>
      <c r="G10" s="2" t="s">
        <v>0</v>
      </c>
    </row>
    <row r="11" spans="1:7" x14ac:dyDescent="0.35">
      <c r="A11" s="2" t="s">
        <v>47</v>
      </c>
      <c r="B11" s="16" t="s">
        <v>32</v>
      </c>
      <c r="C11" s="4">
        <v>1.71907215723318E-8</v>
      </c>
      <c r="D11" s="2">
        <f t="shared" si="2"/>
        <v>1.5471649415098619E-8</v>
      </c>
      <c r="E11" s="2">
        <f t="shared" si="3"/>
        <v>1.8909793729564981E-8</v>
      </c>
      <c r="F11" s="2" t="s">
        <v>1</v>
      </c>
      <c r="G11" s="2" t="s">
        <v>0</v>
      </c>
    </row>
    <row r="12" spans="1:7" x14ac:dyDescent="0.35">
      <c r="A12" s="2" t="s">
        <v>48</v>
      </c>
      <c r="B12" s="16" t="s">
        <v>32</v>
      </c>
      <c r="C12" s="4">
        <v>1.71907215723318E-8</v>
      </c>
      <c r="D12" s="2">
        <f t="shared" si="2"/>
        <v>1.5471649415098619E-8</v>
      </c>
      <c r="E12" s="2">
        <f t="shared" si="3"/>
        <v>1.8909793729564981E-8</v>
      </c>
      <c r="F12" s="2" t="s">
        <v>1</v>
      </c>
      <c r="G12" s="2" t="s">
        <v>0</v>
      </c>
    </row>
    <row r="13" spans="1:7" x14ac:dyDescent="0.35">
      <c r="A13" s="2" t="s">
        <v>49</v>
      </c>
      <c r="B13" s="16" t="s">
        <v>32</v>
      </c>
      <c r="C13" s="4">
        <v>-1.8454774124603399E-7</v>
      </c>
      <c r="D13" s="2">
        <f t="shared" si="2"/>
        <v>-1.6609296712143058E-7</v>
      </c>
      <c r="E13" s="2">
        <f t="shared" si="3"/>
        <v>-2.0300251537063739E-7</v>
      </c>
      <c r="F13" s="2" t="s">
        <v>1</v>
      </c>
      <c r="G13" s="2" t="s">
        <v>0</v>
      </c>
    </row>
    <row r="14" spans="1:7" x14ac:dyDescent="0.35">
      <c r="A14" s="2" t="s">
        <v>50</v>
      </c>
      <c r="B14" s="16" t="s">
        <v>32</v>
      </c>
      <c r="C14" s="4">
        <f>1.5346811044942E-07/1000</f>
        <v>1.5346811044941999E-10</v>
      </c>
      <c r="D14" s="2">
        <f t="shared" si="2"/>
        <v>1.38121299404478E-10</v>
      </c>
      <c r="E14" s="2">
        <f t="shared" si="3"/>
        <v>1.6881492149436201E-10</v>
      </c>
      <c r="F14" s="2" t="s">
        <v>1</v>
      </c>
      <c r="G14" s="2" t="s">
        <v>0</v>
      </c>
    </row>
    <row r="15" spans="1:7" x14ac:dyDescent="0.35">
      <c r="A15" s="2" t="s">
        <v>74</v>
      </c>
      <c r="B15" s="16" t="s">
        <v>32</v>
      </c>
      <c r="C15" s="4">
        <v>0</v>
      </c>
      <c r="D15" s="4">
        <v>0</v>
      </c>
      <c r="E15" s="4">
        <v>0</v>
      </c>
      <c r="F15" s="3" t="s">
        <v>1</v>
      </c>
      <c r="G15" s="2" t="s">
        <v>37</v>
      </c>
    </row>
    <row r="16" spans="1:7" x14ac:dyDescent="0.35">
      <c r="A16" s="2"/>
      <c r="B16" s="16"/>
      <c r="C16" s="4"/>
      <c r="D16" s="2"/>
      <c r="E16" s="2"/>
      <c r="F16" s="2"/>
      <c r="G16" s="2"/>
    </row>
    <row r="17" spans="1:7" x14ac:dyDescent="0.35">
      <c r="A17" s="2"/>
      <c r="B17" s="16"/>
      <c r="C17" s="4"/>
      <c r="D17" s="2"/>
      <c r="E17" s="2"/>
      <c r="F17" s="2"/>
      <c r="G17" s="2"/>
    </row>
    <row r="18" spans="1:7" x14ac:dyDescent="0.35">
      <c r="A18" s="2"/>
      <c r="B18" s="16"/>
      <c r="C18" s="4"/>
      <c r="D18" s="2"/>
      <c r="E18" s="2"/>
      <c r="F18" s="2"/>
      <c r="G18" s="2"/>
    </row>
    <row r="19" spans="1:7" x14ac:dyDescent="0.35">
      <c r="A19" s="2"/>
      <c r="B19" s="16"/>
      <c r="C19" s="4"/>
      <c r="D19" s="2"/>
      <c r="E19" s="2"/>
      <c r="F19" s="2"/>
      <c r="G19" s="2"/>
    </row>
    <row r="20" spans="1:7" x14ac:dyDescent="0.35">
      <c r="A20" s="2"/>
      <c r="B20" s="16"/>
      <c r="C20" s="4"/>
      <c r="D20" s="2"/>
      <c r="E20" s="2"/>
      <c r="F20" s="2"/>
      <c r="G20" s="2"/>
    </row>
    <row r="21" spans="1:7" x14ac:dyDescent="0.35">
      <c r="A21" s="2"/>
      <c r="B21" s="16"/>
      <c r="C21" s="2"/>
      <c r="D21" s="2"/>
      <c r="E21" s="2"/>
      <c r="F21" s="2"/>
      <c r="G21" s="2"/>
    </row>
    <row r="22" spans="1:7" x14ac:dyDescent="0.35">
      <c r="A22" s="2"/>
      <c r="B22" s="16"/>
      <c r="C22" s="2"/>
      <c r="D22" s="2"/>
      <c r="E22" s="2"/>
      <c r="F22" s="2"/>
      <c r="G22" s="2"/>
    </row>
    <row r="23" spans="1:7" x14ac:dyDescent="0.35">
      <c r="A23" s="2"/>
      <c r="B23" s="16"/>
      <c r="C23" s="2"/>
      <c r="D23" s="2"/>
      <c r="E23" s="2"/>
      <c r="F23" s="2"/>
      <c r="G23" s="2"/>
    </row>
    <row r="24" spans="1:7" x14ac:dyDescent="0.35">
      <c r="A24" s="2"/>
      <c r="B24" s="16"/>
      <c r="C24" s="4"/>
      <c r="D24" s="2"/>
      <c r="E24" s="2"/>
      <c r="F24" s="2"/>
      <c r="G24" s="2"/>
    </row>
    <row r="25" spans="1:7" x14ac:dyDescent="0.35">
      <c r="A25" s="2"/>
      <c r="B25" s="16"/>
      <c r="C25" s="2"/>
      <c r="D25" s="2"/>
      <c r="E25" s="2"/>
      <c r="F25" s="2"/>
      <c r="G25" s="2"/>
    </row>
    <row r="26" spans="1:7" x14ac:dyDescent="0.35">
      <c r="A26" s="2"/>
      <c r="B26" s="16"/>
      <c r="C26" s="2"/>
      <c r="D26" s="2"/>
      <c r="E26" s="2"/>
      <c r="F26" s="2"/>
      <c r="G26" s="2"/>
    </row>
    <row r="27" spans="1:7" x14ac:dyDescent="0.35">
      <c r="A27" s="2"/>
      <c r="B27" s="16"/>
      <c r="C27" s="2"/>
      <c r="D27" s="2"/>
      <c r="E27" s="2"/>
      <c r="F27" s="2"/>
      <c r="G27" s="2"/>
    </row>
    <row r="28" spans="1:7" x14ac:dyDescent="0.35">
      <c r="A28" s="2"/>
      <c r="B28" s="16"/>
      <c r="C28" s="4"/>
      <c r="D28" s="2"/>
      <c r="E28" s="2"/>
      <c r="F28" s="2"/>
      <c r="G28" s="2"/>
    </row>
    <row r="29" spans="1:7" x14ac:dyDescent="0.35">
      <c r="A29" s="2"/>
      <c r="B29" s="16"/>
      <c r="C29" s="2"/>
      <c r="D29" s="2"/>
      <c r="E29" s="2"/>
      <c r="F29" s="2"/>
      <c r="G29" s="2"/>
    </row>
    <row r="30" spans="1:7" x14ac:dyDescent="0.35">
      <c r="A30" s="2"/>
      <c r="B30" s="16"/>
      <c r="C30" s="4"/>
      <c r="D30" s="2"/>
      <c r="E30" s="2"/>
      <c r="F30" s="2"/>
      <c r="G30" s="2"/>
    </row>
    <row r="31" spans="1:7" x14ac:dyDescent="0.35">
      <c r="A31" s="2"/>
      <c r="B31" s="16"/>
      <c r="C31" s="4"/>
      <c r="D31" s="2"/>
      <c r="E31" s="2"/>
      <c r="F31" s="2"/>
      <c r="G31" s="2"/>
    </row>
    <row r="32" spans="1:7" x14ac:dyDescent="0.35">
      <c r="A32" s="2"/>
      <c r="B32" s="16"/>
      <c r="C32" s="2"/>
      <c r="D32" s="2"/>
      <c r="E32" s="2"/>
      <c r="F32" s="2"/>
      <c r="G32" s="2"/>
    </row>
    <row r="33" spans="1:7" x14ac:dyDescent="0.35">
      <c r="A33" s="2"/>
      <c r="B33" s="16"/>
      <c r="C33" s="4"/>
      <c r="D33" s="2"/>
      <c r="E33" s="2"/>
      <c r="F33" s="2"/>
      <c r="G33" s="2"/>
    </row>
    <row r="34" spans="1:7" x14ac:dyDescent="0.35">
      <c r="A34" s="2"/>
      <c r="B34" s="16"/>
      <c r="C34" s="4"/>
      <c r="D34" s="2"/>
      <c r="E34" s="2"/>
      <c r="F34" s="2"/>
      <c r="G34" s="2"/>
    </row>
    <row r="35" spans="1:7" x14ac:dyDescent="0.35">
      <c r="A35" s="2"/>
      <c r="B35" s="16"/>
      <c r="C35" s="4"/>
      <c r="D35" s="2"/>
      <c r="E35" s="2"/>
      <c r="F35" s="2"/>
      <c r="G35" s="2"/>
    </row>
    <row r="36" spans="1:7" x14ac:dyDescent="0.35">
      <c r="A36" s="2"/>
      <c r="B36" s="16"/>
      <c r="C36" s="4"/>
      <c r="D36" s="2"/>
      <c r="E36" s="2"/>
      <c r="F36" s="2"/>
      <c r="G36" s="2"/>
    </row>
    <row r="37" spans="1:7" x14ac:dyDescent="0.35">
      <c r="A37" s="2"/>
      <c r="B37" s="16"/>
      <c r="C37" s="4"/>
      <c r="D37" s="2"/>
      <c r="E37" s="2"/>
      <c r="F37" s="2"/>
      <c r="G37" s="2"/>
    </row>
    <row r="38" spans="1:7" x14ac:dyDescent="0.35">
      <c r="A38" s="2"/>
      <c r="B38" s="16"/>
      <c r="C38" s="4"/>
      <c r="D38" s="2"/>
      <c r="E38" s="2"/>
      <c r="F38" s="2"/>
      <c r="G38" s="2"/>
    </row>
    <row r="39" spans="1:7" x14ac:dyDescent="0.35">
      <c r="A39" s="2"/>
      <c r="B39" s="16"/>
      <c r="C39" s="4"/>
      <c r="D39" s="2"/>
      <c r="E39" s="2"/>
      <c r="F39" s="2"/>
      <c r="G39" s="2"/>
    </row>
    <row r="40" spans="1:7" x14ac:dyDescent="0.35">
      <c r="A40" s="2"/>
      <c r="B40" s="16"/>
      <c r="C40" s="4"/>
      <c r="D40" s="2"/>
      <c r="E40" s="2"/>
      <c r="F40" s="2"/>
      <c r="G40" s="2"/>
    </row>
    <row r="41" spans="1:7" x14ac:dyDescent="0.35">
      <c r="A41" s="2"/>
      <c r="B41" s="16"/>
      <c r="C41" s="4"/>
      <c r="D41" s="2"/>
      <c r="E41" s="2"/>
      <c r="F41" s="2"/>
      <c r="G41" s="2"/>
    </row>
    <row r="42" spans="1:7" x14ac:dyDescent="0.35">
      <c r="A42" s="2"/>
      <c r="B42" s="16"/>
      <c r="C42" s="5"/>
      <c r="D42" s="2"/>
      <c r="E42" s="2"/>
      <c r="F42" s="2"/>
      <c r="G42" s="2"/>
    </row>
    <row r="43" spans="1:7" x14ac:dyDescent="0.35">
      <c r="A43" s="2"/>
      <c r="B43" s="16"/>
      <c r="C43" s="5"/>
      <c r="D43" s="2"/>
      <c r="E43" s="2"/>
      <c r="F43" s="2"/>
      <c r="G43" s="2"/>
    </row>
    <row r="44" spans="1:7" x14ac:dyDescent="0.35">
      <c r="A44" s="2"/>
      <c r="B44" s="16"/>
      <c r="C44" s="4"/>
      <c r="D44" s="2"/>
      <c r="E44" s="2"/>
      <c r="F44" s="2"/>
      <c r="G44" s="2"/>
    </row>
    <row r="45" spans="1:7" x14ac:dyDescent="0.35">
      <c r="A45" s="2"/>
      <c r="B45" s="16"/>
      <c r="C45" s="5"/>
      <c r="D45" s="2"/>
      <c r="E45" s="2"/>
      <c r="F45" s="2"/>
      <c r="G45" s="2"/>
    </row>
    <row r="46" spans="1:7" x14ac:dyDescent="0.35">
      <c r="A46" s="2"/>
      <c r="B46" s="16"/>
      <c r="D46" s="2"/>
      <c r="E46" s="2"/>
      <c r="F46" s="2"/>
      <c r="G46" s="2"/>
    </row>
    <row r="47" spans="1:7" x14ac:dyDescent="0.35">
      <c r="A47" s="2"/>
      <c r="B47" s="16"/>
      <c r="C47" s="5"/>
      <c r="D47" s="2"/>
      <c r="E47" s="2"/>
      <c r="F47" s="2"/>
      <c r="G47" s="2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75BC-0D54-F046-9DC9-380953A4C8CF}">
  <dimension ref="A1:G47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3.6640625" bestFit="1" customWidth="1"/>
    <col min="3" max="3" width="13.2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16" t="s">
        <v>32</v>
      </c>
      <c r="C2" s="2">
        <f>1.08691878562443E-07/1000</f>
        <v>1.0869187856244301E-10</v>
      </c>
      <c r="D2" s="2">
        <f t="shared" ref="D2:D3" si="0">C2*0.9</f>
        <v>9.7822690706198708E-11</v>
      </c>
      <c r="E2" s="2">
        <f t="shared" ref="E2:E3" si="1">C2*1.1</f>
        <v>1.1956106641868732E-10</v>
      </c>
      <c r="F2" s="3" t="s">
        <v>1</v>
      </c>
      <c r="G2" s="3" t="s">
        <v>0</v>
      </c>
    </row>
    <row r="3" spans="1:7" x14ac:dyDescent="0.35">
      <c r="A3" s="2" t="s">
        <v>38</v>
      </c>
      <c r="B3" s="16" t="s">
        <v>32</v>
      </c>
      <c r="C3" s="4">
        <v>-1.81635866431588E-6</v>
      </c>
      <c r="D3" s="2">
        <f t="shared" si="0"/>
        <v>-1.634722797884292E-6</v>
      </c>
      <c r="E3" s="2">
        <f t="shared" si="1"/>
        <v>-1.9979945307474681E-6</v>
      </c>
      <c r="F3" s="3" t="s">
        <v>1</v>
      </c>
      <c r="G3" s="3" t="s">
        <v>0</v>
      </c>
    </row>
    <row r="4" spans="1:7" x14ac:dyDescent="0.35">
      <c r="A4" s="2" t="s">
        <v>40</v>
      </c>
      <c r="B4" s="16" t="s">
        <v>32</v>
      </c>
      <c r="C4" s="2">
        <f>3.91728654261792E-07*0.078</f>
        <v>3.0554835032419777E-8</v>
      </c>
      <c r="D4" s="2">
        <f t="shared" ref="D4:D15" si="2">C4*0.9</f>
        <v>2.7499351529177802E-8</v>
      </c>
      <c r="E4" s="2">
        <f t="shared" ref="E4:E15" si="3">C4*1.1</f>
        <v>3.361031853566176E-8</v>
      </c>
      <c r="F4" s="3" t="s">
        <v>1</v>
      </c>
      <c r="G4" s="3" t="s">
        <v>0</v>
      </c>
    </row>
    <row r="5" spans="1:7" x14ac:dyDescent="0.35">
      <c r="A5" s="2" t="s">
        <v>41</v>
      </c>
      <c r="B5" s="16" t="s">
        <v>32</v>
      </c>
      <c r="C5" s="2">
        <f>3.91728654261792E-07*0.161</f>
        <v>6.3068313336148509E-8</v>
      </c>
      <c r="D5" s="2">
        <f t="shared" ref="D5" si="4">C5*0.9</f>
        <v>5.6761482002533657E-8</v>
      </c>
      <c r="E5" s="2">
        <f t="shared" ref="E5" si="5">C5*1.1</f>
        <v>6.9375144669763368E-8</v>
      </c>
      <c r="F5" s="2" t="s">
        <v>1</v>
      </c>
      <c r="G5" s="2" t="s">
        <v>0</v>
      </c>
    </row>
    <row r="6" spans="1:7" x14ac:dyDescent="0.35">
      <c r="A6" s="2" t="s">
        <v>42</v>
      </c>
      <c r="B6" s="16" t="s">
        <v>32</v>
      </c>
      <c r="C6" s="4">
        <v>1.19001731424066E-7</v>
      </c>
      <c r="D6" s="2">
        <f t="shared" si="2"/>
        <v>1.0710155828165941E-7</v>
      </c>
      <c r="E6" s="2">
        <f t="shared" si="3"/>
        <v>1.3090190456647262E-7</v>
      </c>
      <c r="F6" s="3" t="s">
        <v>1</v>
      </c>
      <c r="G6" s="3" t="s">
        <v>0</v>
      </c>
    </row>
    <row r="7" spans="1:7" x14ac:dyDescent="0.35">
      <c r="A7" s="2" t="s">
        <v>43</v>
      </c>
      <c r="B7" s="16" t="s">
        <v>32</v>
      </c>
      <c r="C7" s="4">
        <v>4.4285288292320002E-10</v>
      </c>
      <c r="D7" s="2">
        <f t="shared" si="2"/>
        <v>3.9856759463088005E-10</v>
      </c>
      <c r="E7" s="2">
        <f t="shared" si="3"/>
        <v>4.8713817121552004E-10</v>
      </c>
      <c r="F7" s="2" t="s">
        <v>1</v>
      </c>
      <c r="G7" s="2" t="s">
        <v>0</v>
      </c>
    </row>
    <row r="8" spans="1:7" x14ac:dyDescent="0.35">
      <c r="A8" s="2" t="s">
        <v>44</v>
      </c>
      <c r="B8" s="16" t="s">
        <v>32</v>
      </c>
      <c r="C8" s="4">
        <v>1.28926651505215E-7</v>
      </c>
      <c r="D8" s="2">
        <f t="shared" ref="D8" si="6">C8*0.9</f>
        <v>1.1603398635469351E-7</v>
      </c>
      <c r="E8" s="2">
        <f t="shared" ref="E8" si="7">C8*1.1</f>
        <v>1.4181931665573653E-7</v>
      </c>
      <c r="F8" s="2" t="s">
        <v>1</v>
      </c>
      <c r="G8" s="2" t="s">
        <v>0</v>
      </c>
    </row>
    <row r="9" spans="1:7" x14ac:dyDescent="0.35">
      <c r="A9" s="2" t="s">
        <v>45</v>
      </c>
      <c r="B9" s="16" t="s">
        <v>32</v>
      </c>
      <c r="C9" s="4">
        <v>1.5156877014358699E-8</v>
      </c>
      <c r="D9" s="2">
        <f t="shared" si="2"/>
        <v>1.364118931292283E-8</v>
      </c>
      <c r="E9" s="2">
        <f t="shared" si="3"/>
        <v>1.6672564715794572E-8</v>
      </c>
      <c r="F9" s="2" t="s">
        <v>1</v>
      </c>
      <c r="G9" s="2" t="s">
        <v>0</v>
      </c>
    </row>
    <row r="10" spans="1:7" x14ac:dyDescent="0.35">
      <c r="A10" s="2" t="s">
        <v>46</v>
      </c>
      <c r="B10" s="16" t="s">
        <v>32</v>
      </c>
      <c r="C10" s="4">
        <v>2.0872270391510801E-8</v>
      </c>
      <c r="D10" s="2">
        <f t="shared" si="2"/>
        <v>1.878504335235972E-8</v>
      </c>
      <c r="E10" s="2">
        <f t="shared" si="3"/>
        <v>2.2959497430661882E-8</v>
      </c>
      <c r="F10" s="2" t="s">
        <v>1</v>
      </c>
      <c r="G10" s="2" t="s">
        <v>0</v>
      </c>
    </row>
    <row r="11" spans="1:7" x14ac:dyDescent="0.35">
      <c r="A11" s="2" t="s">
        <v>47</v>
      </c>
      <c r="B11" s="16" t="s">
        <v>32</v>
      </c>
      <c r="C11" s="4">
        <v>2.0872270391510801E-8</v>
      </c>
      <c r="D11" s="2">
        <f t="shared" si="2"/>
        <v>1.878504335235972E-8</v>
      </c>
      <c r="E11" s="2">
        <f t="shared" si="3"/>
        <v>2.2959497430661882E-8</v>
      </c>
      <c r="F11" s="2" t="s">
        <v>1</v>
      </c>
      <c r="G11" s="2" t="s">
        <v>0</v>
      </c>
    </row>
    <row r="12" spans="1:7" x14ac:dyDescent="0.35">
      <c r="A12" s="2" t="s">
        <v>48</v>
      </c>
      <c r="B12" s="16" t="s">
        <v>32</v>
      </c>
      <c r="C12" s="4">
        <v>2.0872270391510801E-8</v>
      </c>
      <c r="D12" s="2">
        <f t="shared" si="2"/>
        <v>1.878504335235972E-8</v>
      </c>
      <c r="E12" s="2">
        <f t="shared" si="3"/>
        <v>2.2959497430661882E-8</v>
      </c>
      <c r="F12" s="2" t="s">
        <v>1</v>
      </c>
      <c r="G12" s="2" t="s">
        <v>0</v>
      </c>
    </row>
    <row r="13" spans="1:7" x14ac:dyDescent="0.35">
      <c r="A13" s="2" t="s">
        <v>49</v>
      </c>
      <c r="B13" s="16" t="s">
        <v>32</v>
      </c>
      <c r="C13" s="4">
        <v>-9.0042058891045803E-8</v>
      </c>
      <c r="D13" s="2">
        <f t="shared" si="2"/>
        <v>-8.1037853001941224E-8</v>
      </c>
      <c r="E13" s="2">
        <f t="shared" si="3"/>
        <v>-9.9046264780150396E-8</v>
      </c>
      <c r="F13" s="2" t="s">
        <v>1</v>
      </c>
      <c r="G13" s="2" t="s">
        <v>0</v>
      </c>
    </row>
    <row r="14" spans="1:7" x14ac:dyDescent="0.35">
      <c r="A14" s="2" t="s">
        <v>50</v>
      </c>
      <c r="B14" s="16" t="s">
        <v>32</v>
      </c>
      <c r="C14" s="4">
        <f>0.0000035064445612799/1000</f>
        <v>3.5064445612799001E-9</v>
      </c>
      <c r="D14" s="2">
        <f t="shared" si="2"/>
        <v>3.1558001051519102E-9</v>
      </c>
      <c r="E14" s="2">
        <f t="shared" si="3"/>
        <v>3.8570890174078907E-9</v>
      </c>
      <c r="F14" s="2" t="s">
        <v>1</v>
      </c>
      <c r="G14" s="2" t="s">
        <v>0</v>
      </c>
    </row>
    <row r="15" spans="1:7" x14ac:dyDescent="0.35">
      <c r="A15" s="2" t="s">
        <v>74</v>
      </c>
      <c r="B15" s="16" t="s">
        <v>32</v>
      </c>
      <c r="C15">
        <v>0</v>
      </c>
      <c r="D15" s="2">
        <f t="shared" si="2"/>
        <v>0</v>
      </c>
      <c r="E15" s="2">
        <f t="shared" si="3"/>
        <v>0</v>
      </c>
      <c r="F15" s="2" t="s">
        <v>1</v>
      </c>
      <c r="G15" s="2" t="s">
        <v>37</v>
      </c>
    </row>
    <row r="16" spans="1:7" x14ac:dyDescent="0.35">
      <c r="A16" s="2"/>
      <c r="B16" s="16"/>
      <c r="C16" s="4"/>
      <c r="D16" s="2"/>
      <c r="E16" s="2"/>
      <c r="F16" s="2"/>
      <c r="G16" s="2"/>
    </row>
    <row r="17" spans="1:7" x14ac:dyDescent="0.35">
      <c r="A17" s="2"/>
      <c r="B17" s="16"/>
      <c r="C17" s="2"/>
      <c r="D17" s="2"/>
      <c r="E17" s="2"/>
      <c r="F17" s="2"/>
      <c r="G17" s="2"/>
    </row>
    <row r="18" spans="1:7" x14ac:dyDescent="0.35">
      <c r="A18" s="2"/>
      <c r="B18" s="16"/>
      <c r="C18" s="4"/>
      <c r="D18" s="2"/>
      <c r="E18" s="2"/>
      <c r="F18" s="2"/>
      <c r="G18" s="2"/>
    </row>
    <row r="19" spans="1:7" x14ac:dyDescent="0.35">
      <c r="A19" s="2"/>
      <c r="B19" s="16"/>
      <c r="C19" s="4"/>
      <c r="D19" s="2"/>
      <c r="E19" s="2"/>
      <c r="F19" s="2"/>
      <c r="G19" s="2"/>
    </row>
    <row r="20" spans="1:7" x14ac:dyDescent="0.35">
      <c r="A20" s="2"/>
      <c r="B20" s="16"/>
      <c r="C20" s="4"/>
      <c r="D20" s="2"/>
      <c r="E20" s="2"/>
      <c r="F20" s="2"/>
      <c r="G20" s="2"/>
    </row>
    <row r="21" spans="1:7" x14ac:dyDescent="0.35">
      <c r="A21" s="2"/>
      <c r="B21" s="16"/>
      <c r="C21" s="2"/>
      <c r="D21" s="2"/>
      <c r="E21" s="2"/>
      <c r="F21" s="2"/>
      <c r="G21" s="2"/>
    </row>
    <row r="22" spans="1:7" x14ac:dyDescent="0.35">
      <c r="A22" s="2"/>
      <c r="B22" s="16"/>
      <c r="C22" s="2"/>
      <c r="D22" s="2"/>
      <c r="E22" s="2"/>
      <c r="F22" s="2"/>
      <c r="G22" s="2"/>
    </row>
    <row r="23" spans="1:7" x14ac:dyDescent="0.35">
      <c r="A23" s="2"/>
      <c r="B23" s="16"/>
      <c r="C23" s="2"/>
      <c r="D23" s="2"/>
      <c r="E23" s="2"/>
      <c r="F23" s="2"/>
      <c r="G23" s="2"/>
    </row>
    <row r="24" spans="1:7" x14ac:dyDescent="0.35">
      <c r="A24" s="2"/>
      <c r="B24" s="16"/>
      <c r="C24" s="4"/>
      <c r="D24" s="2"/>
      <c r="E24" s="2"/>
      <c r="F24" s="2"/>
      <c r="G24" s="2"/>
    </row>
    <row r="25" spans="1:7" x14ac:dyDescent="0.35">
      <c r="A25" s="2"/>
      <c r="B25" s="16"/>
      <c r="C25" s="2"/>
      <c r="D25" s="2"/>
      <c r="E25" s="2"/>
      <c r="F25" s="2"/>
      <c r="G25" s="2"/>
    </row>
    <row r="26" spans="1:7" x14ac:dyDescent="0.35">
      <c r="A26" s="2"/>
      <c r="B26" s="16"/>
      <c r="C26" s="2"/>
      <c r="D26" s="2"/>
      <c r="E26" s="2"/>
      <c r="F26" s="2"/>
      <c r="G26" s="2"/>
    </row>
    <row r="27" spans="1:7" x14ac:dyDescent="0.35">
      <c r="A27" s="2"/>
      <c r="B27" s="16"/>
      <c r="C27" s="2"/>
      <c r="D27" s="2"/>
      <c r="E27" s="2"/>
      <c r="F27" s="2"/>
      <c r="G27" s="2"/>
    </row>
    <row r="28" spans="1:7" x14ac:dyDescent="0.35">
      <c r="A28" s="2"/>
      <c r="B28" s="16"/>
      <c r="C28" s="4"/>
      <c r="D28" s="2"/>
      <c r="E28" s="2"/>
      <c r="F28" s="2"/>
      <c r="G28" s="2"/>
    </row>
    <row r="29" spans="1:7" x14ac:dyDescent="0.35">
      <c r="A29" s="2"/>
      <c r="B29" s="16"/>
      <c r="C29" s="2"/>
      <c r="D29" s="2"/>
      <c r="E29" s="2"/>
      <c r="F29" s="2"/>
      <c r="G29" s="2"/>
    </row>
    <row r="30" spans="1:7" x14ac:dyDescent="0.35">
      <c r="A30" s="2"/>
      <c r="B30" s="16"/>
      <c r="C30" s="4"/>
      <c r="D30" s="2"/>
      <c r="E30" s="2"/>
      <c r="F30" s="2"/>
      <c r="G30" s="2"/>
    </row>
    <row r="31" spans="1:7" x14ac:dyDescent="0.35">
      <c r="A31" s="2"/>
      <c r="B31" s="16"/>
      <c r="C31" s="4"/>
      <c r="D31" s="2"/>
      <c r="E31" s="2"/>
      <c r="F31" s="2"/>
      <c r="G31" s="2"/>
    </row>
    <row r="32" spans="1:7" x14ac:dyDescent="0.35">
      <c r="A32" s="2"/>
      <c r="B32" s="16"/>
      <c r="C32" s="2"/>
      <c r="D32" s="2"/>
      <c r="E32" s="2"/>
      <c r="F32" s="2"/>
      <c r="G32" s="2"/>
    </row>
    <row r="33" spans="1:7" x14ac:dyDescent="0.35">
      <c r="A33" s="2"/>
      <c r="B33" s="16"/>
      <c r="C33" s="4"/>
      <c r="D33" s="2"/>
      <c r="E33" s="2"/>
      <c r="F33" s="2"/>
      <c r="G33" s="2"/>
    </row>
    <row r="34" spans="1:7" x14ac:dyDescent="0.35">
      <c r="A34" s="2"/>
      <c r="B34" s="16"/>
      <c r="C34" s="4"/>
      <c r="D34" s="2"/>
      <c r="E34" s="2"/>
      <c r="F34" s="2"/>
      <c r="G34" s="2"/>
    </row>
    <row r="35" spans="1:7" x14ac:dyDescent="0.35">
      <c r="A35" s="2"/>
      <c r="B35" s="16"/>
      <c r="C35" s="4"/>
      <c r="D35" s="2"/>
      <c r="E35" s="2"/>
      <c r="F35" s="2"/>
      <c r="G35" s="2"/>
    </row>
    <row r="36" spans="1:7" x14ac:dyDescent="0.35">
      <c r="A36" s="2"/>
      <c r="B36" s="16"/>
      <c r="C36" s="4"/>
      <c r="D36" s="2"/>
      <c r="E36" s="2"/>
      <c r="F36" s="2"/>
      <c r="G36" s="2"/>
    </row>
    <row r="37" spans="1:7" x14ac:dyDescent="0.35">
      <c r="A37" s="2"/>
      <c r="B37" s="16"/>
      <c r="C37" s="4"/>
      <c r="D37" s="2"/>
      <c r="E37" s="2"/>
      <c r="F37" s="2"/>
      <c r="G37" s="2"/>
    </row>
    <row r="38" spans="1:7" x14ac:dyDescent="0.35">
      <c r="A38" s="2"/>
      <c r="B38" s="16"/>
      <c r="C38" s="4"/>
      <c r="D38" s="2"/>
      <c r="E38" s="2"/>
      <c r="F38" s="2"/>
      <c r="G38" s="2"/>
    </row>
    <row r="39" spans="1:7" x14ac:dyDescent="0.35">
      <c r="A39" s="2"/>
      <c r="B39" s="16"/>
      <c r="C39" s="4"/>
      <c r="D39" s="2"/>
      <c r="E39" s="2"/>
      <c r="F39" s="2"/>
      <c r="G39" s="2"/>
    </row>
    <row r="40" spans="1:7" x14ac:dyDescent="0.35">
      <c r="A40" s="2"/>
      <c r="B40" s="16"/>
      <c r="C40" s="4"/>
      <c r="D40" s="2"/>
      <c r="E40" s="2"/>
      <c r="F40" s="2"/>
      <c r="G40" s="2"/>
    </row>
    <row r="41" spans="1:7" x14ac:dyDescent="0.35">
      <c r="A41" s="2"/>
      <c r="B41" s="16"/>
      <c r="C41" s="4"/>
      <c r="D41" s="2"/>
      <c r="E41" s="2"/>
      <c r="F41" s="2"/>
      <c r="G41" s="2"/>
    </row>
    <row r="42" spans="1:7" x14ac:dyDescent="0.35">
      <c r="A42" s="2"/>
      <c r="B42" s="16"/>
      <c r="C42" s="5"/>
      <c r="D42" s="2"/>
      <c r="E42" s="2"/>
      <c r="F42" s="2"/>
      <c r="G42" s="2"/>
    </row>
    <row r="43" spans="1:7" x14ac:dyDescent="0.35">
      <c r="A43" s="2"/>
      <c r="B43" s="16"/>
      <c r="C43" s="5"/>
      <c r="D43" s="2"/>
      <c r="E43" s="2"/>
      <c r="F43" s="2"/>
      <c r="G43" s="2"/>
    </row>
    <row r="44" spans="1:7" x14ac:dyDescent="0.35">
      <c r="A44" s="2"/>
      <c r="B44" s="16"/>
      <c r="C44" s="4"/>
      <c r="D44" s="2"/>
      <c r="E44" s="2"/>
      <c r="F44" s="2"/>
      <c r="G44" s="2"/>
    </row>
    <row r="45" spans="1:7" x14ac:dyDescent="0.35">
      <c r="A45" s="2"/>
      <c r="B45" s="16"/>
      <c r="D45" s="2"/>
      <c r="E45" s="2"/>
      <c r="F45" s="2"/>
      <c r="G45" s="2"/>
    </row>
    <row r="46" spans="1:7" x14ac:dyDescent="0.35">
      <c r="A46" s="2"/>
      <c r="B46" s="16"/>
      <c r="D46" s="2"/>
      <c r="E46" s="2"/>
      <c r="F46" s="2"/>
      <c r="G46" s="2"/>
    </row>
    <row r="47" spans="1:7" x14ac:dyDescent="0.35">
      <c r="A47" s="2" t="s">
        <v>36</v>
      </c>
      <c r="B47" s="16" t="s">
        <v>32</v>
      </c>
      <c r="C47">
        <v>0</v>
      </c>
      <c r="D47" s="2">
        <f t="shared" ref="D47" si="8">C47*0.9</f>
        <v>0</v>
      </c>
      <c r="E47" s="2">
        <f t="shared" ref="E47" si="9">C47*1.1</f>
        <v>0</v>
      </c>
      <c r="F47" s="2" t="s">
        <v>1</v>
      </c>
      <c r="G47" s="2" t="s">
        <v>37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89A2-98D2-704F-AF44-C2497A6C7B0D}">
  <dimension ref="A1:G46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5" bestFit="1" customWidth="1"/>
    <col min="3" max="3" width="14.8320312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2" t="s">
        <v>13</v>
      </c>
      <c r="C2" s="2">
        <f>2.2078585480408E-08/1000</f>
        <v>2.2078585480407998E-11</v>
      </c>
      <c r="D2" s="2">
        <f t="shared" ref="D2:D3" si="0">C2*0.9</f>
        <v>1.98707269323672E-11</v>
      </c>
      <c r="E2" s="2">
        <f t="shared" ref="E2:E3" si="1">C2*1.1</f>
        <v>2.4286444028448799E-11</v>
      </c>
      <c r="F2" s="3" t="s">
        <v>1</v>
      </c>
      <c r="G2" s="3" t="s">
        <v>0</v>
      </c>
    </row>
    <row r="3" spans="1:7" x14ac:dyDescent="0.35">
      <c r="A3" s="2" t="s">
        <v>38</v>
      </c>
      <c r="B3" s="2" t="s">
        <v>13</v>
      </c>
      <c r="C3" s="4">
        <v>-3.0066952196150899E-10</v>
      </c>
      <c r="D3" s="2">
        <f t="shared" si="0"/>
        <v>-2.7060256976535812E-10</v>
      </c>
      <c r="E3" s="2">
        <f t="shared" si="1"/>
        <v>-3.3073647415765991E-10</v>
      </c>
      <c r="F3" s="3" t="s">
        <v>1</v>
      </c>
      <c r="G3" s="3" t="s">
        <v>0</v>
      </c>
    </row>
    <row r="4" spans="1:7" x14ac:dyDescent="0.35">
      <c r="A4" s="2" t="s">
        <v>40</v>
      </c>
      <c r="B4" s="2" t="s">
        <v>13</v>
      </c>
      <c r="C4" s="4">
        <f>4.98716648314426E-09*0.078</f>
        <v>3.8899898568525227E-10</v>
      </c>
      <c r="D4" s="2">
        <f t="shared" ref="D4:D14" si="2">C4*0.9</f>
        <v>3.5009908711672703E-10</v>
      </c>
      <c r="E4" s="2">
        <f t="shared" ref="E4:E14" si="3">C4*1.1</f>
        <v>4.2789888425377751E-10</v>
      </c>
      <c r="F4" s="3" t="s">
        <v>1</v>
      </c>
      <c r="G4" s="3" t="s">
        <v>0</v>
      </c>
    </row>
    <row r="5" spans="1:7" x14ac:dyDescent="0.35">
      <c r="A5" s="2" t="s">
        <v>41</v>
      </c>
      <c r="B5" s="2" t="s">
        <v>13</v>
      </c>
      <c r="C5" s="4">
        <f>4.98716648314426E-09*0.161</f>
        <v>8.0293380378622581E-10</v>
      </c>
      <c r="D5" s="2">
        <f t="shared" ref="D5" si="4">C5*0.9</f>
        <v>7.2264042340760322E-10</v>
      </c>
      <c r="E5" s="2">
        <f t="shared" ref="E5" si="5">C5*1.1</f>
        <v>8.832271841648485E-10</v>
      </c>
      <c r="F5" s="2" t="s">
        <v>1</v>
      </c>
      <c r="G5" s="2" t="s">
        <v>0</v>
      </c>
    </row>
    <row r="6" spans="1:7" x14ac:dyDescent="0.35">
      <c r="A6" s="2" t="s">
        <v>42</v>
      </c>
      <c r="B6" s="2" t="s">
        <v>13</v>
      </c>
      <c r="C6" s="4">
        <v>7.1693442207679106E-8</v>
      </c>
      <c r="D6" s="2">
        <f t="shared" si="2"/>
        <v>6.4524097986911198E-8</v>
      </c>
      <c r="E6" s="2">
        <f t="shared" si="3"/>
        <v>7.8862786428447027E-8</v>
      </c>
      <c r="F6" s="3" t="s">
        <v>1</v>
      </c>
      <c r="G6" s="3" t="s">
        <v>0</v>
      </c>
    </row>
    <row r="7" spans="1:7" x14ac:dyDescent="0.35">
      <c r="A7" s="2" t="s">
        <v>43</v>
      </c>
      <c r="B7" s="2" t="s">
        <v>13</v>
      </c>
      <c r="C7" s="4">
        <v>1.63339483692807E-10</v>
      </c>
      <c r="D7" s="2">
        <f t="shared" si="2"/>
        <v>1.4700553532352632E-10</v>
      </c>
      <c r="E7" s="2">
        <f t="shared" si="3"/>
        <v>1.7967343206208771E-10</v>
      </c>
      <c r="F7" s="2" t="s">
        <v>1</v>
      </c>
      <c r="G7" s="2" t="s">
        <v>0</v>
      </c>
    </row>
    <row r="8" spans="1:7" x14ac:dyDescent="0.35">
      <c r="A8" s="2" t="s">
        <v>44</v>
      </c>
      <c r="B8" s="2" t="s">
        <v>13</v>
      </c>
      <c r="C8" s="4">
        <v>1.8612594402207301E-9</v>
      </c>
      <c r="D8" s="2">
        <f t="shared" ref="D8" si="6">C8*0.9</f>
        <v>1.675133496198657E-9</v>
      </c>
      <c r="E8" s="2">
        <f t="shared" ref="E8" si="7">C8*1.1</f>
        <v>2.0473853842428033E-9</v>
      </c>
      <c r="F8" s="2" t="s">
        <v>1</v>
      </c>
      <c r="G8" s="2" t="s">
        <v>0</v>
      </c>
    </row>
    <row r="9" spans="1:7" x14ac:dyDescent="0.35">
      <c r="A9" s="2" t="s">
        <v>45</v>
      </c>
      <c r="B9" s="2" t="s">
        <v>13</v>
      </c>
      <c r="C9" s="4">
        <v>1.5020805113911499E-9</v>
      </c>
      <c r="D9" s="2">
        <f t="shared" si="2"/>
        <v>1.3518724602520349E-9</v>
      </c>
      <c r="E9" s="2">
        <f t="shared" si="3"/>
        <v>1.6522885625302651E-9</v>
      </c>
      <c r="F9" s="2" t="s">
        <v>1</v>
      </c>
      <c r="G9" s="2" t="s">
        <v>0</v>
      </c>
    </row>
    <row r="10" spans="1:7" x14ac:dyDescent="0.35">
      <c r="A10" s="2" t="s">
        <v>46</v>
      </c>
      <c r="B10" s="2" t="s">
        <v>13</v>
      </c>
      <c r="C10" s="4">
        <v>1.00515558011674E-9</v>
      </c>
      <c r="D10" s="2">
        <f t="shared" si="2"/>
        <v>9.0464002210506607E-10</v>
      </c>
      <c r="E10" s="2">
        <f t="shared" si="3"/>
        <v>1.1056711381284142E-9</v>
      </c>
      <c r="F10" s="2" t="s">
        <v>1</v>
      </c>
      <c r="G10" s="2" t="s">
        <v>0</v>
      </c>
    </row>
    <row r="11" spans="1:7" x14ac:dyDescent="0.35">
      <c r="A11" s="2" t="s">
        <v>47</v>
      </c>
      <c r="B11" s="2" t="s">
        <v>13</v>
      </c>
      <c r="C11" s="4">
        <v>1.00515558011674E-9</v>
      </c>
      <c r="D11" s="2">
        <f t="shared" si="2"/>
        <v>9.0464002210506607E-10</v>
      </c>
      <c r="E11" s="2">
        <f t="shared" si="3"/>
        <v>1.1056711381284142E-9</v>
      </c>
      <c r="F11" s="2" t="s">
        <v>1</v>
      </c>
      <c r="G11" s="2" t="s">
        <v>0</v>
      </c>
    </row>
    <row r="12" spans="1:7" x14ac:dyDescent="0.35">
      <c r="A12" s="2" t="s">
        <v>48</v>
      </c>
      <c r="B12" s="2" t="s">
        <v>13</v>
      </c>
      <c r="C12" s="4">
        <v>1.00515558011674E-9</v>
      </c>
      <c r="D12" s="2">
        <f t="shared" si="2"/>
        <v>9.0464002210506607E-10</v>
      </c>
      <c r="E12" s="2">
        <f t="shared" si="3"/>
        <v>1.1056711381284142E-9</v>
      </c>
      <c r="F12" s="2" t="s">
        <v>1</v>
      </c>
      <c r="G12" s="2" t="s">
        <v>0</v>
      </c>
    </row>
    <row r="13" spans="1:7" x14ac:dyDescent="0.35">
      <c r="A13" s="2" t="s">
        <v>49</v>
      </c>
      <c r="B13" s="2" t="s">
        <v>13</v>
      </c>
      <c r="C13" s="4">
        <v>-5.5526744233835399E-8</v>
      </c>
      <c r="D13" s="2">
        <f t="shared" si="2"/>
        <v>-4.9974069810451858E-8</v>
      </c>
      <c r="E13" s="2">
        <f t="shared" si="3"/>
        <v>-6.1079418657218947E-8</v>
      </c>
      <c r="F13" s="2" t="s">
        <v>1</v>
      </c>
      <c r="G13" s="2" t="s">
        <v>0</v>
      </c>
    </row>
    <row r="14" spans="1:7" x14ac:dyDescent="0.35">
      <c r="A14" s="2" t="s">
        <v>50</v>
      </c>
      <c r="B14" s="2" t="s">
        <v>13</v>
      </c>
      <c r="C14" s="4">
        <f>2.99819375700491E-09/1000</f>
        <v>2.9981937570049099E-12</v>
      </c>
      <c r="D14" s="2">
        <f t="shared" si="2"/>
        <v>2.6983743813044189E-12</v>
      </c>
      <c r="E14" s="2">
        <f t="shared" si="3"/>
        <v>3.2980131327054013E-12</v>
      </c>
      <c r="F14" s="2" t="s">
        <v>1</v>
      </c>
      <c r="G14" s="2" t="s">
        <v>0</v>
      </c>
    </row>
    <row r="15" spans="1:7" x14ac:dyDescent="0.35">
      <c r="A15" s="2" t="s">
        <v>74</v>
      </c>
      <c r="B15" s="2" t="s">
        <v>13</v>
      </c>
      <c r="C15" s="5">
        <v>0</v>
      </c>
      <c r="D15" s="2">
        <f>C15*0.9</f>
        <v>0</v>
      </c>
      <c r="E15" s="2">
        <f>C15*1.1</f>
        <v>0</v>
      </c>
      <c r="F15" s="2" t="s">
        <v>1</v>
      </c>
      <c r="G15" s="2" t="s">
        <v>37</v>
      </c>
    </row>
    <row r="16" spans="1:7" x14ac:dyDescent="0.35">
      <c r="A16" s="2"/>
      <c r="B16" s="2"/>
      <c r="C16" s="4"/>
      <c r="D16" s="2"/>
      <c r="E16" s="2"/>
      <c r="F16" s="3"/>
      <c r="G16" s="3"/>
    </row>
    <row r="17" spans="1:7" x14ac:dyDescent="0.35">
      <c r="A17" s="2"/>
      <c r="B17" s="2"/>
      <c r="C17" s="4"/>
      <c r="D17" s="2"/>
      <c r="E17" s="2"/>
      <c r="F17" s="3"/>
      <c r="G17" s="3"/>
    </row>
    <row r="18" spans="1:7" x14ac:dyDescent="0.35">
      <c r="A18" s="2"/>
      <c r="B18" s="2"/>
      <c r="C18" s="4"/>
      <c r="D18" s="2"/>
      <c r="E18" s="2"/>
      <c r="F18" s="2"/>
      <c r="G18" s="2"/>
    </row>
    <row r="19" spans="1:7" x14ac:dyDescent="0.35">
      <c r="A19" s="2"/>
      <c r="B19" s="2"/>
      <c r="C19" s="4"/>
      <c r="D19" s="2"/>
      <c r="E19" s="2"/>
      <c r="F19" s="2"/>
      <c r="G19" s="2"/>
    </row>
    <row r="20" spans="1:7" x14ac:dyDescent="0.35">
      <c r="A20" s="2"/>
      <c r="B20" s="2"/>
      <c r="C20" s="4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  <row r="23" spans="1:7" x14ac:dyDescent="0.35">
      <c r="A23" s="2"/>
      <c r="B23" s="2"/>
      <c r="C23" s="4"/>
      <c r="D23" s="2"/>
      <c r="E23" s="2"/>
      <c r="F23" s="2"/>
      <c r="G23" s="2"/>
    </row>
    <row r="24" spans="1:7" x14ac:dyDescent="0.35">
      <c r="A24" s="2"/>
      <c r="B24" s="2"/>
      <c r="C24" s="4"/>
      <c r="D24" s="2"/>
      <c r="E24" s="2"/>
      <c r="F24" s="2"/>
      <c r="G24" s="2"/>
    </row>
    <row r="25" spans="1:7" x14ac:dyDescent="0.35">
      <c r="A25" s="2"/>
      <c r="B25" s="2"/>
      <c r="C25" s="4"/>
      <c r="D25" s="2"/>
      <c r="E25" s="2"/>
      <c r="F25" s="2"/>
      <c r="G25" s="2"/>
    </row>
    <row r="26" spans="1:7" x14ac:dyDescent="0.35">
      <c r="A26" s="2"/>
      <c r="B26" s="2"/>
      <c r="C26" s="4"/>
      <c r="D26" s="2"/>
      <c r="E26" s="2"/>
      <c r="F26" s="2"/>
      <c r="G26" s="2"/>
    </row>
    <row r="27" spans="1:7" x14ac:dyDescent="0.35">
      <c r="A27" s="2"/>
      <c r="B27" s="2"/>
      <c r="C27" s="4"/>
      <c r="D27" s="2"/>
      <c r="E27" s="2"/>
      <c r="F27" s="2"/>
      <c r="G27" s="2"/>
    </row>
    <row r="28" spans="1:7" x14ac:dyDescent="0.35">
      <c r="A28" s="2"/>
      <c r="B28" s="2"/>
      <c r="C28" s="4"/>
      <c r="D28" s="2"/>
      <c r="E28" s="2"/>
      <c r="F28" s="2"/>
      <c r="G28" s="2"/>
    </row>
    <row r="29" spans="1:7" x14ac:dyDescent="0.35">
      <c r="A29" s="2"/>
      <c r="B29" s="2"/>
      <c r="C29" s="4"/>
      <c r="D29" s="2"/>
      <c r="E29" s="2"/>
      <c r="F29" s="2"/>
      <c r="G29" s="2"/>
    </row>
    <row r="30" spans="1:7" x14ac:dyDescent="0.35">
      <c r="A30" s="2"/>
      <c r="B30" s="2"/>
      <c r="C30" s="4"/>
      <c r="D30" s="2"/>
      <c r="E30" s="2"/>
      <c r="F30" s="2"/>
      <c r="G30" s="2"/>
    </row>
    <row r="31" spans="1:7" x14ac:dyDescent="0.35">
      <c r="A31" s="2"/>
      <c r="B31" s="2"/>
      <c r="C31" s="4"/>
      <c r="D31" s="2"/>
      <c r="E31" s="2"/>
      <c r="F31" s="2"/>
      <c r="G31" s="2"/>
    </row>
    <row r="32" spans="1:7" x14ac:dyDescent="0.35">
      <c r="A32" s="2"/>
      <c r="B32" s="2"/>
      <c r="C32" s="2"/>
      <c r="D32" s="2"/>
      <c r="E32" s="2"/>
      <c r="F32" s="2"/>
      <c r="G32" s="2"/>
    </row>
    <row r="33" spans="1:7" x14ac:dyDescent="0.35">
      <c r="A33" s="2"/>
      <c r="B33" s="2"/>
      <c r="C33" s="4"/>
      <c r="D33" s="2"/>
      <c r="E33" s="2"/>
      <c r="F33" s="2"/>
      <c r="G33" s="2"/>
    </row>
    <row r="34" spans="1:7" x14ac:dyDescent="0.35">
      <c r="A34" s="2"/>
      <c r="B34" s="2"/>
      <c r="C34" s="4"/>
      <c r="D34" s="2"/>
      <c r="E34" s="2"/>
      <c r="F34" s="2"/>
      <c r="G34" s="2"/>
    </row>
    <row r="35" spans="1:7" x14ac:dyDescent="0.35">
      <c r="A35" s="2"/>
      <c r="B35" s="2"/>
      <c r="C35" s="4"/>
      <c r="D35" s="2"/>
      <c r="E35" s="2"/>
      <c r="F35" s="2"/>
      <c r="G35" s="2"/>
    </row>
    <row r="36" spans="1:7" x14ac:dyDescent="0.35">
      <c r="A36" s="2"/>
      <c r="B36" s="2"/>
      <c r="C36" s="4"/>
      <c r="D36" s="2"/>
      <c r="E36" s="2"/>
      <c r="F36" s="2"/>
      <c r="G36" s="2"/>
    </row>
    <row r="37" spans="1:7" x14ac:dyDescent="0.35">
      <c r="A37" s="2"/>
      <c r="B37" s="2"/>
      <c r="C37" s="4"/>
      <c r="D37" s="2"/>
      <c r="E37" s="2"/>
      <c r="F37" s="2"/>
      <c r="G37" s="2"/>
    </row>
    <row r="38" spans="1:7" x14ac:dyDescent="0.35">
      <c r="A38" s="2"/>
      <c r="B38" s="2"/>
      <c r="C38" s="4"/>
      <c r="D38" s="2"/>
      <c r="E38" s="2"/>
      <c r="F38" s="2"/>
      <c r="G38" s="2"/>
    </row>
    <row r="39" spans="1:7" x14ac:dyDescent="0.35">
      <c r="A39" s="2"/>
      <c r="B39" s="2"/>
      <c r="C39" s="4"/>
      <c r="D39" s="2"/>
      <c r="E39" s="2"/>
      <c r="F39" s="2"/>
      <c r="G39" s="2"/>
    </row>
    <row r="40" spans="1:7" x14ac:dyDescent="0.35">
      <c r="A40" s="2"/>
      <c r="B40" s="2"/>
      <c r="C40" s="4"/>
      <c r="D40" s="2"/>
      <c r="E40" s="2"/>
      <c r="F40" s="2"/>
      <c r="G40" s="2"/>
    </row>
    <row r="41" spans="1:7" x14ac:dyDescent="0.35">
      <c r="A41" s="2"/>
      <c r="B41" s="2"/>
      <c r="C41" s="4"/>
      <c r="D41" s="2"/>
      <c r="E41" s="2"/>
      <c r="F41" s="2"/>
      <c r="G41" s="2"/>
    </row>
    <row r="42" spans="1:7" x14ac:dyDescent="0.35">
      <c r="A42" s="2"/>
      <c r="B42" s="2"/>
      <c r="C42" s="5"/>
      <c r="D42" s="2"/>
      <c r="E42" s="2"/>
      <c r="F42" s="2"/>
      <c r="G42" s="2"/>
    </row>
    <row r="43" spans="1:7" x14ac:dyDescent="0.35">
      <c r="A43" s="2"/>
      <c r="B43" s="2"/>
      <c r="C43" s="5"/>
      <c r="D43" s="2"/>
      <c r="E43" s="2"/>
      <c r="F43" s="2"/>
      <c r="G43" s="2"/>
    </row>
    <row r="44" spans="1:7" x14ac:dyDescent="0.35">
      <c r="A44" s="2"/>
      <c r="B44" s="2"/>
      <c r="C44" s="4"/>
      <c r="D44" s="2"/>
      <c r="E44" s="2"/>
      <c r="F44" s="2"/>
      <c r="G44" s="2"/>
    </row>
    <row r="45" spans="1:7" x14ac:dyDescent="0.35">
      <c r="A45" s="2"/>
      <c r="B45" s="2"/>
      <c r="C45" s="5"/>
      <c r="D45" s="2"/>
      <c r="E45" s="2"/>
      <c r="F45" s="2"/>
      <c r="G45" s="2"/>
    </row>
    <row r="46" spans="1:7" x14ac:dyDescent="0.35">
      <c r="A46" s="2"/>
      <c r="B46" s="2"/>
      <c r="C46" s="5"/>
      <c r="D46" s="2"/>
      <c r="E46" s="2"/>
      <c r="F46" s="2"/>
      <c r="G46" s="2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E97-33AC-4743-867D-87B08CF8DB3F}">
  <dimension ref="A1:G46"/>
  <sheetViews>
    <sheetView workbookViewId="0">
      <selection activeCell="C4" sqref="C4"/>
    </sheetView>
  </sheetViews>
  <sheetFormatPr defaultColWidth="10.83203125" defaultRowHeight="15.5" x14ac:dyDescent="0.35"/>
  <cols>
    <col min="1" max="1" width="23.83203125" bestFit="1" customWidth="1"/>
    <col min="2" max="2" width="12.6640625" bestFit="1" customWidth="1"/>
    <col min="3" max="3" width="13.9140625" bestFit="1" customWidth="1"/>
    <col min="4" max="5" width="14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t="s">
        <v>34</v>
      </c>
      <c r="C2" s="2">
        <f>0.000869046243762905/1000</f>
        <v>8.6904624376290499E-7</v>
      </c>
      <c r="D2" s="2">
        <f t="shared" ref="D2:D8" si="0">C2*0.9</f>
        <v>7.8214161938661451E-7</v>
      </c>
      <c r="E2" s="2">
        <f t="shared" ref="E2:E14" si="1">C2*1.1</f>
        <v>9.5595086813919558E-7</v>
      </c>
      <c r="F2" s="3" t="s">
        <v>1</v>
      </c>
      <c r="G2" s="3" t="s">
        <v>0</v>
      </c>
    </row>
    <row r="3" spans="1:7" x14ac:dyDescent="0.35">
      <c r="A3" s="2" t="s">
        <v>38</v>
      </c>
      <c r="B3" t="s">
        <v>34</v>
      </c>
      <c r="C3" s="2">
        <v>-1.8480905198893698E-5</v>
      </c>
      <c r="D3" s="2">
        <f t="shared" si="0"/>
        <v>-1.6632814679004331E-5</v>
      </c>
      <c r="E3" s="2">
        <f t="shared" si="1"/>
        <v>-2.032899571878307E-5</v>
      </c>
      <c r="F3" s="3" t="s">
        <v>1</v>
      </c>
      <c r="G3" s="3" t="s">
        <v>0</v>
      </c>
    </row>
    <row r="4" spans="1:7" x14ac:dyDescent="0.35">
      <c r="A4" s="2" t="s">
        <v>40</v>
      </c>
      <c r="B4" t="s">
        <v>34</v>
      </c>
      <c r="C4" s="2">
        <f>0.000179213917254775*0.078</f>
        <v>1.3978685545872449E-5</v>
      </c>
      <c r="D4" s="2">
        <f t="shared" si="0"/>
        <v>1.2580816991285205E-5</v>
      </c>
      <c r="E4" s="2">
        <f t="shared" si="1"/>
        <v>1.5376554100459695E-5</v>
      </c>
      <c r="F4" s="3" t="s">
        <v>1</v>
      </c>
      <c r="G4" s="3" t="s">
        <v>0</v>
      </c>
    </row>
    <row r="5" spans="1:7" x14ac:dyDescent="0.35">
      <c r="A5" s="2" t="s">
        <v>41</v>
      </c>
      <c r="B5" t="s">
        <v>34</v>
      </c>
      <c r="C5" s="2">
        <f>0.000179213917254775*0.161</f>
        <v>2.8853440678018775E-5</v>
      </c>
      <c r="D5" s="2">
        <f t="shared" ref="D5" si="2">C5*0.9</f>
        <v>2.5968096610216896E-5</v>
      </c>
      <c r="E5" s="2">
        <f t="shared" ref="E5" si="3">C5*1.1</f>
        <v>3.1738784745820653E-5</v>
      </c>
      <c r="F5" s="2" t="s">
        <v>1</v>
      </c>
      <c r="G5" s="2" t="s">
        <v>0</v>
      </c>
    </row>
    <row r="6" spans="1:7" x14ac:dyDescent="0.35">
      <c r="A6" s="2" t="s">
        <v>42</v>
      </c>
      <c r="B6" t="s">
        <v>34</v>
      </c>
      <c r="C6" s="2">
        <v>4.4226344541286699E-4</v>
      </c>
      <c r="D6" s="2">
        <f t="shared" si="0"/>
        <v>3.9803710087158031E-4</v>
      </c>
      <c r="E6" s="2">
        <f t="shared" si="1"/>
        <v>4.8648978995415374E-4</v>
      </c>
      <c r="F6" s="3" t="s">
        <v>1</v>
      </c>
      <c r="G6" s="3" t="s">
        <v>0</v>
      </c>
    </row>
    <row r="7" spans="1:7" x14ac:dyDescent="0.35">
      <c r="A7" s="2" t="s">
        <v>43</v>
      </c>
      <c r="B7" t="s">
        <v>34</v>
      </c>
      <c r="C7" s="4">
        <v>5.80822998503853E-7</v>
      </c>
      <c r="D7" s="2">
        <f t="shared" si="0"/>
        <v>5.2274069865346773E-7</v>
      </c>
      <c r="E7" s="2">
        <f t="shared" si="1"/>
        <v>6.3890529835423838E-7</v>
      </c>
      <c r="F7" s="2" t="s">
        <v>1</v>
      </c>
      <c r="G7" s="2" t="s">
        <v>0</v>
      </c>
    </row>
    <row r="8" spans="1:7" x14ac:dyDescent="0.35">
      <c r="A8" s="2" t="s">
        <v>44</v>
      </c>
      <c r="B8" t="s">
        <v>34</v>
      </c>
      <c r="C8" s="2">
        <v>1.1721075024844099E-3</v>
      </c>
      <c r="D8" s="2">
        <f t="shared" si="0"/>
        <v>1.0548967522359689E-3</v>
      </c>
      <c r="E8" s="2">
        <f t="shared" ref="E8" si="4">C8*1.1</f>
        <v>1.2893182527328509E-3</v>
      </c>
      <c r="F8" s="2" t="s">
        <v>1</v>
      </c>
      <c r="G8" s="2" t="s">
        <v>0</v>
      </c>
    </row>
    <row r="9" spans="1:7" x14ac:dyDescent="0.35">
      <c r="A9" s="2" t="s">
        <v>45</v>
      </c>
      <c r="B9" t="s">
        <v>34</v>
      </c>
      <c r="C9" s="2">
        <v>4.5822516149528001E-5</v>
      </c>
      <c r="D9" s="2">
        <f t="shared" ref="D9:D14" si="5">C9*0.9</f>
        <v>4.1240264534575199E-5</v>
      </c>
      <c r="E9" s="2">
        <f t="shared" si="1"/>
        <v>5.0404767764480803E-5</v>
      </c>
      <c r="F9" s="2" t="s">
        <v>1</v>
      </c>
      <c r="G9" s="2" t="s">
        <v>0</v>
      </c>
    </row>
    <row r="10" spans="1:7" x14ac:dyDescent="0.35">
      <c r="A10" s="2" t="s">
        <v>46</v>
      </c>
      <c r="B10" t="s">
        <v>34</v>
      </c>
      <c r="C10" s="2">
        <v>3.2395234902625702E-5</v>
      </c>
      <c r="D10" s="2">
        <f t="shared" si="5"/>
        <v>2.9155711412363133E-5</v>
      </c>
      <c r="E10" s="2">
        <f t="shared" si="1"/>
        <v>3.5634758392888275E-5</v>
      </c>
      <c r="F10" s="2" t="s">
        <v>1</v>
      </c>
      <c r="G10" s="2" t="s">
        <v>0</v>
      </c>
    </row>
    <row r="11" spans="1:7" x14ac:dyDescent="0.35">
      <c r="A11" s="2" t="s">
        <v>47</v>
      </c>
      <c r="B11" t="s">
        <v>34</v>
      </c>
      <c r="C11" s="2">
        <v>3.2395234902625702E-5</v>
      </c>
      <c r="D11" s="2">
        <f t="shared" si="5"/>
        <v>2.9155711412363133E-5</v>
      </c>
      <c r="E11" s="2">
        <f t="shared" si="1"/>
        <v>3.5634758392888275E-5</v>
      </c>
      <c r="F11" s="2" t="s">
        <v>1</v>
      </c>
      <c r="G11" s="2" t="s">
        <v>0</v>
      </c>
    </row>
    <row r="12" spans="1:7" x14ac:dyDescent="0.35">
      <c r="A12" s="2" t="s">
        <v>48</v>
      </c>
      <c r="B12" t="s">
        <v>34</v>
      </c>
      <c r="C12" s="2">
        <v>3.2395234902625702E-5</v>
      </c>
      <c r="D12" s="2">
        <f t="shared" si="5"/>
        <v>2.9155711412363133E-5</v>
      </c>
      <c r="E12" s="2">
        <f t="shared" si="1"/>
        <v>3.5634758392888275E-5</v>
      </c>
      <c r="F12" s="2" t="s">
        <v>1</v>
      </c>
      <c r="G12" s="2" t="s">
        <v>0</v>
      </c>
    </row>
    <row r="13" spans="1:7" x14ac:dyDescent="0.35">
      <c r="A13" s="2" t="s">
        <v>49</v>
      </c>
      <c r="B13" t="s">
        <v>34</v>
      </c>
      <c r="C13" s="2">
        <v>-4.2672507226878799E-4</v>
      </c>
      <c r="D13" s="2">
        <f t="shared" si="5"/>
        <v>-3.8405256504190922E-4</v>
      </c>
      <c r="E13" s="2">
        <f t="shared" si="1"/>
        <v>-4.6939757949566682E-4</v>
      </c>
      <c r="F13" s="2" t="s">
        <v>1</v>
      </c>
      <c r="G13" s="2" t="s">
        <v>0</v>
      </c>
    </row>
    <row r="14" spans="1:7" x14ac:dyDescent="0.35">
      <c r="A14" s="2" t="s">
        <v>50</v>
      </c>
      <c r="B14" t="s">
        <v>34</v>
      </c>
      <c r="C14" s="2">
        <f>0.000463387089378492/1000</f>
        <v>4.6338708937849201E-7</v>
      </c>
      <c r="D14" s="2">
        <f t="shared" si="5"/>
        <v>4.1704838044064284E-7</v>
      </c>
      <c r="E14" s="2">
        <f t="shared" si="1"/>
        <v>5.0972579831634124E-7</v>
      </c>
      <c r="F14" s="2" t="s">
        <v>1</v>
      </c>
      <c r="G14" s="2" t="s">
        <v>0</v>
      </c>
    </row>
    <row r="15" spans="1:7" x14ac:dyDescent="0.35">
      <c r="A15" s="2" t="s">
        <v>74</v>
      </c>
      <c r="B15" t="s">
        <v>34</v>
      </c>
      <c r="C15">
        <v>0</v>
      </c>
      <c r="D15" s="2">
        <f t="shared" ref="D15" si="6">C15*0.9</f>
        <v>0</v>
      </c>
      <c r="E15" s="2">
        <f t="shared" ref="E15" si="7">C15*1.1</f>
        <v>0</v>
      </c>
      <c r="F15" s="2" t="s">
        <v>1</v>
      </c>
      <c r="G15" s="2" t="s">
        <v>37</v>
      </c>
    </row>
    <row r="16" spans="1:7" x14ac:dyDescent="0.35">
      <c r="A16" s="2"/>
      <c r="C16" s="2"/>
      <c r="D16" s="2"/>
      <c r="E16" s="2"/>
      <c r="F16" s="2"/>
      <c r="G16" s="2"/>
    </row>
    <row r="17" spans="1:7" x14ac:dyDescent="0.35">
      <c r="A17" s="2"/>
      <c r="C17" s="2"/>
      <c r="D17" s="2"/>
      <c r="E17" s="2"/>
      <c r="F17" s="2"/>
      <c r="G17" s="2"/>
    </row>
    <row r="18" spans="1:7" x14ac:dyDescent="0.35">
      <c r="A18" s="2"/>
      <c r="C18" s="2"/>
      <c r="D18" s="2"/>
      <c r="E18" s="2"/>
      <c r="F18" s="2"/>
      <c r="G18" s="2"/>
    </row>
    <row r="19" spans="1:7" x14ac:dyDescent="0.35">
      <c r="A19" s="2"/>
      <c r="C19" s="2"/>
      <c r="D19" s="2"/>
      <c r="E19" s="2"/>
      <c r="F19" s="2"/>
      <c r="G19" s="2"/>
    </row>
    <row r="20" spans="1:7" x14ac:dyDescent="0.35">
      <c r="A20" s="2"/>
      <c r="C20" s="2"/>
      <c r="D20" s="2"/>
      <c r="E20" s="2"/>
      <c r="F20" s="2"/>
      <c r="G20" s="2"/>
    </row>
    <row r="21" spans="1:7" x14ac:dyDescent="0.35">
      <c r="A21" s="2"/>
      <c r="C21" s="2"/>
      <c r="D21" s="2"/>
      <c r="E21" s="2"/>
      <c r="F21" s="2"/>
      <c r="G21" s="2"/>
    </row>
    <row r="22" spans="1:7" x14ac:dyDescent="0.35">
      <c r="A22" s="2"/>
      <c r="C22" s="2"/>
      <c r="D22" s="2"/>
      <c r="E22" s="2"/>
      <c r="F22" s="2"/>
      <c r="G22" s="2"/>
    </row>
    <row r="23" spans="1:7" x14ac:dyDescent="0.35">
      <c r="A23" s="2"/>
      <c r="C23" s="2"/>
      <c r="D23" s="2"/>
      <c r="E23" s="2"/>
      <c r="F23" s="2"/>
      <c r="G23" s="2"/>
    </row>
    <row r="24" spans="1:7" x14ac:dyDescent="0.35">
      <c r="A24" s="2"/>
      <c r="C24" s="4"/>
      <c r="D24" s="2"/>
      <c r="E24" s="2"/>
      <c r="F24" s="2"/>
      <c r="G24" s="2"/>
    </row>
    <row r="25" spans="1:7" x14ac:dyDescent="0.35">
      <c r="A25" s="2"/>
      <c r="C25" s="2"/>
      <c r="D25" s="2"/>
      <c r="E25" s="2"/>
      <c r="F25" s="2"/>
      <c r="G25" s="2"/>
    </row>
    <row r="26" spans="1:7" x14ac:dyDescent="0.35">
      <c r="A26" s="2"/>
      <c r="C26" s="2"/>
      <c r="D26" s="2"/>
      <c r="E26" s="2"/>
      <c r="F26" s="2"/>
      <c r="G26" s="2"/>
    </row>
    <row r="27" spans="1:7" x14ac:dyDescent="0.35">
      <c r="A27" s="2"/>
      <c r="C27" s="2"/>
      <c r="D27" s="2"/>
      <c r="E27" s="2"/>
      <c r="F27" s="2"/>
      <c r="G27" s="2"/>
    </row>
    <row r="28" spans="1:7" x14ac:dyDescent="0.35">
      <c r="A28" s="2"/>
      <c r="C28" s="2"/>
      <c r="D28" s="2"/>
      <c r="E28" s="2"/>
      <c r="F28" s="2"/>
      <c r="G28" s="2"/>
    </row>
    <row r="29" spans="1:7" x14ac:dyDescent="0.35">
      <c r="A29" s="2"/>
      <c r="C29" s="2"/>
      <c r="D29" s="2"/>
      <c r="E29" s="2"/>
      <c r="F29" s="2"/>
      <c r="G29" s="2"/>
    </row>
    <row r="30" spans="1:7" x14ac:dyDescent="0.35">
      <c r="A30" s="2"/>
      <c r="C30" s="2"/>
      <c r="D30" s="2"/>
      <c r="E30" s="2"/>
      <c r="F30" s="2"/>
      <c r="G30" s="2"/>
    </row>
    <row r="31" spans="1:7" x14ac:dyDescent="0.35">
      <c r="A31" s="2"/>
      <c r="C31" s="2"/>
      <c r="D31" s="2"/>
      <c r="E31" s="2"/>
      <c r="F31" s="2"/>
      <c r="G31" s="2"/>
    </row>
    <row r="32" spans="1:7" x14ac:dyDescent="0.35">
      <c r="A32" s="2"/>
      <c r="C32" s="2"/>
      <c r="D32" s="2"/>
      <c r="E32" s="2"/>
      <c r="F32" s="2"/>
      <c r="G32" s="2"/>
    </row>
    <row r="33" spans="1:7" x14ac:dyDescent="0.35">
      <c r="A33" s="2"/>
      <c r="C33" s="2"/>
      <c r="D33" s="2"/>
      <c r="E33" s="2"/>
      <c r="F33" s="2"/>
      <c r="G33" s="2"/>
    </row>
    <row r="34" spans="1:7" x14ac:dyDescent="0.35">
      <c r="A34" s="2"/>
      <c r="C34" s="2"/>
      <c r="D34" s="2"/>
      <c r="E34" s="2"/>
      <c r="F34" s="2"/>
      <c r="G34" s="2"/>
    </row>
    <row r="35" spans="1:7" x14ac:dyDescent="0.35">
      <c r="A35" s="2"/>
      <c r="C35" s="4"/>
      <c r="D35" s="2"/>
      <c r="E35" s="2"/>
      <c r="F35" s="2"/>
      <c r="G35" s="2"/>
    </row>
    <row r="36" spans="1:7" x14ac:dyDescent="0.35">
      <c r="A36" s="2"/>
      <c r="C36" s="4"/>
      <c r="D36" s="2"/>
      <c r="E36" s="2"/>
      <c r="F36" s="2"/>
      <c r="G36" s="2"/>
    </row>
    <row r="37" spans="1:7" x14ac:dyDescent="0.35">
      <c r="A37" s="2"/>
      <c r="C37" s="4"/>
      <c r="D37" s="2"/>
      <c r="E37" s="2"/>
      <c r="F37" s="2"/>
      <c r="G37" s="2"/>
    </row>
    <row r="38" spans="1:7" x14ac:dyDescent="0.35">
      <c r="A38" s="2"/>
      <c r="C38" s="2"/>
      <c r="D38" s="2"/>
      <c r="E38" s="2"/>
      <c r="F38" s="2"/>
      <c r="G38" s="2"/>
    </row>
    <row r="39" spans="1:7" x14ac:dyDescent="0.35">
      <c r="A39" s="2"/>
      <c r="C39" s="2"/>
      <c r="D39" s="2"/>
      <c r="E39" s="2"/>
      <c r="F39" s="2"/>
      <c r="G39" s="2"/>
    </row>
    <row r="40" spans="1:7" x14ac:dyDescent="0.35">
      <c r="A40" s="2"/>
      <c r="C40" s="2"/>
      <c r="D40" s="2"/>
      <c r="E40" s="2"/>
      <c r="F40" s="2"/>
      <c r="G40" s="2"/>
    </row>
    <row r="41" spans="1:7" x14ac:dyDescent="0.35">
      <c r="A41" s="2"/>
      <c r="C41" s="2"/>
      <c r="D41" s="2"/>
      <c r="E41" s="2"/>
      <c r="F41" s="2"/>
      <c r="G41" s="2"/>
    </row>
    <row r="42" spans="1:7" x14ac:dyDescent="0.35">
      <c r="A42" s="2"/>
      <c r="D42" s="2"/>
      <c r="E42" s="2"/>
      <c r="F42" s="2"/>
      <c r="G42" s="2"/>
    </row>
    <row r="43" spans="1:7" x14ac:dyDescent="0.35">
      <c r="A43" s="2"/>
      <c r="D43" s="2"/>
      <c r="E43" s="2"/>
      <c r="F43" s="2"/>
      <c r="G43" s="2"/>
    </row>
    <row r="44" spans="1:7" x14ac:dyDescent="0.35">
      <c r="A44" s="2"/>
      <c r="C44" s="2"/>
      <c r="D44" s="2"/>
      <c r="E44" s="2"/>
      <c r="F44" s="2"/>
      <c r="G44" s="2"/>
    </row>
    <row r="45" spans="1:7" x14ac:dyDescent="0.35">
      <c r="A45" s="2"/>
      <c r="D45" s="2"/>
      <c r="E45" s="2"/>
      <c r="F45" s="2"/>
      <c r="G45" s="2"/>
    </row>
    <row r="46" spans="1:7" x14ac:dyDescent="0.35">
      <c r="A46" s="2"/>
      <c r="D46" s="2"/>
      <c r="E46" s="2"/>
      <c r="F46" s="2"/>
      <c r="G46" s="2"/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FE82-F88E-9643-85A3-7681782C4413}">
  <dimension ref="A1:G46"/>
  <sheetViews>
    <sheetView workbookViewId="0">
      <selection activeCell="G26" sqref="G26"/>
    </sheetView>
  </sheetViews>
  <sheetFormatPr defaultColWidth="10.83203125" defaultRowHeight="15.5" x14ac:dyDescent="0.35"/>
  <cols>
    <col min="1" max="1" width="23.83203125" bestFit="1" customWidth="1"/>
    <col min="2" max="2" width="15" bestFit="1" customWidth="1"/>
    <col min="3" max="3" width="14.1640625" bestFit="1" customWidth="1"/>
    <col min="6" max="6" width="11.83203125" bestFit="1" customWidth="1"/>
    <col min="7" max="7" width="11.6640625" bestFit="1" customWidth="1"/>
  </cols>
  <sheetData>
    <row r="1" spans="1:7" x14ac:dyDescent="0.35">
      <c r="A1" s="1" t="s">
        <v>9</v>
      </c>
      <c r="B1" s="1" t="s">
        <v>10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</row>
    <row r="2" spans="1:7" x14ac:dyDescent="0.35">
      <c r="A2" s="2" t="s">
        <v>39</v>
      </c>
      <c r="B2" s="16" t="s">
        <v>33</v>
      </c>
      <c r="C2" s="2">
        <f>0.222420771535925/1000</f>
        <v>2.2242077153592499E-4</v>
      </c>
      <c r="D2" s="2">
        <f t="shared" ref="D2:D3" si="0">C2*0.9</f>
        <v>2.001786943823325E-4</v>
      </c>
      <c r="E2" s="2">
        <f t="shared" ref="E2:E3" si="1">C2*1.1</f>
        <v>2.4466284868951752E-4</v>
      </c>
      <c r="F2" s="3" t="s">
        <v>1</v>
      </c>
      <c r="G2" s="3" t="s">
        <v>0</v>
      </c>
    </row>
    <row r="3" spans="1:7" x14ac:dyDescent="0.35">
      <c r="A3" s="2" t="s">
        <v>38</v>
      </c>
      <c r="B3" s="16" t="s">
        <v>33</v>
      </c>
      <c r="C3" s="2">
        <v>-2.4749189436147202E-3</v>
      </c>
      <c r="D3" s="2">
        <f t="shared" si="0"/>
        <v>-2.2274270492532483E-3</v>
      </c>
      <c r="E3" s="2">
        <f t="shared" si="1"/>
        <v>-2.7224108379761925E-3</v>
      </c>
      <c r="F3" s="3" t="s">
        <v>1</v>
      </c>
      <c r="G3" s="3" t="s">
        <v>0</v>
      </c>
    </row>
    <row r="4" spans="1:7" x14ac:dyDescent="0.35">
      <c r="A4" s="2" t="s">
        <v>40</v>
      </c>
      <c r="B4" s="16" t="s">
        <v>33</v>
      </c>
      <c r="C4" s="2">
        <f>0.0421987757304453*0.078</f>
        <v>3.2915045069747337E-3</v>
      </c>
      <c r="D4" s="2">
        <f t="shared" ref="D4:D14" si="2">C4*0.9</f>
        <v>2.9623540562772606E-3</v>
      </c>
      <c r="E4" s="2">
        <f t="shared" ref="E4:E14" si="3">C4*1.1</f>
        <v>3.6206549576722072E-3</v>
      </c>
      <c r="F4" s="3" t="s">
        <v>1</v>
      </c>
      <c r="G4" s="3" t="s">
        <v>0</v>
      </c>
    </row>
    <row r="5" spans="1:7" x14ac:dyDescent="0.35">
      <c r="A5" s="2" t="s">
        <v>41</v>
      </c>
      <c r="B5" s="16" t="s">
        <v>33</v>
      </c>
      <c r="C5" s="2">
        <f>0.0421987757304453*0.161</f>
        <v>6.7940028926016935E-3</v>
      </c>
      <c r="D5" s="2">
        <f t="shared" ref="D5" si="4">C5*0.9</f>
        <v>6.1146026033415245E-3</v>
      </c>
      <c r="E5" s="2">
        <f t="shared" ref="E5" si="5">C5*1.1</f>
        <v>7.4734031818618632E-3</v>
      </c>
      <c r="F5" s="2" t="s">
        <v>1</v>
      </c>
      <c r="G5" s="2" t="s">
        <v>0</v>
      </c>
    </row>
    <row r="6" spans="1:7" x14ac:dyDescent="0.35">
      <c r="A6" s="2" t="s">
        <v>42</v>
      </c>
      <c r="B6" s="16" t="s">
        <v>33</v>
      </c>
      <c r="C6" s="2">
        <v>5.4785943797785903E-2</v>
      </c>
      <c r="D6" s="2">
        <f t="shared" si="2"/>
        <v>4.9307349418007317E-2</v>
      </c>
      <c r="E6" s="2">
        <f t="shared" si="3"/>
        <v>6.0264538177564497E-2</v>
      </c>
      <c r="F6" s="3" t="s">
        <v>1</v>
      </c>
      <c r="G6" s="3" t="s">
        <v>0</v>
      </c>
    </row>
    <row r="7" spans="1:7" x14ac:dyDescent="0.35">
      <c r="A7" s="2" t="s">
        <v>43</v>
      </c>
      <c r="B7" s="16" t="s">
        <v>33</v>
      </c>
      <c r="C7" s="2">
        <v>2.8749733339938602E-5</v>
      </c>
      <c r="D7" s="2">
        <f t="shared" si="2"/>
        <v>2.587476000594474E-5</v>
      </c>
      <c r="E7" s="2">
        <f t="shared" si="3"/>
        <v>3.1624706673932466E-5</v>
      </c>
      <c r="F7" s="2" t="s">
        <v>1</v>
      </c>
      <c r="G7" s="2" t="s">
        <v>0</v>
      </c>
    </row>
    <row r="8" spans="1:7" x14ac:dyDescent="0.35">
      <c r="A8" s="2" t="s">
        <v>44</v>
      </c>
      <c r="B8" s="16" t="s">
        <v>33</v>
      </c>
      <c r="C8" s="2">
        <v>1.3376223381058001E-2</v>
      </c>
      <c r="D8" s="2">
        <f t="shared" ref="D8" si="6">C8*0.9</f>
        <v>1.20386010429522E-2</v>
      </c>
      <c r="E8" s="2">
        <f t="shared" ref="E8" si="7">C8*1.1</f>
        <v>1.4713845719163801E-2</v>
      </c>
      <c r="F8" s="2" t="s">
        <v>1</v>
      </c>
      <c r="G8" s="2" t="s">
        <v>0</v>
      </c>
    </row>
    <row r="9" spans="1:7" x14ac:dyDescent="0.35">
      <c r="A9" s="2" t="s">
        <v>45</v>
      </c>
      <c r="B9" s="16" t="s">
        <v>33</v>
      </c>
      <c r="C9" s="2">
        <v>4.3584074758769003E-3</v>
      </c>
      <c r="D9" s="2">
        <f t="shared" si="2"/>
        <v>3.9225667282892108E-3</v>
      </c>
      <c r="E9" s="2">
        <f t="shared" si="3"/>
        <v>4.7942482234645907E-3</v>
      </c>
      <c r="F9" s="2" t="s">
        <v>1</v>
      </c>
      <c r="G9" s="2" t="s">
        <v>0</v>
      </c>
    </row>
    <row r="10" spans="1:7" x14ac:dyDescent="0.35">
      <c r="A10" s="2" t="s">
        <v>46</v>
      </c>
      <c r="B10" s="16" t="s">
        <v>33</v>
      </c>
      <c r="C10" s="2">
        <v>2.0873013087036102E-3</v>
      </c>
      <c r="D10" s="2">
        <f t="shared" si="2"/>
        <v>1.8785711778332491E-3</v>
      </c>
      <c r="E10" s="2">
        <f t="shared" si="3"/>
        <v>2.2960314395739714E-3</v>
      </c>
      <c r="F10" s="2" t="s">
        <v>1</v>
      </c>
      <c r="G10" s="2" t="s">
        <v>0</v>
      </c>
    </row>
    <row r="11" spans="1:7" x14ac:dyDescent="0.35">
      <c r="A11" s="2" t="s">
        <v>47</v>
      </c>
      <c r="B11" s="16" t="s">
        <v>33</v>
      </c>
      <c r="C11" s="2">
        <v>2.0873013087036102E-3</v>
      </c>
      <c r="D11" s="2">
        <f t="shared" si="2"/>
        <v>1.8785711778332491E-3</v>
      </c>
      <c r="E11" s="2">
        <f t="shared" si="3"/>
        <v>2.2960314395739714E-3</v>
      </c>
      <c r="F11" s="2" t="s">
        <v>1</v>
      </c>
      <c r="G11" s="2" t="s">
        <v>0</v>
      </c>
    </row>
    <row r="12" spans="1:7" x14ac:dyDescent="0.35">
      <c r="A12" s="2" t="s">
        <v>48</v>
      </c>
      <c r="B12" s="16" t="s">
        <v>33</v>
      </c>
      <c r="C12" s="2">
        <v>2.0873013087036102E-3</v>
      </c>
      <c r="D12" s="2">
        <f t="shared" si="2"/>
        <v>1.8785711778332491E-3</v>
      </c>
      <c r="E12" s="2">
        <f t="shared" si="3"/>
        <v>2.2960314395739714E-3</v>
      </c>
      <c r="F12" s="2" t="s">
        <v>1</v>
      </c>
      <c r="G12" s="2" t="s">
        <v>0</v>
      </c>
    </row>
    <row r="13" spans="1:7" x14ac:dyDescent="0.35">
      <c r="A13" s="2" t="s">
        <v>49</v>
      </c>
      <c r="B13" s="16" t="s">
        <v>33</v>
      </c>
      <c r="C13" s="2">
        <v>-5.7514774037511499E-2</v>
      </c>
      <c r="D13" s="2">
        <f t="shared" si="2"/>
        <v>-5.176329663376035E-2</v>
      </c>
      <c r="E13" s="2">
        <f t="shared" si="3"/>
        <v>-6.3266251441262647E-2</v>
      </c>
      <c r="F13" s="2" t="s">
        <v>1</v>
      </c>
      <c r="G13" s="2" t="s">
        <v>0</v>
      </c>
    </row>
    <row r="14" spans="1:7" x14ac:dyDescent="0.35">
      <c r="A14" s="2" t="s">
        <v>50</v>
      </c>
      <c r="B14" s="16" t="s">
        <v>33</v>
      </c>
      <c r="C14" s="2">
        <f>0.0284523226521622/1000</f>
        <v>2.8452322652162202E-5</v>
      </c>
      <c r="D14" s="2">
        <f t="shared" si="2"/>
        <v>2.5607090386945982E-5</v>
      </c>
      <c r="E14" s="2">
        <f t="shared" si="3"/>
        <v>3.1297554917378421E-5</v>
      </c>
      <c r="F14" s="2" t="s">
        <v>1</v>
      </c>
      <c r="G14" s="2" t="s">
        <v>0</v>
      </c>
    </row>
    <row r="15" spans="1:7" x14ac:dyDescent="0.35">
      <c r="A15" s="2" t="s">
        <v>74</v>
      </c>
      <c r="B15" s="16" t="s">
        <v>33</v>
      </c>
      <c r="C15">
        <v>0</v>
      </c>
      <c r="D15">
        <f t="shared" ref="D15" si="8">C15*0.9</f>
        <v>0</v>
      </c>
      <c r="E15">
        <f t="shared" ref="E15" si="9">1.1*C15</f>
        <v>0</v>
      </c>
      <c r="F15" s="2" t="s">
        <v>1</v>
      </c>
      <c r="G15" s="2" t="s">
        <v>37</v>
      </c>
    </row>
    <row r="16" spans="1:7" x14ac:dyDescent="0.35">
      <c r="A16" s="2"/>
      <c r="B16" s="16"/>
      <c r="C16" s="2"/>
      <c r="D16" s="2"/>
      <c r="E16" s="2"/>
      <c r="F16" s="2"/>
      <c r="G16" s="2"/>
    </row>
    <row r="17" spans="1:7" x14ac:dyDescent="0.35">
      <c r="A17" s="2"/>
      <c r="B17" s="16"/>
      <c r="C17" s="2"/>
      <c r="D17" s="2"/>
      <c r="E17" s="2"/>
      <c r="F17" s="2"/>
      <c r="G17" s="2"/>
    </row>
    <row r="18" spans="1:7" x14ac:dyDescent="0.35">
      <c r="A18" s="2"/>
      <c r="B18" s="16"/>
      <c r="C18" s="2"/>
      <c r="D18" s="2"/>
      <c r="E18" s="2"/>
      <c r="F18" s="2"/>
      <c r="G18" s="2"/>
    </row>
    <row r="19" spans="1:7" x14ac:dyDescent="0.35">
      <c r="A19" s="2"/>
      <c r="B19" s="16"/>
      <c r="C19" s="2"/>
      <c r="D19" s="2"/>
      <c r="E19" s="2"/>
      <c r="F19" s="2"/>
      <c r="G19" s="2"/>
    </row>
    <row r="20" spans="1:7" x14ac:dyDescent="0.35">
      <c r="A20" s="2"/>
      <c r="B20" s="16"/>
      <c r="C20" s="2"/>
      <c r="D20" s="2"/>
      <c r="E20" s="2"/>
      <c r="F20" s="2"/>
      <c r="G20" s="2"/>
    </row>
    <row r="21" spans="1:7" x14ac:dyDescent="0.35">
      <c r="A21" s="2"/>
      <c r="B21" s="16"/>
      <c r="C21" s="2"/>
      <c r="D21" s="2"/>
      <c r="E21" s="2"/>
      <c r="F21" s="2"/>
      <c r="G21" s="2"/>
    </row>
    <row r="22" spans="1:7" x14ac:dyDescent="0.35">
      <c r="A22" s="2"/>
      <c r="B22" s="16"/>
      <c r="C22" s="2"/>
      <c r="D22" s="2"/>
      <c r="E22" s="2"/>
      <c r="F22" s="2"/>
      <c r="G22" s="2"/>
    </row>
    <row r="23" spans="1:7" x14ac:dyDescent="0.35">
      <c r="A23" s="2"/>
      <c r="B23" s="16"/>
      <c r="C23" s="2"/>
      <c r="D23" s="2"/>
      <c r="E23" s="2"/>
      <c r="F23" s="2"/>
      <c r="G23" s="2"/>
    </row>
    <row r="24" spans="1:7" x14ac:dyDescent="0.35">
      <c r="A24" s="2"/>
      <c r="B24" s="16"/>
      <c r="C24" s="4"/>
      <c r="D24" s="2"/>
      <c r="E24" s="2"/>
      <c r="F24" s="2"/>
      <c r="G24" s="2"/>
    </row>
    <row r="25" spans="1:7" x14ac:dyDescent="0.35">
      <c r="A25" s="2"/>
      <c r="B25" s="16"/>
      <c r="C25" s="2"/>
      <c r="D25" s="2"/>
      <c r="E25" s="2"/>
      <c r="F25" s="2"/>
      <c r="G25" s="2"/>
    </row>
    <row r="26" spans="1:7" x14ac:dyDescent="0.35">
      <c r="A26" s="2"/>
      <c r="B26" s="16"/>
      <c r="C26" s="2"/>
      <c r="D26" s="2"/>
      <c r="E26" s="2"/>
      <c r="F26" s="2"/>
      <c r="G26" s="2"/>
    </row>
    <row r="27" spans="1:7" x14ac:dyDescent="0.35">
      <c r="A27" s="2"/>
      <c r="B27" s="16"/>
      <c r="C27" s="2"/>
      <c r="D27" s="2"/>
      <c r="E27" s="2"/>
      <c r="F27" s="2"/>
      <c r="G27" s="2"/>
    </row>
    <row r="28" spans="1:7" x14ac:dyDescent="0.35">
      <c r="A28" s="2"/>
      <c r="B28" s="16"/>
      <c r="C28" s="2"/>
      <c r="D28" s="2"/>
      <c r="E28" s="2"/>
      <c r="F28" s="2"/>
      <c r="G28" s="2"/>
    </row>
    <row r="29" spans="1:7" x14ac:dyDescent="0.35">
      <c r="A29" s="2"/>
      <c r="B29" s="16"/>
      <c r="C29" s="2"/>
      <c r="D29" s="2"/>
      <c r="E29" s="2"/>
      <c r="F29" s="2"/>
      <c r="G29" s="2"/>
    </row>
    <row r="30" spans="1:7" x14ac:dyDescent="0.35">
      <c r="A30" s="2"/>
      <c r="B30" s="16"/>
      <c r="C30" s="2"/>
      <c r="D30" s="2"/>
      <c r="E30" s="2"/>
      <c r="F30" s="2"/>
      <c r="G30" s="2"/>
    </row>
    <row r="31" spans="1:7" x14ac:dyDescent="0.35">
      <c r="A31" s="2"/>
      <c r="B31" s="16"/>
      <c r="C31" s="2"/>
      <c r="D31" s="2"/>
      <c r="E31" s="2"/>
      <c r="F31" s="2"/>
      <c r="G31" s="2"/>
    </row>
    <row r="32" spans="1:7" x14ac:dyDescent="0.35">
      <c r="A32" s="2"/>
      <c r="B32" s="16"/>
      <c r="C32" s="2"/>
      <c r="D32" s="2"/>
      <c r="E32" s="2"/>
      <c r="F32" s="2"/>
      <c r="G32" s="2"/>
    </row>
    <row r="33" spans="1:7" x14ac:dyDescent="0.35">
      <c r="A33" s="2"/>
      <c r="B33" s="16"/>
      <c r="C33" s="2"/>
      <c r="D33" s="2"/>
      <c r="E33" s="2"/>
      <c r="F33" s="2"/>
      <c r="G33" s="2"/>
    </row>
    <row r="34" spans="1:7" x14ac:dyDescent="0.35">
      <c r="A34" s="2"/>
      <c r="B34" s="16"/>
      <c r="C34" s="2"/>
      <c r="D34" s="2"/>
      <c r="E34" s="2"/>
      <c r="F34" s="2"/>
      <c r="G34" s="2"/>
    </row>
    <row r="35" spans="1:7" x14ac:dyDescent="0.35">
      <c r="A35" s="2"/>
      <c r="B35" s="16"/>
      <c r="C35" s="4"/>
      <c r="D35" s="2"/>
      <c r="E35" s="2"/>
      <c r="F35" s="2"/>
      <c r="G35" s="2"/>
    </row>
    <row r="36" spans="1:7" x14ac:dyDescent="0.35">
      <c r="A36" s="2"/>
      <c r="B36" s="16"/>
      <c r="C36" s="4"/>
      <c r="D36" s="2"/>
      <c r="E36" s="2"/>
      <c r="F36" s="2"/>
      <c r="G36" s="2"/>
    </row>
    <row r="37" spans="1:7" x14ac:dyDescent="0.35">
      <c r="A37" s="2"/>
      <c r="B37" s="16"/>
      <c r="C37" s="2"/>
      <c r="D37" s="2"/>
      <c r="E37" s="2"/>
      <c r="F37" s="2"/>
      <c r="G37" s="2"/>
    </row>
    <row r="38" spans="1:7" x14ac:dyDescent="0.35">
      <c r="A38" s="2"/>
      <c r="B38" s="16"/>
      <c r="C38" s="2"/>
      <c r="D38" s="2"/>
      <c r="E38" s="2"/>
      <c r="F38" s="2"/>
      <c r="G38" s="2"/>
    </row>
    <row r="39" spans="1:7" x14ac:dyDescent="0.35">
      <c r="A39" s="2"/>
      <c r="B39" s="16"/>
      <c r="C39" s="2"/>
      <c r="D39" s="2"/>
      <c r="E39" s="2"/>
      <c r="F39" s="2"/>
      <c r="G39" s="2"/>
    </row>
    <row r="40" spans="1:7" x14ac:dyDescent="0.35">
      <c r="A40" s="2"/>
      <c r="B40" s="16"/>
      <c r="C40" s="2"/>
      <c r="D40" s="2"/>
      <c r="E40" s="2"/>
      <c r="F40" s="2"/>
      <c r="G40" s="2"/>
    </row>
    <row r="41" spans="1:7" x14ac:dyDescent="0.35">
      <c r="A41" s="2"/>
      <c r="B41" s="16"/>
      <c r="C41" s="2"/>
      <c r="D41" s="2"/>
      <c r="E41" s="2"/>
      <c r="F41" s="2"/>
      <c r="G41" s="2"/>
    </row>
    <row r="42" spans="1:7" x14ac:dyDescent="0.35">
      <c r="A42" s="2"/>
      <c r="B42" s="16"/>
      <c r="F42" s="2"/>
      <c r="G42" s="2"/>
    </row>
    <row r="43" spans="1:7" x14ac:dyDescent="0.35">
      <c r="A43" s="2"/>
      <c r="B43" s="16"/>
      <c r="F43" s="2"/>
      <c r="G43" s="2"/>
    </row>
    <row r="44" spans="1:7" x14ac:dyDescent="0.35">
      <c r="A44" s="2"/>
      <c r="B44" s="16"/>
      <c r="C44" s="2"/>
      <c r="F44" s="2"/>
      <c r="G44" s="2"/>
    </row>
    <row r="45" spans="1:7" x14ac:dyDescent="0.35">
      <c r="A45" s="2"/>
      <c r="B45" s="16"/>
      <c r="F45" s="2"/>
      <c r="G45" s="2"/>
    </row>
    <row r="46" spans="1:7" x14ac:dyDescent="0.35">
      <c r="A46" s="2"/>
      <c r="B46" s="16"/>
      <c r="F46" s="2"/>
      <c r="G46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Acidification</vt:lpstr>
      <vt:lpstr>GlobalWarming</vt:lpstr>
      <vt:lpstr>Ecotoxicity</vt:lpstr>
      <vt:lpstr>Eutrophication</vt:lpstr>
      <vt:lpstr>Carcinogenics</vt:lpstr>
      <vt:lpstr>NonCarcinogenics</vt:lpstr>
      <vt:lpstr>OzoneDepletion</vt:lpstr>
      <vt:lpstr>ParticulateMatterFormation</vt:lpstr>
      <vt:lpstr>PhotochemicalOxidation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Ali Ahmad</cp:lastModifiedBy>
  <dcterms:created xsi:type="dcterms:W3CDTF">2020-11-13T14:42:01Z</dcterms:created>
  <dcterms:modified xsi:type="dcterms:W3CDTF">2025-11-18T23:50:13Z</dcterms:modified>
</cp:coreProperties>
</file>