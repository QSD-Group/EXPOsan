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lues/Documents/EXPOsan/exposan/VFA/LCA data/"/>
    </mc:Choice>
  </mc:AlternateContent>
  <xr:revisionPtr revIDLastSave="0" documentId="13_ncr:1_{A07EC946-CAB6-1343-B9D7-1B83E1D69F8C}" xr6:coauthVersionLast="47" xr6:coauthVersionMax="47" xr10:uidLastSave="{00000000-0000-0000-0000-000000000000}"/>
  <bookViews>
    <workbookView xWindow="32520" yWindow="-1540" windowWidth="29400" windowHeight="16760" activeTab="1" xr2:uid="{BD97E243-0BB4-3F42-9EBC-00D49E7EE019}"/>
  </bookViews>
  <sheets>
    <sheet name="info" sheetId="2" r:id="rId1"/>
    <sheet name="GW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" l="1"/>
  <c r="D11" i="1"/>
  <c r="E10" i="1"/>
  <c r="D10" i="1"/>
  <c r="E9" i="1" l="1"/>
  <c r="D9" i="1"/>
  <c r="D8" i="1"/>
  <c r="E8" i="1"/>
  <c r="D7" i="1"/>
  <c r="E7" i="1"/>
  <c r="D6" i="1"/>
  <c r="E6" i="1"/>
  <c r="D5" i="1"/>
  <c r="E5" i="1"/>
  <c r="D4" i="1"/>
  <c r="E4" i="1"/>
  <c r="E3" i="1"/>
  <c r="D3" i="1"/>
  <c r="E2" i="1"/>
  <c r="D2" i="1"/>
</calcChain>
</file>

<file path=xl/sharedStrings.xml><?xml version="1.0" encoding="utf-8"?>
<sst xmlns="http://schemas.openxmlformats.org/spreadsheetml/2006/main" count="69" uniqueCount="24">
  <si>
    <t>uniform</t>
  </si>
  <si>
    <t>Steel</t>
  </si>
  <si>
    <t>references</t>
  </si>
  <si>
    <t>distribution</t>
  </si>
  <si>
    <t>high</t>
  </si>
  <si>
    <t>low</t>
  </si>
  <si>
    <t>expected</t>
  </si>
  <si>
    <t>functional_unit</t>
  </si>
  <si>
    <t>kg</t>
  </si>
  <si>
    <t>ID</t>
  </si>
  <si>
    <t>unit</t>
  </si>
  <si>
    <t>kg CO2-eq</t>
  </si>
  <si>
    <t>m</t>
  </si>
  <si>
    <t>ecoinvent 3.8 - cutoff, TRACI</t>
  </si>
  <si>
    <t>Aluminum</t>
  </si>
  <si>
    <t>Silicon</t>
  </si>
  <si>
    <t>Copper</t>
  </si>
  <si>
    <t>CarbonCloth</t>
  </si>
  <si>
    <t>CurrentCollector</t>
  </si>
  <si>
    <t>SiliconeSpacer</t>
  </si>
  <si>
    <t>IEM</t>
  </si>
  <si>
    <t>Housing</t>
  </si>
  <si>
    <t>Piping</t>
  </si>
  <si>
    <t>area?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</si>
</sst>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9A7A-E84B-1346-816F-577916F7D6A6}">
  <dimension ref="A1:B31"/>
  <sheetViews>
    <sheetView zoomScale="190" zoomScaleNormal="190" workbookViewId="0">
      <selection activeCell="B13" sqref="B13"/>
    </sheetView>
  </sheetViews>
  <sheetFormatPr baseColWidth="10" defaultColWidth="10.6640625" defaultRowHeight="16" x14ac:dyDescent="0.2"/>
  <cols>
    <col min="1" max="1" width="19" bestFit="1" customWidth="1"/>
    <col min="2" max="2" width="18.33203125" bestFit="1" customWidth="1"/>
  </cols>
  <sheetData>
    <row r="1" spans="1:2" x14ac:dyDescent="0.2">
      <c r="A1" s="2" t="s">
        <v>9</v>
      </c>
      <c r="B1" s="2" t="s">
        <v>7</v>
      </c>
    </row>
    <row r="2" spans="1:2" x14ac:dyDescent="0.2">
      <c r="A2" t="s">
        <v>17</v>
      </c>
      <c r="B2" t="s">
        <v>8</v>
      </c>
    </row>
    <row r="3" spans="1:2" x14ac:dyDescent="0.2">
      <c r="A3" t="s">
        <v>18</v>
      </c>
      <c r="B3" t="s">
        <v>8</v>
      </c>
    </row>
    <row r="4" spans="1:2" x14ac:dyDescent="0.2">
      <c r="A4" t="s">
        <v>19</v>
      </c>
      <c r="B4" t="s">
        <v>8</v>
      </c>
    </row>
    <row r="5" spans="1:2" x14ac:dyDescent="0.2">
      <c r="A5" t="s">
        <v>20</v>
      </c>
      <c r="B5" t="s">
        <v>23</v>
      </c>
    </row>
    <row r="6" spans="1:2" x14ac:dyDescent="0.2">
      <c r="A6" t="s">
        <v>21</v>
      </c>
      <c r="B6" t="s">
        <v>8</v>
      </c>
    </row>
    <row r="7" spans="1:2" x14ac:dyDescent="0.2">
      <c r="A7" t="s">
        <v>22</v>
      </c>
      <c r="B7" t="s">
        <v>12</v>
      </c>
    </row>
    <row r="9" spans="1:2" x14ac:dyDescent="0.2">
      <c r="A9" t="s">
        <v>1</v>
      </c>
      <c r="B9" t="s">
        <v>8</v>
      </c>
    </row>
    <row r="12" spans="1:2" x14ac:dyDescent="0.2">
      <c r="A12" t="s">
        <v>14</v>
      </c>
      <c r="B12" t="s">
        <v>8</v>
      </c>
    </row>
    <row r="14" spans="1:2" x14ac:dyDescent="0.2">
      <c r="B14" s="1"/>
    </row>
    <row r="15" spans="1:2" x14ac:dyDescent="0.2">
      <c r="B15" s="1"/>
    </row>
    <row r="26" spans="1:2" x14ac:dyDescent="0.2">
      <c r="A26" t="s">
        <v>15</v>
      </c>
      <c r="B26" t="s">
        <v>8</v>
      </c>
    </row>
    <row r="31" spans="1:2" x14ac:dyDescent="0.2">
      <c r="A31" t="s">
        <v>16</v>
      </c>
      <c r="B3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27DAA-889C-6942-A3B5-3C8A993554C1}">
  <dimension ref="A1:G11"/>
  <sheetViews>
    <sheetView tabSelected="1" zoomScale="230" zoomScaleNormal="230" workbookViewId="0">
      <selection activeCell="C8" sqref="C8"/>
    </sheetView>
  </sheetViews>
  <sheetFormatPr baseColWidth="10" defaultColWidth="10.6640625" defaultRowHeight="16" x14ac:dyDescent="0.2"/>
  <cols>
    <col min="1" max="1" width="26.6640625" bestFit="1" customWidth="1"/>
    <col min="2" max="2" width="9.5" bestFit="1" customWidth="1"/>
    <col min="7" max="7" width="44.83203125" bestFit="1" customWidth="1"/>
  </cols>
  <sheetData>
    <row r="1" spans="1:7" x14ac:dyDescent="0.2">
      <c r="A1" s="2" t="s">
        <v>9</v>
      </c>
      <c r="B1" s="2" t="s">
        <v>10</v>
      </c>
      <c r="C1" s="2" t="s">
        <v>6</v>
      </c>
      <c r="D1" s="2" t="s">
        <v>5</v>
      </c>
      <c r="E1" s="2" t="s">
        <v>4</v>
      </c>
      <c r="F1" s="2" t="s">
        <v>3</v>
      </c>
      <c r="G1" s="2" t="s">
        <v>2</v>
      </c>
    </row>
    <row r="2" spans="1:7" x14ac:dyDescent="0.2">
      <c r="A2" t="s">
        <v>17</v>
      </c>
      <c r="B2" t="s">
        <v>11</v>
      </c>
      <c r="C2">
        <v>54</v>
      </c>
      <c r="D2">
        <f t="shared" ref="D2:D9" si="0">C2*0.9</f>
        <v>48.6</v>
      </c>
      <c r="E2">
        <f t="shared" ref="E2:E9" si="1">C2*1.1</f>
        <v>59.400000000000006</v>
      </c>
      <c r="F2" t="s">
        <v>0</v>
      </c>
      <c r="G2" t="s">
        <v>13</v>
      </c>
    </row>
    <row r="3" spans="1:7" x14ac:dyDescent="0.2">
      <c r="A3" t="s">
        <v>18</v>
      </c>
      <c r="B3" t="s">
        <v>11</v>
      </c>
      <c r="C3">
        <v>0.11600000000000001</v>
      </c>
      <c r="D3">
        <f t="shared" si="0"/>
        <v>0.10440000000000001</v>
      </c>
      <c r="E3">
        <f t="shared" si="1"/>
        <v>0.12760000000000002</v>
      </c>
      <c r="F3" t="s">
        <v>0</v>
      </c>
      <c r="G3" t="s">
        <v>13</v>
      </c>
    </row>
    <row r="4" spans="1:7" x14ac:dyDescent="0.2">
      <c r="A4" t="s">
        <v>19</v>
      </c>
      <c r="B4" t="s">
        <v>11</v>
      </c>
      <c r="C4">
        <v>3.06</v>
      </c>
      <c r="D4">
        <f t="shared" si="0"/>
        <v>2.754</v>
      </c>
      <c r="E4">
        <f t="shared" si="1"/>
        <v>3.3660000000000005</v>
      </c>
      <c r="F4" t="s">
        <v>0</v>
      </c>
      <c r="G4" t="s">
        <v>13</v>
      </c>
    </row>
    <row r="5" spans="1:7" x14ac:dyDescent="0.2">
      <c r="A5" s="4" t="s">
        <v>20</v>
      </c>
      <c r="B5" t="s">
        <v>11</v>
      </c>
      <c r="C5">
        <v>8.2361676999999993</v>
      </c>
      <c r="D5">
        <f t="shared" si="0"/>
        <v>7.4125509299999992</v>
      </c>
      <c r="E5">
        <f t="shared" si="1"/>
        <v>9.0597844700000003</v>
      </c>
      <c r="F5" t="s">
        <v>0</v>
      </c>
      <c r="G5" t="s">
        <v>13</v>
      </c>
    </row>
    <row r="6" spans="1:7" x14ac:dyDescent="0.2">
      <c r="A6" t="s">
        <v>21</v>
      </c>
      <c r="B6" t="s">
        <v>11</v>
      </c>
      <c r="C6">
        <v>2.1800000000000002</v>
      </c>
      <c r="D6">
        <f t="shared" si="0"/>
        <v>1.9620000000000002</v>
      </c>
      <c r="E6">
        <f t="shared" si="1"/>
        <v>2.3980000000000006</v>
      </c>
      <c r="F6" t="s">
        <v>0</v>
      </c>
      <c r="G6" t="s">
        <v>13</v>
      </c>
    </row>
    <row r="7" spans="1:7" x14ac:dyDescent="0.2">
      <c r="A7" t="s">
        <v>22</v>
      </c>
      <c r="B7" t="s">
        <v>11</v>
      </c>
      <c r="C7">
        <v>1.06</v>
      </c>
      <c r="D7">
        <f t="shared" si="0"/>
        <v>0.95400000000000007</v>
      </c>
      <c r="E7">
        <f t="shared" si="1"/>
        <v>1.1660000000000001</v>
      </c>
      <c r="F7" t="s">
        <v>0</v>
      </c>
      <c r="G7" t="s">
        <v>13</v>
      </c>
    </row>
    <row r="8" spans="1:7" x14ac:dyDescent="0.2">
      <c r="A8" s="3" t="s">
        <v>1</v>
      </c>
      <c r="B8" t="s">
        <v>11</v>
      </c>
      <c r="C8">
        <v>4.79</v>
      </c>
      <c r="D8">
        <f t="shared" si="0"/>
        <v>4.3109999999999999</v>
      </c>
      <c r="E8">
        <f t="shared" si="1"/>
        <v>5.2690000000000001</v>
      </c>
      <c r="F8" t="s">
        <v>0</v>
      </c>
      <c r="G8" t="s">
        <v>13</v>
      </c>
    </row>
    <row r="9" spans="1:7" x14ac:dyDescent="0.2">
      <c r="A9" s="3" t="s">
        <v>14</v>
      </c>
      <c r="B9" t="s">
        <v>11</v>
      </c>
      <c r="C9">
        <v>5.4695463000000002</v>
      </c>
      <c r="D9">
        <f t="shared" si="0"/>
        <v>4.9225916700000001</v>
      </c>
      <c r="E9">
        <f t="shared" si="1"/>
        <v>6.0165009300000003</v>
      </c>
      <c r="F9" t="s">
        <v>0</v>
      </c>
      <c r="G9" t="s">
        <v>13</v>
      </c>
    </row>
    <row r="10" spans="1:7" x14ac:dyDescent="0.2">
      <c r="A10" s="3" t="s">
        <v>15</v>
      </c>
      <c r="B10" t="s">
        <v>11</v>
      </c>
      <c r="C10">
        <v>3.0634122000000001</v>
      </c>
      <c r="D10">
        <f t="shared" ref="D10" si="2">C10*0.9</f>
        <v>2.7570709800000004</v>
      </c>
      <c r="E10">
        <f t="shared" ref="E10" si="3">C10*1.1</f>
        <v>3.3697534200000003</v>
      </c>
      <c r="F10" t="s">
        <v>0</v>
      </c>
      <c r="G10" t="s">
        <v>13</v>
      </c>
    </row>
    <row r="11" spans="1:7" x14ac:dyDescent="0.2">
      <c r="A11" s="3" t="s">
        <v>16</v>
      </c>
      <c r="B11" t="s">
        <v>11</v>
      </c>
      <c r="C11">
        <v>6.5752404999999996</v>
      </c>
      <c r="D11">
        <f t="shared" ref="D11" si="4">C11*0.9</f>
        <v>5.9177164499999995</v>
      </c>
      <c r="E11">
        <f t="shared" ref="E11" si="5">C11*1.1</f>
        <v>7.2327645499999997</v>
      </c>
      <c r="F11" t="s">
        <v>0</v>
      </c>
      <c r="G11" t="s">
        <v>13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</vt:lpstr>
      <vt:lpstr>GWP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Yalin Li</dc:creator>
  <cp:lastModifiedBy>Shi, Buai</cp:lastModifiedBy>
  <dcterms:created xsi:type="dcterms:W3CDTF">2020-11-13T14:42:01Z</dcterms:created>
  <dcterms:modified xsi:type="dcterms:W3CDTF">2025-12-01T20:57:04Z</dcterms:modified>
</cp:coreProperties>
</file>